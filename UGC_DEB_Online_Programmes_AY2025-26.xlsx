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_Online" sheetId="2" state="visible" r:id="rId4"/>
    <sheet name="University_Summary" sheetId="3" state="visible" r:id="rId5"/>
    <sheet name="Verification_Lookup" sheetId="4" state="visible" r:id="rId6"/>
    <sheet name="NIRF_All_Rankings" sheetId="5" state="visible" r:id="rId7"/>
    <sheet name="NIRF_Constituent_Schools" sheetId="6" state="visible" r:id="rId8"/>
    <sheet name="Stats" sheetId="7" state="visible" r:id="rId9"/>
    <sheet name="AICTE_Reconciliation" sheetId="8" state="visible" r:id="rId10"/>
    <sheet name="AACSB_Reference" sheetId="9" state="visible" r:id="rId11"/>
    <sheet name="NBA_Reference" sheetId="10" state="visible" r:id="rId12"/>
  </sheets>
  <definedNames>
    <definedName function="false" hidden="true" localSheetId="8" name="_xlnm._FilterDatabase" vbProcedure="false">AACSB_Reference!$A$4:$H$34</definedName>
    <definedName function="false" hidden="true" localSheetId="7" name="_xlnm._FilterDatabase" vbProcedure="false">AICTE_Reconciliation!$A$4:$L$220</definedName>
    <definedName function="false" hidden="true" localSheetId="1" name="_xlnm._FilterDatabase" vbProcedure="false">Master_Online!$A$1:$AU$797</definedName>
    <definedName function="false" hidden="true" localSheetId="9" name="_xlnm._FilterDatabase" vbProcedure="false">NBA_Reference!$A$4:$K$137</definedName>
    <definedName function="false" hidden="true" localSheetId="4" name="_xlnm._FilterDatabase" vbProcedure="false">NIRF_All_Rankings!$A$4:$W$127</definedName>
    <definedName function="false" hidden="true" localSheetId="2" name="_xlnm._FilterDatabase" vbProcedure="false">University_Summary!$A$1:$Q$124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<sst xmlns="http://schemas.openxmlformats.org/spreadsheetml/2006/main" count="16668" uniqueCount="1274">
  <si>
    <t xml:space="preserve">UGC DEB Approved Online Programmes — AY 2025-26 (Jan-Feb 2026 Session)</t>
  </si>
  <si>
    <t xml:space="preserve">Source: UGC notice dated 08-Jan-2026 | https://deb.ugc.ac.in</t>
  </si>
  <si>
    <t xml:space="preserve">PURPOSE</t>
  </si>
  <si>
    <t xml:space="preserve">This workbook is the master verification register for online programmes under UGC-DEB.</t>
  </si>
  <si>
    <t xml:space="preserve">It lets you check at a glance whether a university and its specific programme are UGC-DEB approved</t>
  </si>
  <si>
    <t xml:space="preserve">for online delivery, plus placeholder columns for AICTE / NAAC / NIRF data to be filled in later.</t>
  </si>
  <si>
    <t xml:space="preserve">SHEETS</t>
  </si>
  <si>
    <t xml:space="preserve">1. Master_Online — every approved online programme as one row (filterable by state, type, programme).</t>
  </si>
  <si>
    <t xml:space="preserve">2. University_Summary — one row per university with programme count and approval columns.</t>
  </si>
  <si>
    <t xml:space="preserve">3. Verification_Lookup — paste a university name; formulas confirm UGC-DEB status and program count.</t>
  </si>
  <si>
    <t xml:space="preserve">4. Stats — high-level counts by state, type, and programme category.</t>
  </si>
  <si>
    <t xml:space="preserve">COLOR / FLAG LEGEND</t>
  </si>
  <si>
    <t xml:space="preserve">GREEN  = UGC-DEB approved (auto-filled because the row was sourced from the UGC notice).</t>
  </si>
  <si>
    <t xml:space="preserve">AMBER  = Needs manual verification (AICTE / NAAC / NIRF columns until you fill them).</t>
  </si>
  <si>
    <t xml:space="preserve">RED    = Flagged as not approved or not found.</t>
  </si>
  <si>
    <t xml:space="preserve">MODE COLUMN</t>
  </si>
  <si>
    <t xml:space="preserve">All rows are 'Online' (this workbook). When you add the ODL list later, set Mode = 'ODL'</t>
  </si>
  <si>
    <t xml:space="preserve">and append rows to Master_Online (or maintain a parallel sheet). The Verification_Lookup</t>
  </si>
  <si>
    <t xml:space="preserve">formula will keep working as long as the column structure is preserved.</t>
  </si>
  <si>
    <t xml:space="preserve">VERIFICATION SOURCES (for the columns you'll fill later)</t>
  </si>
  <si>
    <t xml:space="preserve">UGC-DEB:  https://deb.ugc.ac.in   (always cross-check the latest public notice)</t>
  </si>
  <si>
    <t xml:space="preserve">AICTE:    https://facilities.aicte-india.org   (only relevant for AICTE-mandated programs)</t>
  </si>
  <si>
    <t xml:space="preserve">NAAC:     https://naac.gov.in   (institutional accreditation grade and CGPA)</t>
  </si>
  <si>
    <t xml:space="preserve">NIRF:     https://nirfindia.org   (latest year's rank in University / Management / Overall categories)</t>
  </si>
  <si>
    <t xml:space="preserve">IMPORTANT NOTES</t>
  </si>
  <si>
    <t xml:space="preserve">• AICTE approval is generally NOT required for UGC-DEB online MBA / MCA programmes offered by universities.</t>
  </si>
  <si>
    <t xml:space="preserve">  UGC-DEB is the sole regulator for online programmes from universities. Mark AICTE as 'N/A' for UGC-DEB online MBAs.</t>
  </si>
  <si>
    <t xml:space="preserve">• Some programmes are NOT under UGC-DEB scope at all (e.g., engineering, medical, law, teacher education,</t>
  </si>
  <si>
    <t xml:space="preserve">  agriculture, hotel management, aviation, pharmacy). If a university advertises these online, treat as RED.</t>
  </si>
  <si>
    <t xml:space="preserve">• Specialisations within an approved parent programme (e.g., MBA-Marketing under approved MBA) are usually</t>
  </si>
  <si>
    <t xml:space="preserve">  permitted, but only the exact programmes listed in this workbook are explicitly approved by UGC-DEB.</t>
  </si>
  <si>
    <t xml:space="preserve">DATA SOURCES (TWO UGC NOTICES MERGED IN THIS WORKBOOK)</t>
  </si>
  <si>
    <t xml:space="preserve">Notice 1 — UGC list dated 08-Jan-2026 (113 universities, 750 programmes for AY 2025-26 Jan-Feb 2026 session).</t>
  </si>
  <si>
    <t xml:space="preserve">Notice 2 — UGC list dated 15-Dec-2025 (13 universities, 38 programmes; per-batch recognition periods printed in the notice).</t>
  </si>
  <si>
    <t xml:space="preserve">VALIDITY STATUS COLUMN (Master_Online)</t>
  </si>
  <si>
    <t xml:space="preserve">Auto-calculated from 'Recognition End Date':</t>
  </si>
  <si>
    <t xml:space="preserve">  Active                — recognition runs more than 180 days into the future.</t>
  </si>
  <si>
    <t xml:space="preserve">  Active (per Notice 1) — sourced from Notice 1 (no per-row end date in the notice itself).</t>
  </si>
  <si>
    <t xml:space="preserve">  Expiring Soon         — within 180 days of recognition end. Verify renewal before publishing.</t>
  </si>
  <si>
    <t xml:space="preserve">  Expired               — recognition window closed. Do NOT list this combination as approved.</t>
  </si>
  <si>
    <t xml:space="preserve">OVERLAPPING UNIVERSITIES (between Notice 1 and Notice 2)</t>
  </si>
  <si>
    <t xml:space="preserve">Manav Rachna, G.L.A. University, and Amity University (UP) appear in both notices but with</t>
  </si>
  <si>
    <t xml:space="preserve">DIFFERENT programmes in each. Both sets are kept — filter on 'UGC Notice' column to see one.</t>
  </si>
  <si>
    <t xml:space="preserve">WATCH-LIST</t>
  </si>
  <si>
    <t xml:space="preserve">Manav Rachna (Notice 2 batch) and G.L.A. University (Notice 2 batch) have recognition ending</t>
  </si>
  <si>
    <t xml:space="preserve">January 2026 — these will auto-flag as 'Expired' once that date passes. Re-verify on UGC DEB</t>
  </si>
  <si>
    <t xml:space="preserve">portal before promoting these specific programmes.</t>
  </si>
  <si>
    <t xml:space="preserve">AICTE APPROVAL DATA (added in this update)</t>
  </si>
  <si>
    <t xml:space="preserve">Source: AICTE Online Programmes list (216 programme rows across 65 institutions).</t>
  </si>
  <si>
    <t xml:space="preserve">AICTE COLUMN VALUES IN Master_Online:</t>
  </si>
  <si>
    <t xml:space="preserve">  Yes  — University+programme combination IS in BOTH UGC-DEB and AICTE online lists.</t>
  </si>
  <si>
    <t xml:space="preserve">  N/A  — Programme falls outside AICTE jurisdiction (Arts, Commerce, Sciences, Languages,</t>
  </si>
  <si>
    <t xml:space="preserve">         Social Work, Library Sciences, Sanskrit programmes, etc.). AICTE does not regulate these.</t>
  </si>
  <si>
    <t xml:space="preserve">  No   — UGC-DEB approved but NOT found in the AICTE online list. This is NOT a problem for</t>
  </si>
  <si>
    <t xml:space="preserve">         universities offering online MBA/MCA — UGC-DEB is the sole regulator. AICTE approval</t>
  </si>
  <si>
    <t xml:space="preserve">         is an additional credibility signal, not a legal requirement for university programmes.</t>
  </si>
  <si>
    <t xml:space="preserve">AICTE_RECONCILIATION SHEET</t>
  </si>
  <si>
    <t xml:space="preserve">Shows every AICTE row mapped against UGC-DEB. Three match statuses:</t>
  </si>
  <si>
    <t xml:space="preserve">  • Both Approved (UGC + AICTE) — strongest credibility for SEO/positioning purposes.</t>
  </si>
  <si>
    <t xml:space="preserve">  • AICTE only — not in UGC list — usually standalone institutes (IMI Delhi, GIM Goa, MDI,</t>
  </si>
  <si>
    <t xml:space="preserve">    XLRI, S.P. Jain etc.) offering PGDM. PGDMs are AICTE-approved diplomas, NOT UGC degrees,</t>
  </si>
  <si>
    <t xml:space="preserve">    and don't require UGC-DEB approval. Treat these as legitimately approved.</t>
  </si>
  <si>
    <t xml:space="preserve">  • AICTE only — category not in UGC scope — university is in UGC-DEB list but UGC didn't</t>
  </si>
  <si>
    <t xml:space="preserve">    approve that specific category online. The AICTE listing is still valid on its own.</t>
  </si>
  <si>
    <t xml:space="preserve">REGULATORY HIERARCHY (IMPORTANT)</t>
  </si>
  <si>
    <t xml:space="preserve">For ONLINE programmes from a UNIVERSITY (state/private/deemed/central):</t>
  </si>
  <si>
    <t xml:space="preserve">  → UGC-DEB approval is MANDATORY and SUFFICIENT. AICTE approval is supplementary.</t>
  </si>
  <si>
    <t xml:space="preserve">For ONLINE programmes from a STANDALONE INSTITUTE (e.g., IMI, GIM, MDI, XLRI):</t>
  </si>
  <si>
    <t xml:space="preserve">  → AICTE approval is the relevant regulatory requirement (UGC-DEB doesn't apply,</t>
  </si>
  <si>
    <t xml:space="preserve">    these institutes offer PGDM, not UGC degrees).</t>
  </si>
  <si>
    <t xml:space="preserve">NIRF 2025 RANKINGS (added in this update)</t>
  </si>
  <si>
    <t xml:space="preserve">Source: NIRF India Rankings 2025 across all 17 categories. Sheet: nirfindia.org</t>
  </si>
  <si>
    <t xml:space="preserve">RANK COLUMNS IN Master_Online</t>
  </si>
  <si>
    <t xml:space="preserve">17 dedicated NIRF rank columns (cols 18–34) — one per NIRF category:</t>
  </si>
  <si>
    <t xml:space="preserve">Overall · University · Research · Engineering · Management · Pharmacy · Medical · Dental ·</t>
  </si>
  <si>
    <t xml:space="preserve">Law · Architecture · Agriculture · Innovation · State Public Universities · Open University ·</t>
  </si>
  <si>
    <t xml:space="preserve">Skill University · SDG Institutions · College.</t>
  </si>
  <si>
    <t xml:space="preserve">Empty cell = university not ranked in that NIRF category.</t>
  </si>
  <si>
    <t xml:space="preserve">RANK COLOR LEGEND (in Master_Online and NIRF_All_Rankings)</t>
  </si>
  <si>
    <t xml:space="preserve">  Dark green   — Top 10</t>
  </si>
  <si>
    <t xml:space="preserve">  Light green  — Top 11–50</t>
  </si>
  <si>
    <t xml:space="preserve">  Light yellow — Top 51–100</t>
  </si>
  <si>
    <t xml:space="preserve">  Plain        — Top 101+</t>
  </si>
  <si>
    <t xml:space="preserve">NIRF_ALL_RANKINGS SHEET</t>
  </si>
  <si>
    <t xml:space="preserve">One row per UGC-DEB university with all 17 NIRF rank columns side by side.</t>
  </si>
  <si>
    <t xml:space="preserve">Use this sheet to compare universities across categories at a glance.</t>
  </si>
  <si>
    <t xml:space="preserve">Includes 'NIRF Match Score' column — 1.0 means exact name match; 0.7+ is high-confidence;</t>
  </si>
  <si>
    <t xml:space="preserve">below 0.7 means manual verification recommended.</t>
  </si>
  <si>
    <t xml:space="preserve">WHY SOME UNIVERSITIES SHOW '—' FOR EVERY CATEGORY</t>
  </si>
  <si>
    <t xml:space="preserve">NIRF 2025 ranks ~538 institutions total. Many UGC-DEB-approved universities (especially newer</t>
  </si>
  <si>
    <t xml:space="preserve">private universities, niche state universities, and Sanskrit/regional universities) did not</t>
  </si>
  <si>
    <t xml:space="preserve">participate in NIRF 2025 or did not make any category cut-off. Absence of NIRF rank ≠ low quality;</t>
  </si>
  <si>
    <t xml:space="preserve">NIRF participation is voluntary and skews toward research-active multi-discipline institutions.</t>
  </si>
  <si>
    <t xml:space="preserve">NAAC ACCREDITATION DATA (added in this update)</t>
  </si>
  <si>
    <t xml:space="preserve">Source: NAAC official 'Institutions accredited by NAAC having valid accreditation' (as on 14-Aug-2025).</t>
  </si>
  <si>
    <t xml:space="preserve">Universities sheet only — 497 universities with currently-valid NAAC accreditation.</t>
  </si>
  <si>
    <t xml:space="preserve">NAAC COLUMNS IN Master_Online</t>
  </si>
  <si>
    <t xml:space="preserve">  P  NAAC Grade        — A++ / A+ / A / B++ / B+ / B / C</t>
  </si>
  <si>
    <t xml:space="preserve">  Q  NAAC CGPA         — Numeric score out of 4.00</t>
  </si>
  <si>
    <t xml:space="preserve">  R  NAAC Cycle        — Which assessment cycle (1, 2, 3, 4)</t>
  </si>
  <si>
    <t xml:space="preserve">  S  NAAC Declared On  — Date NAAC declared the grade</t>
  </si>
  <si>
    <t xml:space="preserve">  T  NAAC Validity     — Auto-calc: Valid / Expiring Soon / Expired (5-year accreditation cycle)</t>
  </si>
  <si>
    <t xml:space="preserve">  U  NAAC Tier         — Auto-calc: Top Tier (A++) / High (A+) / Strong (A) / Acceptable (B*) / Below Avg (C)</t>
  </si>
  <si>
    <t xml:space="preserve">GRADE COLOR LEGEND</t>
  </si>
  <si>
    <t xml:space="preserve">  A++  Gold      Top tier — NAAC's highest grade</t>
  </si>
  <si>
    <t xml:space="preserve">  A+   Strong green  High accreditation</t>
  </si>
  <si>
    <t xml:space="preserve">  A    Light green   Strong accreditation</t>
  </si>
  <si>
    <t xml:space="preserve">  B*   Light yellow  Acceptable, room for improvement</t>
  </si>
  <si>
    <t xml:space="preserve">  C    Red       Below average</t>
  </si>
  <si>
    <t xml:space="preserve">  Empty            University either not NAAC-accredited or accreditation has expired</t>
  </si>
  <si>
    <t xml:space="preserve">WHY NAAC MATTERS FOR ONLINE PROGRAMME ELIGIBILITY</t>
  </si>
  <si>
    <t xml:space="preserve">Per UGC (Open and Distance Learning and Online Programmes) Regulations, only universities with</t>
  </si>
  <si>
    <t xml:space="preserve">valid NAAC accreditation of A grade or above (CGPA &gt;= 3.01) are AUTOMATICALLY entitled to offer</t>
  </si>
  <si>
    <t xml:space="preserve">online programmes. Universities with lower grades or no accreditation can still offer online</t>
  </si>
  <si>
    <t xml:space="preserve">programmes but require additional UGC-DEB approval (which all universities in this workbook have).</t>
  </si>
  <si>
    <t xml:space="preserve">Therefore, NAAC grade is a strong credibility signal but not a legal blocker — UGC-DEB approval</t>
  </si>
  <si>
    <t xml:space="preserve">(which IS verified in this workbook) is the actual regulatory requirement.</t>
  </si>
  <si>
    <t xml:space="preserve">WHY SOME UNIVERSITIES SHOW BLANK NAAC GRADE</t>
  </si>
  <si>
    <t xml:space="preserve">NAAC accreditation is voluntary and lasts 5 years from declaration. A blank grade means either:</t>
  </si>
  <si>
    <t xml:space="preserve">  1. The university has never undergone NAAC assessment, or</t>
  </si>
  <si>
    <t xml:space="preserve">  2. The previous accreditation has expired and a new cycle is in progress, or</t>
  </si>
  <si>
    <t xml:space="preserve">  3. The name in our list differs significantly from the NAAC registry (rare; manual review needed).</t>
  </si>
  <si>
    <t xml:space="preserve">Examples typical of category 1: very recently established private universities. Always cross-check</t>
  </si>
  <si>
    <t xml:space="preserve">the official portal at naac.gov.in before publishing claims about a specific university.</t>
  </si>
  <si>
    <t xml:space="preserve">AACSB INTERNATIONAL ACCREDITATION (added in this update)</t>
  </si>
  <si>
    <t xml:space="preserve">Source: aacsb.edu accredited list &amp; member directory.</t>
  </si>
  <si>
    <t xml:space="preserve">WHAT IS AACSB</t>
  </si>
  <si>
    <t xml:space="preserve">AACSB International (Association to Advance Collegiate Schools of Business) is a global,</t>
  </si>
  <si>
    <t xml:space="preserve">voluntary B-school accreditation body founded in 1916. It is widely regarded as the gold-standard</t>
  </si>
  <si>
    <t xml:space="preserve">accreditation for management education worldwide. Less than 6% of business schools globally hold</t>
  </si>
  <si>
    <t xml:space="preserve">AACSB accreditation. India has 24 AACSB-accredited B-schools and 6 member-only schools (Aug 2025).</t>
  </si>
  <si>
    <t xml:space="preserve">ACCREDITATION TIMELINES</t>
  </si>
  <si>
    <t xml:space="preserve">  • Initial AACSB Business Accreditation:  5–7 years to earn from application date</t>
  </si>
  <si>
    <t xml:space="preserve">  • Continuous Improvement Review (CIR):   Every 5 years post-accreditation, ongoing</t>
  </si>
  <si>
    <t xml:space="preserve">  • Member-Only status:                    School is an AACSB member but has not yet earned</t>
  </si>
  <si>
    <t xml:space="preserve">                                            accreditation; this signals intent and engagement,</t>
  </si>
  <si>
    <t xml:space="preserve">                                            not the same credibility as full accreditation.</t>
  </si>
  <si>
    <t xml:space="preserve">AACSB COLUMNS IN Master_Online (cols V, W, X)</t>
  </si>
  <si>
    <t xml:space="preserve">  V  AACSB Status   — 'Accredited' (gold), 'Member-Only' (amber), '—' (school exists at this</t>
  </si>
  <si>
    <t xml:space="preserve">                       university but the current row's programme isn't management-related),</t>
  </si>
  <si>
    <t xml:space="preserve">                       or blank (university has no AACSB B-school).</t>
  </si>
  <si>
    <t xml:space="preserve">  W  AACSB School   — Specific B-school name within the university (e.g. 'T. A. Pai Management</t>
  </si>
  <si>
    <t xml:space="preserve">                       Institute' for Manipal Academy of Higher Education).</t>
  </si>
  <si>
    <t xml:space="preserve">  X  AACSB URL      — Clickable link to the AACSB profile page.</t>
  </si>
  <si>
    <t xml:space="preserve">IMPORTANT — WHY MOST UNIVERSITIES SHOW BLANK FOR AACSB</t>
  </si>
  <si>
    <t xml:space="preserve">AACSB accredits SCHOOLS, not whole universities. Of our 123 UGC-DEB online universities, only a</t>
  </si>
  <si>
    <t xml:space="preserve">handful operate AACSB-accredited business schools. Examples in our online list with AACSB:</t>
  </si>
  <si>
    <t xml:space="preserve">  • Manipal Academy of Higher Education  → T. A. Pai Management Institute (Accredited)</t>
  </si>
  <si>
    <t xml:space="preserve">  • Symbiosis International              → SCMHRD (Accredited)</t>
  </si>
  <si>
    <t xml:space="preserve">  • Vellore Institute of Technology      → VIT Business School (Accredited)</t>
  </si>
  <si>
    <t xml:space="preserve">  • NMIMS                                → School of Business Management (Accredited)</t>
  </si>
  <si>
    <t xml:space="preserve">  • Amrita Vishwa Vidyapeetham           → Amrita School of Business Coimbatore (Accredited)</t>
  </si>
  <si>
    <t xml:space="preserve">  • Indian Institute of Foreign Trade    → IIFT (Accredited)</t>
  </si>
  <si>
    <t xml:space="preserve">  • ICFAI Foundation for Higher Edu      → ICFAI Business School Hyderabad (Accredited)</t>
  </si>
  <si>
    <t xml:space="preserve">Other AACSB-accredited Indian B-schools (XLRI, IIMs, ISB, IMI Delhi, IMT Ghaziabad, MDI Gurgaon,</t>
  </si>
  <si>
    <t xml:space="preserve">S.P. Jain, Great Lakes, Jaipuria, IIM Indore/Lucknow/Calcutta/Udaipur, etc.) are STANDALONE</t>
  </si>
  <si>
    <t xml:space="preserve">INSTITUTES that don't have UGC-DEB online approval — see the AACSB_Reference sheet for the full</t>
  </si>
  <si>
    <t xml:space="preserve">Indian AACSB list.</t>
  </si>
  <si>
    <t xml:space="preserve">AACSB_REFERENCE SHEET</t>
  </si>
  <si>
    <t xml:space="preserve">Complete list of every AACSB-accredited and AACSB-member institution in India (30 schools).</t>
  </si>
  <si>
    <t xml:space="preserve">Useful for content/blogs that compare top Indian B-schools beyond just our UGC-DEB online list.</t>
  </si>
  <si>
    <t xml:space="preserve">NBA ACCREDITATION (added in this update)</t>
  </si>
  <si>
    <t xml:space="preserve">Source: AICTE NBA Approved Courses list (status as on 30-Apr-2025).</t>
  </si>
  <si>
    <t xml:space="preserve">3,584 NBA-accredited courses across 991 institutes nationwide.</t>
  </si>
  <si>
    <t xml:space="preserve">WHAT IS NBA</t>
  </si>
  <si>
    <t xml:space="preserve">NBA (National Board of Accreditation) is an autonomous body under AICTE that accredits</t>
  </si>
  <si>
    <t xml:space="preserve">individual technical/professional COURSES in India — not whole institutes. NBA covers:</t>
  </si>
  <si>
    <t xml:space="preserve">Engineering &amp; Technology (B.Tech, M.Tech, Diploma), Management (MBA, PGDM), MCA, Pharmacy,</t>
  </si>
  <si>
    <t xml:space="preserve">Architecture, Hotel Management. NBA does NOT accredit Arts/Commerce/Sciences/Humanities.</t>
  </si>
  <si>
    <t xml:space="preserve">  • Initial NBA accreditation:   Granted for typically 3 years (sometimes 5).</t>
  </si>
  <si>
    <t xml:space="preserve">  • Validity Status (per course): Each course has its own 'Acred. Till' date in the NBA list.</t>
  </si>
  <si>
    <t xml:space="preserve">  • Renewal:                      Institutes must reapply before expiry. Lapsed accreditation</t>
  </si>
  <si>
    <t xml:space="preserve">                                   indicates either a transition gap or a quality concern.</t>
  </si>
  <si>
    <t xml:space="preserve">NBA COLUMNS IN Master_Online (cols Y, Z, AA, AB)</t>
  </si>
  <si>
    <t xml:space="preserve">  Y   NBA Courses (count)   — Total NBA-accredited courses at this university (any domain).</t>
  </si>
  <si>
    <t xml:space="preserve">  Z   NBA Earliest Expiry   — Soonest 'Acred. Till' date among that university's NBA courses.</t>
  </si>
  <si>
    <t xml:space="preserve">  AA  NBA Status            — 'All Valid' / 'Mixed' / 'All Expired' / blank.</t>
  </si>
  <si>
    <t xml:space="preserve">  AB  NBA Domains           — Which domains are covered: Engg / Mgmt / MCA / Pharm / Arch / Hotel.</t>
  </si>
  <si>
    <t xml:space="preserve">CRITICAL CAVEAT — DO NOT MISUSE NBA FOR ONLINE PROGRAMME CONTENT</t>
  </si>
  <si>
    <t xml:space="preserve">NBA accredits OFFLINE technical courses at the institute. Therefore:</t>
  </si>
  <si>
    <t xml:space="preserve">  • A university with NBA-accredited offline B.Tech does NOT have NBA-accredited online MBA.</t>
  </si>
  <si>
    <t xml:space="preserve">  • Different programmes, different delivery modes, different regulators (UGC-DEB for online).</t>
  </si>
  <si>
    <t xml:space="preserve">  • Surface NBA on edifyedu.in only as a GENERAL INSTITUTIONAL CREDIBILITY signal —</t>
  </si>
  <si>
    <t xml:space="preserve">    e.g., 'Manipal Jaipur has NBA-accredited engineering programmes' — never as approval</t>
  </si>
  <si>
    <t xml:space="preserve">    for the specific online MBA/MCA/BBA listed at edifyedu.in.</t>
  </si>
  <si>
    <t xml:space="preserve">NBA_REFERENCE SHEET</t>
  </si>
  <si>
    <t xml:space="preserve">Lists every NBA-accredited course at the UGC-DEB universities in our list (with course-level</t>
  </si>
  <si>
    <t xml:space="preserve">validity dates). Use this when verifying a specific NBA claim made by a university or in marketing.</t>
  </si>
  <si>
    <t xml:space="preserve">Universities NOT in this sheet either don't have NBA-accredited courses OR their NBA-listed</t>
  </si>
  <si>
    <t xml:space="preserve">name is so different from their UGC-DEB name that automatic matching couldn't be confirmed.</t>
  </si>
  <si>
    <t xml:space="preserve">MATCHING METHODOLOGY</t>
  </si>
  <si>
    <t xml:space="preserve">NBA institute names were matched conservatively to UGC-DEB universities using a verified</t>
  </si>
  <si>
    <t xml:space="preserve">name-mapping approach. Affiliated colleges that share words with a university (e.g. 'Mahatma</t>
  </si>
  <si>
    <t xml:space="preserve">Gandhi Institute of Technology' — different entity from 'Mahatma Gandhi University') are</t>
  </si>
  <si>
    <t xml:space="preserve">deliberately NOT counted to avoid false positives. If you spot a missing match, the university's</t>
  </si>
  <si>
    <t xml:space="preserve">NBA-listed name probably differs from its UGC-DEB name — check the NBA portal at nbaind.org.</t>
  </si>
  <si>
    <t xml:space="preserve">NIRF UMBRELLA-vs-SCHOOL ATTRIBUTION POLICY (added in this update)</t>
  </si>
  <si>
    <t xml:space="preserve">THE PROBLEM</t>
  </si>
  <si>
    <t xml:space="preserve">NIRF often ranks a constituent school of a deemed university SEPARATELY from the umbrella.</t>
  </si>
  <si>
    <t xml:space="preserve">Example: 'Symbiosis International (Deemed University)' is the UGC-DEB umbrella, but its</t>
  </si>
  <si>
    <t xml:space="preserve">Management ranking sits under 'Symbiosis Institute of Business Management' (SIBM Pune,</t>
  </si>
  <si>
    <t xml:space="preserve">Management #11) — a constituent school. Naive matching would show Symbiosis with no</t>
  </si>
  <si>
    <t xml:space="preserve">Management rank, hiding the fact that one of its schools is in the top 12 nationally.</t>
  </si>
  <si>
    <t xml:space="preserve">OUR POLICY</t>
  </si>
  <si>
    <t xml:space="preserve">When a NIRF-ranked school is genuinely part of a UGC-DEB umbrella (legally a constituent</t>
  </si>
  <si>
    <t xml:space="preserve">school of the same deemed university, not just a name match), we attribute that rank to</t>
  </si>
  <si>
    <t xml:space="preserve">the umbrella with a 'via [school name]' note in the Notes column.</t>
  </si>
  <si>
    <t xml:space="preserve">Attributed cells in Master_Online appear with a light blue fill and italic blue text</t>
  </si>
  <si>
    <t xml:space="preserve">to distinguish them from direct umbrella rankings.</t>
  </si>
  <si>
    <t xml:space="preserve">EXAMPLES OF ATTRIBUTIONS APPLIED</t>
  </si>
  <si>
    <t xml:space="preserve">  Symbiosis International:</t>
  </si>
  <si>
    <t xml:space="preserve">    NIRF Mgmt #11 via SIBM Pune (umbrella itself isn't in Mgmt list)</t>
  </si>
  <si>
    <t xml:space="preserve">    NIRF Law #7  via Symbiosis Law School, Pune</t>
  </si>
  <si>
    <t xml:space="preserve">  Manipal Academy of Higher Education:</t>
  </si>
  <si>
    <t xml:space="preserve">    NIRF Mgmt #39 via TAPMI Manipal</t>
  </si>
  <si>
    <t xml:space="preserve">    NIRF Pharmacy #8 via Manipal College of Pharmaceutical Sciences</t>
  </si>
  <si>
    <t xml:space="preserve">    NIRF Medical #10 via Kasturba Medical College Manipal</t>
  </si>
  <si>
    <t xml:space="preserve">    NIRF Dental #5 via Manipal College of Dental Sciences Manipal</t>
  </si>
  <si>
    <t xml:space="preserve">    NIRF Engineering #59 via Manipal Institute of Technology</t>
  </si>
  <si>
    <t xml:space="preserve">    NIRF Architecture #27 via Manipal School of Architecture and Planning</t>
  </si>
  <si>
    <t xml:space="preserve">  JSS Academy of Higher Education and Research:</t>
  </si>
  <si>
    <t xml:space="preserve">    NIRF Pharmacy #4 via JSS College of Pharmacy</t>
  </si>
  <si>
    <t xml:space="preserve">    NIRF Medical #37 via JSS Medical College Mysore</t>
  </si>
  <si>
    <t xml:space="preserve">    NIRF Dental #10 via JSS Dental College and Hospital</t>
  </si>
  <si>
    <t xml:space="preserve">NOT ATTRIBUTED — INTENTIONAL EXCLUSIONS</t>
  </si>
  <si>
    <t xml:space="preserve">  S. P. Jain Institute of Management is NOT 'Jain (Deemed-to-be University)' — different</t>
  </si>
  <si>
    <t xml:space="preserve">    legal entity, despite name similarity. Their Management #20 is NOT shown for Jain Univ.</t>
  </si>
  <si>
    <t xml:space="preserve">  Bharathidasan Institute of Management is NOT part of Bharathidasan University — different</t>
  </si>
  <si>
    <t xml:space="preserve">    legal entity. Mgmt #96 is NOT attributed.</t>
  </si>
  <si>
    <t xml:space="preserve">  Christian Medical College is NOT part of Christ University — different denomination/entity.</t>
  </si>
  <si>
    <t xml:space="preserve">  NIT Karnataka / NIT Kurukshetra are NOT the corresponding state universities.</t>
  </si>
  <si>
    <t xml:space="preserve">  Madras Christian College is NOT part of Christ (Deemed to be University).</t>
  </si>
  <si>
    <t xml:space="preserve">WHY THIS POLICY MATTERS FOR EDIFYEDU.IN</t>
  </si>
  <si>
    <t xml:space="preserve">Most education portals collapse this distinction silently — claiming SIBM's #11 as 'Symbiosis</t>
  </si>
  <si>
    <t xml:space="preserve">MBA #11' on a generic Symbiosis page. That misleads students who don't realise the online</t>
  </si>
  <si>
    <t xml:space="preserve">MBA they're considering is delivered by SSODL (Symbiosis School for Online and Digital</t>
  </si>
  <si>
    <t xml:space="preserve">Learning), NOT by SIBM. By labelling each rank with its source school, students can judge</t>
  </si>
  <si>
    <t xml:space="preserve">whether the rank actually applies to the programme they're researching.</t>
  </si>
  <si>
    <t xml:space="preserve">S.No</t>
  </si>
  <si>
    <t xml:space="preserve">UGC S.No</t>
  </si>
  <si>
    <t xml:space="preserve">State</t>
  </si>
  <si>
    <t xml:space="preserve">HEI Type</t>
  </si>
  <si>
    <t xml:space="preserve">University Name</t>
  </si>
  <si>
    <t xml:space="preserve">Programme Name</t>
  </si>
  <si>
    <t xml:space="preserve">Programme Category</t>
  </si>
  <si>
    <t xml:space="preserve">Level</t>
  </si>
  <si>
    <t xml:space="preserve">Mode</t>
  </si>
  <si>
    <t xml:space="preserve">UGC-DEB Approved</t>
  </si>
  <si>
    <t xml:space="preserve">UGC Notice</t>
  </si>
  <si>
    <t xml:space="preserve">Recognition Period</t>
  </si>
  <si>
    <t xml:space="preserve">Recognition End Date</t>
  </si>
  <si>
    <t xml:space="preserve">Validity Status</t>
  </si>
  <si>
    <t xml:space="preserve">AICTE Approved</t>
  </si>
  <si>
    <t xml:space="preserve">NAAC Grade</t>
  </si>
  <si>
    <t xml:space="preserve">NAAC CGPA</t>
  </si>
  <si>
    <t xml:space="preserve">NAAC Cycle</t>
  </si>
  <si>
    <t xml:space="preserve">NAAC Declared On</t>
  </si>
  <si>
    <t xml:space="preserve">NAAC Validity Status</t>
  </si>
  <si>
    <t xml:space="preserve">NAAC Tier</t>
  </si>
  <si>
    <t xml:space="preserve">AACSB Status</t>
  </si>
  <si>
    <t xml:space="preserve">AACSB Accredited School</t>
  </si>
  <si>
    <t xml:space="preserve">AACSB URL</t>
  </si>
  <si>
    <t xml:space="preserve">NBA Courses (count)</t>
  </si>
  <si>
    <t xml:space="preserve">NBA Earliest Expiry</t>
  </si>
  <si>
    <t xml:space="preserve">NBA Status</t>
  </si>
  <si>
    <t xml:space="preserve">NBA Domains</t>
  </si>
  <si>
    <t xml:space="preserve">NIRF: Overall</t>
  </si>
  <si>
    <t xml:space="preserve">NIRF: University</t>
  </si>
  <si>
    <t xml:space="preserve">NIRF: Research</t>
  </si>
  <si>
    <t xml:space="preserve">NIRF: Engineering</t>
  </si>
  <si>
    <t xml:space="preserve">NIRF: Management</t>
  </si>
  <si>
    <t xml:space="preserve">NIRF: Pharmacy</t>
  </si>
  <si>
    <t xml:space="preserve">NIRF: Medical</t>
  </si>
  <si>
    <t xml:space="preserve">NIRF: Dental</t>
  </si>
  <si>
    <t xml:space="preserve">NIRF: Law</t>
  </si>
  <si>
    <t xml:space="preserve">NIRF: Architecture</t>
  </si>
  <si>
    <t xml:space="preserve">NIRF: Agriculture</t>
  </si>
  <si>
    <t xml:space="preserve">NIRF: Innovation</t>
  </si>
  <si>
    <t xml:space="preserve">NIRF: State Public</t>
  </si>
  <si>
    <t xml:space="preserve">NIRF: Open</t>
  </si>
  <si>
    <t xml:space="preserve">NIRF: Skill</t>
  </si>
  <si>
    <t xml:space="preserve">NIRF: SDG</t>
  </si>
  <si>
    <t xml:space="preserve">NIRF: College</t>
  </si>
  <si>
    <t xml:space="preserve">Verified On</t>
  </si>
  <si>
    <t xml:space="preserve">Notes</t>
  </si>
  <si>
    <t xml:space="preserve">Andhra Pradesh</t>
  </si>
  <si>
    <t xml:space="preserve">State University</t>
  </si>
  <si>
    <t xml:space="preserve">Andhra University</t>
  </si>
  <si>
    <t xml:space="preserve">Bachelor of Commerce (Accountancy)</t>
  </si>
  <si>
    <t xml:space="preserve">B.Com</t>
  </si>
  <si>
    <t xml:space="preserve">UG</t>
  </si>
  <si>
    <t xml:space="preserve">Online</t>
  </si>
  <si>
    <t xml:space="preserve">Yes</t>
  </si>
  <si>
    <t xml:space="preserve">Notice 1 (Jan 2026)</t>
  </si>
  <si>
    <t xml:space="preserve">AY 2025-26, Jan-Feb 2026 session</t>
  </si>
  <si>
    <t xml:space="preserve">N/A</t>
  </si>
  <si>
    <t xml:space="preserve">A++</t>
  </si>
  <si>
    <t xml:space="preserve">Bachelor of Arts (History, Economics, Politics)</t>
  </si>
  <si>
    <t xml:space="preserve">BA</t>
  </si>
  <si>
    <t xml:space="preserve">Bachelor of Commerce</t>
  </si>
  <si>
    <t xml:space="preserve">Master of Arts (Sociology)</t>
  </si>
  <si>
    <t xml:space="preserve">MA</t>
  </si>
  <si>
    <t xml:space="preserve">PG</t>
  </si>
  <si>
    <t xml:space="preserve">Master of Business Administration</t>
  </si>
  <si>
    <t xml:space="preserve">MBA</t>
  </si>
  <si>
    <t xml:space="preserve">No</t>
  </si>
  <si>
    <t xml:space="preserve">Master of Computer Applications</t>
  </si>
  <si>
    <t xml:space="preserve">MCA</t>
  </si>
  <si>
    <t xml:space="preserve">Master of Commerce</t>
  </si>
  <si>
    <t xml:space="preserve">M.Com</t>
  </si>
  <si>
    <t xml:space="preserve">Master of Arts (Political Science)</t>
  </si>
  <si>
    <t xml:space="preserve">Master of Arts (Economics)</t>
  </si>
  <si>
    <t xml:space="preserve">Master of Arts (English)</t>
  </si>
  <si>
    <t xml:space="preserve">Master of Arts (Human Resource Management)</t>
  </si>
  <si>
    <t xml:space="preserve">Master of Arts (Journalism &amp; Mass Communication)</t>
  </si>
  <si>
    <t xml:space="preserve">Deemed-to-be University</t>
  </si>
  <si>
    <t xml:space="preserve">Koneru Lakshmaiah Education Foundation</t>
  </si>
  <si>
    <t xml:space="preserve">Bachelor of Business Administration</t>
  </si>
  <si>
    <t xml:space="preserve">BBA</t>
  </si>
  <si>
    <t xml:space="preserve">Bachelor of Computer Applications</t>
  </si>
  <si>
    <t xml:space="preserve">BCA</t>
  </si>
  <si>
    <t xml:space="preserve">Master of Business Administration (Digital Marketing)</t>
  </si>
  <si>
    <t xml:space="preserve">Master of Business Administration (Entrepreneurship)</t>
  </si>
  <si>
    <t xml:space="preserve">Master of Business Administration (Data Science)</t>
  </si>
  <si>
    <t xml:space="preserve">Master of Business Administration (Logistics &amp; Supply Chain Management)</t>
  </si>
  <si>
    <t xml:space="preserve">Vignan's Foundation for Science, Technology and Research</t>
  </si>
  <si>
    <t xml:space="preserve">Bachelor of Business Administration (General)</t>
  </si>
  <si>
    <t xml:space="preserve">A+</t>
  </si>
  <si>
    <t xml:space="preserve">All Valid</t>
  </si>
  <si>
    <t xml:space="preserve">Engg</t>
  </si>
  <si>
    <t xml:space="preserve">Master of Business Administration (HR)</t>
  </si>
  <si>
    <t xml:space="preserve">Master of Business Administration (Finance)</t>
  </si>
  <si>
    <t xml:space="preserve">Master of Business Administration (General)</t>
  </si>
  <si>
    <t xml:space="preserve">Private University</t>
  </si>
  <si>
    <t xml:space="preserve">Mohan Babu University</t>
  </si>
  <si>
    <t xml:space="preserve">Assam</t>
  </si>
  <si>
    <t xml:space="preserve">Assam Down Town University</t>
  </si>
  <si>
    <t xml:space="preserve">Chhattisgarh</t>
  </si>
  <si>
    <t xml:space="preserve">Central University</t>
  </si>
  <si>
    <t xml:space="preserve">Guru Ghasidas Vishwavidyalaya</t>
  </si>
  <si>
    <t xml:space="preserve">Bachelor of Commerce (Hons)</t>
  </si>
  <si>
    <t xml:space="preserve">Bachelor of Library &amp; Information Sciences</t>
  </si>
  <si>
    <t xml:space="preserve">BLIS</t>
  </si>
  <si>
    <t xml:space="preserve">Master of Social Work</t>
  </si>
  <si>
    <t xml:space="preserve">MSW</t>
  </si>
  <si>
    <t xml:space="preserve">Master of Library &amp; Information Sciences</t>
  </si>
  <si>
    <t xml:space="preserve">MLIS</t>
  </si>
  <si>
    <t xml:space="preserve">Master of Arts (History)</t>
  </si>
  <si>
    <t xml:space="preserve">Master of Arts (English Literature)</t>
  </si>
  <si>
    <t xml:space="preserve">MATS University</t>
  </si>
  <si>
    <t xml:space="preserve">Delhi</t>
  </si>
  <si>
    <t xml:space="preserve">Jamia Hamdard</t>
  </si>
  <si>
    <t xml:space="preserve">Bachelor of Commerce (Hons) (Accountancy)</t>
  </si>
  <si>
    <t xml:space="preserve">Master of Arts (Human Rights)</t>
  </si>
  <si>
    <t xml:space="preserve">Master of Arts (Islamic Studies)</t>
  </si>
  <si>
    <t xml:space="preserve">Jamia Millia Islamia University</t>
  </si>
  <si>
    <t xml:space="preserve">Bachelor of Business Administration (Finance and Accounts)</t>
  </si>
  <si>
    <t xml:space="preserve">Mixed</t>
  </si>
  <si>
    <t xml:space="preserve">Bachelor of Arts (General)</t>
  </si>
  <si>
    <t xml:space="preserve">Bachelor of Commerce (General)</t>
  </si>
  <si>
    <t xml:space="preserve">Master of Arts (Education)</t>
  </si>
  <si>
    <t xml:space="preserve">Master of Arts (Public Administration)</t>
  </si>
  <si>
    <t xml:space="preserve">Master of Arts (Hindi)</t>
  </si>
  <si>
    <t xml:space="preserve">Master of Arts (Urdu)</t>
  </si>
  <si>
    <t xml:space="preserve">Master of Commerce (General)</t>
  </si>
  <si>
    <t xml:space="preserve">Jawaharlal Nehru University</t>
  </si>
  <si>
    <t xml:space="preserve">Master of Arts (Sanskrit)</t>
  </si>
  <si>
    <t xml:space="preserve">Central Sanskrit University</t>
  </si>
  <si>
    <t xml:space="preserve">Shastri (Vyakarana Shastram)</t>
  </si>
  <si>
    <t xml:space="preserve">Shastri (UG)</t>
  </si>
  <si>
    <t xml:space="preserve">Shastri (Sahityam)</t>
  </si>
  <si>
    <t xml:space="preserve">Acharya (Phalita Jyotisha)</t>
  </si>
  <si>
    <t xml:space="preserve">Acharya (PG)</t>
  </si>
  <si>
    <t xml:space="preserve">Acharya (Sahityam)</t>
  </si>
  <si>
    <t xml:space="preserve">Acharya (Vyakarana Shastram)</t>
  </si>
  <si>
    <t xml:space="preserve">Shastri Hons. (Phalit Jyotisha)</t>
  </si>
  <si>
    <t xml:space="preserve">Guru Gobind Singh Indraprastha Vishwavidyalaya</t>
  </si>
  <si>
    <t xml:space="preserve">Master of Arts (Mass Communication)</t>
  </si>
  <si>
    <t xml:space="preserve">Indian Institute of Foreign Trade</t>
  </si>
  <si>
    <t xml:space="preserve">Master of Business Administration (International Business)</t>
  </si>
  <si>
    <t xml:space="preserve">Accredited</t>
  </si>
  <si>
    <t xml:space="preserve">https://www.aacsb.edu/accredited/i/indian-institute-of-foreign-trade</t>
  </si>
  <si>
    <t xml:space="preserve">Gujarat</t>
  </si>
  <si>
    <t xml:space="preserve">Gujarat University</t>
  </si>
  <si>
    <t xml:space="preserve">Bachelor of Arts (English)</t>
  </si>
  <si>
    <t xml:space="preserve">Master of Science (Mathematics)</t>
  </si>
  <si>
    <t xml:space="preserve">M.Sc</t>
  </si>
  <si>
    <t xml:space="preserve">Charotar University of Science &amp; Technology</t>
  </si>
  <si>
    <t xml:space="preserve">State Open University</t>
  </si>
  <si>
    <t xml:space="preserve">Dr. Babasaheb Ambedkar Open University</t>
  </si>
  <si>
    <t xml:space="preserve">Master of Arts (Gujarati)</t>
  </si>
  <si>
    <t xml:space="preserve">Parul University</t>
  </si>
  <si>
    <t xml:space="preserve">Master of Arts (English Language Teaching)</t>
  </si>
  <si>
    <t xml:space="preserve">Master of Science (Applied Mathematics)</t>
  </si>
  <si>
    <t xml:space="preserve">Marwadi University</t>
  </si>
  <si>
    <t xml:space="preserve">Gujarat Technological University</t>
  </si>
  <si>
    <t xml:space="preserve">G.L.S. University</t>
  </si>
  <si>
    <t xml:space="preserve">Bachelor of Computer Applications (General)</t>
  </si>
  <si>
    <t xml:space="preserve">Master of Computer Applications (General)</t>
  </si>
  <si>
    <t xml:space="preserve">P.P. Savani University</t>
  </si>
  <si>
    <t xml:space="preserve">Master of Arts (French)</t>
  </si>
  <si>
    <t xml:space="preserve">Master of Science (Data Science)</t>
  </si>
  <si>
    <t xml:space="preserve">Haryana</t>
  </si>
  <si>
    <t xml:space="preserve">Guru Jambheshwar University of Science and Technology</t>
  </si>
  <si>
    <t xml:space="preserve">All Expired</t>
  </si>
  <si>
    <t xml:space="preserve">Engg, Mgmt</t>
  </si>
  <si>
    <t xml:space="preserve">Kurukshetra University</t>
  </si>
  <si>
    <t xml:space="preserve">Bachelor of Business Administration (Management)</t>
  </si>
  <si>
    <t xml:space="preserve">Bachelor of Arts</t>
  </si>
  <si>
    <t xml:space="preserve">Maharshi Dayanand University</t>
  </si>
  <si>
    <t xml:space="preserve">Bachelor of Arts (English/Hindi/History/Economics/Public Admin/Pol Sci/Maths/Sanskrit)</t>
  </si>
  <si>
    <t xml:space="preserve">Maharishi Markandeshwar</t>
  </si>
  <si>
    <t xml:space="preserve">Manav Rachna International Institute of Research &amp; Studies</t>
  </si>
  <si>
    <t xml:space="preserve">Bachelor of Arts (Hons) (English)</t>
  </si>
  <si>
    <t xml:space="preserve">Shree Guru Gobind Singh Tricentenary University</t>
  </si>
  <si>
    <t xml:space="preserve">Himachal Pradesh</t>
  </si>
  <si>
    <t xml:space="preserve">Shoolini University of Biotechnology and Management Sciences</t>
  </si>
  <si>
    <t xml:space="preserve">Bachelor of Commerce (Hons) (General)</t>
  </si>
  <si>
    <t xml:space="preserve">Master of Computer Application</t>
  </si>
  <si>
    <t xml:space="preserve">Central University of Himachal Pradesh</t>
  </si>
  <si>
    <t xml:space="preserve">Jammu &amp; Kashmir</t>
  </si>
  <si>
    <t xml:space="preserve">University of Jammu</t>
  </si>
  <si>
    <t xml:space="preserve">Jharkhand</t>
  </si>
  <si>
    <t xml:space="preserve">Birla Institute of Technology</t>
  </si>
  <si>
    <t xml:space="preserve">A</t>
  </si>
  <si>
    <t xml:space="preserve">Karnataka</t>
  </si>
  <si>
    <t xml:space="preserve">Jain (Deemed-to-be University)</t>
  </si>
  <si>
    <t xml:space="preserve">Master of Arts (Public Policy)</t>
  </si>
  <si>
    <t xml:space="preserve">Master of Arts (Jainology, Comparative Religion &amp; Philosophy)</t>
  </si>
  <si>
    <t xml:space="preserve">JSS Academy of Education and Research</t>
  </si>
  <si>
    <t xml:space="preserve">Bachelor of Business Administration (Hospital &amp; Health System Management)</t>
  </si>
  <si>
    <t xml:space="preserve">NIRF Pharmacy #4 via JSS College of Pharmacy; NIRF Medical #37 via JSS Medical College, Mysore; NIRF Dental #10 via JSS Dental College and Hospital</t>
  </si>
  <si>
    <t xml:space="preserve">Master of Business Administration (Hospital Administration)</t>
  </si>
  <si>
    <t xml:space="preserve">Master of Business Administration (Pharmacy Administration)</t>
  </si>
  <si>
    <t xml:space="preserve">Manipal Academy of Higher Education</t>
  </si>
  <si>
    <t xml:space="preserve">Bachelor of Business Administration (4 years)</t>
  </si>
  <si>
    <t xml:space="preserve">T. A. Pai Management Institute</t>
  </si>
  <si>
    <t xml:space="preserve">https://www.aacsb.edu/accredited/t/t-a-pai-management-institute</t>
  </si>
  <si>
    <t xml:space="preserve">NIRF Management #39 via T. A. Pai Management Institute Manipal; NIRF Engineering #59 via Manipal Institute of Technology; NIRF Pharmacy #8 via Manipal College of Pharmaceutical Sciences, Manipal; NIRF Medical #10 via Kasturba Medical College, Manipal; NIRF Dental #5 via Manipal College of Dental Sciences, Manipal; NIRF Architecture #27 via Manipal School of Architecture and Planning, MAHE</t>
  </si>
  <si>
    <t xml:space="preserve">Bachelor of Commerce (Professional)</t>
  </si>
  <si>
    <t xml:space="preserve">—</t>
  </si>
  <si>
    <t xml:space="preserve">Master of Science (Business Analytics)</t>
  </si>
  <si>
    <t xml:space="preserve">Master of Business Administration (Banking and Financial Services)</t>
  </si>
  <si>
    <t xml:space="preserve">Bangalore University</t>
  </si>
  <si>
    <t xml:space="preserve">Master of Arts (Kannada)</t>
  </si>
  <si>
    <t xml:space="preserve">University of Mysore</t>
  </si>
  <si>
    <t xml:space="preserve">Master of Business Administration (Supply Chain Management)</t>
  </si>
  <si>
    <t xml:space="preserve">Master of Business Administration (Operations)</t>
  </si>
  <si>
    <t xml:space="preserve">Master of Business Administration (Human Resource Management)</t>
  </si>
  <si>
    <t xml:space="preserve">Master of Business Administration (Dual)</t>
  </si>
  <si>
    <t xml:space="preserve">Master of Business Administration (Marketing)</t>
  </si>
  <si>
    <t xml:space="preserve">Yenepoya</t>
  </si>
  <si>
    <t xml:space="preserve">Visvesvaraya Technological University</t>
  </si>
  <si>
    <t xml:space="preserve">Bachelor of Business Administration (Digital Marketing)</t>
  </si>
  <si>
    <t xml:space="preserve">B+</t>
  </si>
  <si>
    <t xml:space="preserve">Bachelor of Computer Applications (Data Sciences)</t>
  </si>
  <si>
    <t xml:space="preserve">Bachelor of Computer Applications (Data Analytics)</t>
  </si>
  <si>
    <t xml:space="preserve">Master of Computer Applications (AI and Data Science)</t>
  </si>
  <si>
    <t xml:space="preserve">Master of Computer Applications (Cyber Security and Cloud Computing)</t>
  </si>
  <si>
    <t xml:space="preserve">Master of Business Administration (Business Analytics)</t>
  </si>
  <si>
    <t xml:space="preserve">Master of Business Administration (HR/MM/FM)</t>
  </si>
  <si>
    <t xml:space="preserve">Post Graduate Diploma (Big Data Analytics)</t>
  </si>
  <si>
    <t xml:space="preserve">PG Diploma</t>
  </si>
  <si>
    <t xml:space="preserve">Post Graduate Diploma (Software Testing)</t>
  </si>
  <si>
    <t xml:space="preserve">Post Graduate Diploma (Investment/Risk/Financial/Retail Management)</t>
  </si>
  <si>
    <t xml:space="preserve">Post Graduate Diploma (Financial/Marketing/HR Analytics)</t>
  </si>
  <si>
    <t xml:space="preserve">Karnataka State Open University</t>
  </si>
  <si>
    <t xml:space="preserve">Bachelor of Arts (History, Economics, Political Science)</t>
  </si>
  <si>
    <t xml:space="preserve">Christ (Deemed to be University)</t>
  </si>
  <si>
    <t xml:space="preserve">Master of Arts (Applied Economics)</t>
  </si>
  <si>
    <t xml:space="preserve">Master of Arts (English with Communication Studies)</t>
  </si>
  <si>
    <t xml:space="preserve">Master of Science (AI and Machine Learning)</t>
  </si>
  <si>
    <t xml:space="preserve">Dayanand Sagar University</t>
  </si>
  <si>
    <t xml:space="preserve">Alliance University</t>
  </si>
  <si>
    <t xml:space="preserve">Bachelor of Commerce (Hons) (General) - 4 years</t>
  </si>
  <si>
    <t xml:space="preserve">Adichunchanagiri University</t>
  </si>
  <si>
    <t xml:space="preserve">Kerala</t>
  </si>
  <si>
    <t xml:space="preserve">Mahatma Gandhi University</t>
  </si>
  <si>
    <t xml:space="preserve">Bachelor of Business Administration - 4 years</t>
  </si>
  <si>
    <t xml:space="preserve">Bachelor of Arts (Hons) (Political Science) - 4 years</t>
  </si>
  <si>
    <t xml:space="preserve">Master of Commerce (Finance)</t>
  </si>
  <si>
    <t xml:space="preserve">Master of Arts (Multimedia)</t>
  </si>
  <si>
    <t xml:space="preserve">Master of Arts (Animation)</t>
  </si>
  <si>
    <t xml:space="preserve">Master of Arts (Graphic Design)</t>
  </si>
  <si>
    <t xml:space="preserve">Master of Arts (Journalism and Mass Communication)</t>
  </si>
  <si>
    <t xml:space="preserve">Master of Science (Statistics)</t>
  </si>
  <si>
    <t xml:space="preserve">University of Kerala</t>
  </si>
  <si>
    <t xml:space="preserve">Bachelor of Commerce (Finance)</t>
  </si>
  <si>
    <t xml:space="preserve">Madhya Pradesh</t>
  </si>
  <si>
    <t xml:space="preserve">Devi Ahilya Vishwavidyalaya</t>
  </si>
  <si>
    <t xml:space="preserve">SAGE University</t>
  </si>
  <si>
    <t xml:space="preserve">Master of Business Administration (Banking &amp; Finance)</t>
  </si>
  <si>
    <t xml:space="preserve">Master of Business Administration (Core)</t>
  </si>
  <si>
    <t xml:space="preserve">Master of Commerce (Finance and Accounts)</t>
  </si>
  <si>
    <t xml:space="preserve">Maharashtra</t>
  </si>
  <si>
    <t xml:space="preserve">Dr. D.Y. Patil Vidyapeeth (Pune)</t>
  </si>
  <si>
    <t xml:space="preserve">D.Y. Patil (Navi Mumbai)</t>
  </si>
  <si>
    <t xml:space="preserve">Symbiosis International</t>
  </si>
  <si>
    <t xml:space="preserve">Bachelor of Science (Hons) (Economics)</t>
  </si>
  <si>
    <t xml:space="preserve">B.Sc</t>
  </si>
  <si>
    <t xml:space="preserve">NIRF Management #11 via Symbiosis Institute of Business Management; NIRF Law #7 via Symbiosis Law School, Pune</t>
  </si>
  <si>
    <t xml:space="preserve">Symbiosis Centre for Management and Human Resource Development</t>
  </si>
  <si>
    <t xml:space="preserve">https://www.aacsb.edu/accredited/s/symbiosis-international-university-symbiosis-centre-for-management-and-human-resource-development</t>
  </si>
  <si>
    <t xml:space="preserve">Master of Arts (International Studies)</t>
  </si>
  <si>
    <t xml:space="preserve">Master of Science (Computer Applications)</t>
  </si>
  <si>
    <t xml:space="preserve">Master of Science (Economics)</t>
  </si>
  <si>
    <t xml:space="preserve">Master of Science (Applied Statistics)</t>
  </si>
  <si>
    <t xml:space="preserve">Bharati Vidyapeeth</t>
  </si>
  <si>
    <t xml:space="preserve">Datta Meghe Institute of Higher Education and Research</t>
  </si>
  <si>
    <t xml:space="preserve">University of Mumbai</t>
  </si>
  <si>
    <t xml:space="preserve">Narsee Monjee Institute of Management Studies (NMIMS)</t>
  </si>
  <si>
    <t xml:space="preserve">School of Business Management</t>
  </si>
  <si>
    <t xml:space="preserve">https://www.aacsb.edu/accredited/s/school-of-business-management-svkms-nmims-university</t>
  </si>
  <si>
    <t xml:space="preserve">Master of Business Administration (Working Executive)</t>
  </si>
  <si>
    <t xml:space="preserve">Shivaji University</t>
  </si>
  <si>
    <t xml:space="preserve">Savitribai Phule Pune University</t>
  </si>
  <si>
    <t xml:space="preserve">Mizoram</t>
  </si>
  <si>
    <t xml:space="preserve">Mizoram University</t>
  </si>
  <si>
    <t xml:space="preserve">Master of Business Administration (Logistics and Supply Chain Management)</t>
  </si>
  <si>
    <t xml:space="preserve">Master of Business Administration (Financial Management)</t>
  </si>
  <si>
    <t xml:space="preserve">Master of Business Administration (Big Data Analytics)</t>
  </si>
  <si>
    <t xml:space="preserve">Master of Business Administration (Marketing Management)</t>
  </si>
  <si>
    <t xml:space="preserve">Odisha</t>
  </si>
  <si>
    <t xml:space="preserve">Kalinga Institute of Industrial Technology</t>
  </si>
  <si>
    <t xml:space="preserve">Bachelor of Arts (Journalism and Mass Communication)</t>
  </si>
  <si>
    <t xml:space="preserve">Master of Arts (Tribal Studies)</t>
  </si>
  <si>
    <t xml:space="preserve">Master of Commerce (International Business)</t>
  </si>
  <si>
    <t xml:space="preserve">Master of Commerce (Accountancy)</t>
  </si>
  <si>
    <t xml:space="preserve">Centurion University of Technology and Management</t>
  </si>
  <si>
    <t xml:space="preserve">Bachelor of Business Administration (Marketing Management)</t>
  </si>
  <si>
    <t xml:space="preserve">Punjab</t>
  </si>
  <si>
    <t xml:space="preserve">Chandigarh University</t>
  </si>
  <si>
    <t xml:space="preserve">Chitkara University</t>
  </si>
  <si>
    <t xml:space="preserve">Lovely Professional University</t>
  </si>
  <si>
    <t xml:space="preserve">Bachelor of Arts (Economics, CA, Mgmt, History, Pol Sci, Sociology, English, Hindi)</t>
  </si>
  <si>
    <t xml:space="preserve">Guru Nanak Dev University</t>
  </si>
  <si>
    <t xml:space="preserve">Master of Arts (Punjabi)</t>
  </si>
  <si>
    <t xml:space="preserve">Guru Kashi University</t>
  </si>
  <si>
    <t xml:space="preserve">Bachelor of Computer Application</t>
  </si>
  <si>
    <t xml:space="preserve">Bachelor of Arts (English/Hindi/Punjabi Lit, Eco/Soc/SW, PA/Maths/Pol Sci, History)</t>
  </si>
  <si>
    <t xml:space="preserve">Master of Commerce (Finance &amp; Taxation Management)</t>
  </si>
  <si>
    <t xml:space="preserve">Desh Bhagat University</t>
  </si>
  <si>
    <t xml:space="preserve">Bachelor of Arts (English/History/Pol Sci/Sociology/Punjabi)</t>
  </si>
  <si>
    <t xml:space="preserve">Rajasthan</t>
  </si>
  <si>
    <t xml:space="preserve">Manipal University</t>
  </si>
  <si>
    <t xml:space="preserve">Vivekananda Global University</t>
  </si>
  <si>
    <t xml:space="preserve">Bachelor of Arts (Eco, Pol Sci, Public Policy, IR, English, History, CA)</t>
  </si>
  <si>
    <t xml:space="preserve">Master of Business Administration (International Finance)</t>
  </si>
  <si>
    <t xml:space="preserve">Banasthali Vidyapith</t>
  </si>
  <si>
    <t xml:space="preserve">Mody University of Science and Technology</t>
  </si>
  <si>
    <t xml:space="preserve">Master of Arts (Journalism)</t>
  </si>
  <si>
    <t xml:space="preserve">Amity University Rajasthan</t>
  </si>
  <si>
    <t xml:space="preserve">Jaipur National University</t>
  </si>
  <si>
    <t xml:space="preserve">Sikkim</t>
  </si>
  <si>
    <t xml:space="preserve">Sikkim Manipal University</t>
  </si>
  <si>
    <t xml:space="preserve">Bachelor of Arts (English, Political Science and Sociology)</t>
  </si>
  <si>
    <t xml:space="preserve">Shri Ramasamy Memorial University</t>
  </si>
  <si>
    <t xml:space="preserve">Tamil Nadu</t>
  </si>
  <si>
    <t xml:space="preserve">Bharathidasan University</t>
  </si>
  <si>
    <t xml:space="preserve">Bachelor of Arts (Tamil)</t>
  </si>
  <si>
    <t xml:space="preserve">Master of Arts (Tamil)</t>
  </si>
  <si>
    <t xml:space="preserve">Bharath Institute of Higher Education and Research</t>
  </si>
  <si>
    <t xml:space="preserve">B.S Abdur Rahman Institute of Science and Technology</t>
  </si>
  <si>
    <t xml:space="preserve">Bachelor of Arts (Islamic Studies)</t>
  </si>
  <si>
    <t xml:space="preserve">Madurai Kamaraj University</t>
  </si>
  <si>
    <t xml:space="preserve">Bachelor of Arts (Political Science)</t>
  </si>
  <si>
    <t xml:space="preserve">Master of Arts (Gandhian Thoughts)</t>
  </si>
  <si>
    <t xml:space="preserve">Dr. M.G.R. Educational and Research Institute</t>
  </si>
  <si>
    <t xml:space="preserve">Master of Science (Data Science and AI)</t>
  </si>
  <si>
    <t xml:space="preserve">Shanmugha Arts, Science, Technology &amp; Research Academy</t>
  </si>
  <si>
    <t xml:space="preserve">Master of Arts (Divya Prabandham)</t>
  </si>
  <si>
    <t xml:space="preserve">Sathyabama Institute of Science and Technology</t>
  </si>
  <si>
    <t xml:space="preserve">S.R.M. Institute of Sciences and Technology</t>
  </si>
  <si>
    <t xml:space="preserve">Bachelor of Computer Applications (Data Science)</t>
  </si>
  <si>
    <t xml:space="preserve">University of Madras</t>
  </si>
  <si>
    <t xml:space="preserve">Bachelor of Arts (French)</t>
  </si>
  <si>
    <t xml:space="preserve">Master of Arts (Anthropology)</t>
  </si>
  <si>
    <t xml:space="preserve">Kalasalingam Academy of Research and Higher Education</t>
  </si>
  <si>
    <t xml:space="preserve">Amrita Vishwa Vidyapeetham University</t>
  </si>
  <si>
    <t xml:space="preserve">Master of Arts (Communication)</t>
  </si>
  <si>
    <t xml:space="preserve">Master of Arts (Philosophy)</t>
  </si>
  <si>
    <t xml:space="preserve">Amrita School of Business (Coimbatore)</t>
  </si>
  <si>
    <t xml:space="preserve">https://www.aacsb.edu/accredited/a/amrita-school-of-business-coimbatore-amrita-vishwa-vidyapeetham</t>
  </si>
  <si>
    <t xml:space="preserve">Alagappa University</t>
  </si>
  <si>
    <t xml:space="preserve">Bharathiar University</t>
  </si>
  <si>
    <t xml:space="preserve">Bachelor of Arts (English Literature)</t>
  </si>
  <si>
    <t xml:space="preserve">Master of Arts (Tamil Literature)</t>
  </si>
  <si>
    <t xml:space="preserve">Master of Commerce (Finance and Accounting)</t>
  </si>
  <si>
    <t xml:space="preserve">Master of Arts (Career Guidance)</t>
  </si>
  <si>
    <t xml:space="preserve">Vellore Institute of Technology</t>
  </si>
  <si>
    <t xml:space="preserve">VIT Business School</t>
  </si>
  <si>
    <t xml:space="preserve">https://www.aacsb.edu/accredited/v/vit-business-school-vellore-institute-of-technology</t>
  </si>
  <si>
    <t xml:space="preserve">Manonmaniam Sundaranar University</t>
  </si>
  <si>
    <t xml:space="preserve">Hindustan Institute of Technology and Science (HITS)</t>
  </si>
  <si>
    <t xml:space="preserve">Karunya Institute of Technology and Sciences</t>
  </si>
  <si>
    <t xml:space="preserve">Meenakshi Academy of Higher Education and Research</t>
  </si>
  <si>
    <t xml:space="preserve">Anna University</t>
  </si>
  <si>
    <t xml:space="preserve">Master of Business Administration (General Management)</t>
  </si>
  <si>
    <t xml:space="preserve">Vel's Institute of Science, Technology &amp; Advanced Studies (VISTAS)</t>
  </si>
  <si>
    <t xml:space="preserve">Sri Ramachandra Institute of Higher Education and Research</t>
  </si>
  <si>
    <t xml:space="preserve">Bachelor of Science (Hons) (Data Science)</t>
  </si>
  <si>
    <t xml:space="preserve">Telangana</t>
  </si>
  <si>
    <t xml:space="preserve">ICFAI Foundation for Higher Education</t>
  </si>
  <si>
    <t xml:space="preserve">ICFAI Business School, Hyderabad</t>
  </si>
  <si>
    <t xml:space="preserve">https://www.aacsb.edu/accredited/i/icfai-business-school-hyderabad</t>
  </si>
  <si>
    <t xml:space="preserve">International Institute of Information Technology</t>
  </si>
  <si>
    <t xml:space="preserve">Uttar Pradesh</t>
  </si>
  <si>
    <t xml:space="preserve">Aligarh Muslim University</t>
  </si>
  <si>
    <t xml:space="preserve">Bachelor of Arts (Eco/History/Pol Sci/English/Urdu/Hindi)</t>
  </si>
  <si>
    <t xml:space="preserve">Amity University</t>
  </si>
  <si>
    <t xml:space="preserve">Bachelor of Arts (Pol Sci/Eco/English/Sociology)</t>
  </si>
  <si>
    <t xml:space="preserve">Master of Commerce (Financial Management/Financial Technology)</t>
  </si>
  <si>
    <t xml:space="preserve">Post Graduate Diploma (Management)</t>
  </si>
  <si>
    <t xml:space="preserve">Post Graduate Diploma (Logistics)</t>
  </si>
  <si>
    <t xml:space="preserve">Post Graduate Diploma (Data Science)</t>
  </si>
  <si>
    <t xml:space="preserve">Post Graduate Diploma (Machine Learning and AI)</t>
  </si>
  <si>
    <t xml:space="preserve">Sharda University</t>
  </si>
  <si>
    <t xml:space="preserve">Bachelor of Arts (Hons) (Political Science)</t>
  </si>
  <si>
    <t xml:space="preserve">Mangalayatan University</t>
  </si>
  <si>
    <t xml:space="preserve">Bachelor of Arts (English/History/Pol Sci/Eco/Sociology)</t>
  </si>
  <si>
    <t xml:space="preserve">Shiv Nadar Institution of Eminence</t>
  </si>
  <si>
    <t xml:space="preserve">Integral University</t>
  </si>
  <si>
    <t xml:space="preserve">Bachelor of Arts (History/Sociology/Eco/Philosophy/PA/Pol Sci/English/Hindi)</t>
  </si>
  <si>
    <t xml:space="preserve">G.L.A. University</t>
  </si>
  <si>
    <t xml:space="preserve">Dayalbagh Educational Institute</t>
  </si>
  <si>
    <t xml:space="preserve">Bachelor of Arts (Hons) (Social Science)</t>
  </si>
  <si>
    <t xml:space="preserve">Master of Arts (Theology)</t>
  </si>
  <si>
    <t xml:space="preserve">University of Lucknow</t>
  </si>
  <si>
    <t xml:space="preserve">Noida International University</t>
  </si>
  <si>
    <t xml:space="preserve">Master of Arts (International Relations)</t>
  </si>
  <si>
    <t xml:space="preserve">Chatrapati Shahuji Maharaj University</t>
  </si>
  <si>
    <t xml:space="preserve">Galgotias University</t>
  </si>
  <si>
    <t xml:space="preserve">Mahatma Jyotiba Phule Rohilkhand University</t>
  </si>
  <si>
    <t xml:space="preserve">Bachelor of Arts (Hindi/English/Pol Sci/Sociology/History/Edu/Urdu/Eco)</t>
  </si>
  <si>
    <t xml:space="preserve">Deen Dayal Upadhyay Gorakhpur University</t>
  </si>
  <si>
    <t xml:space="preserve">Bachelor of Commerce (Hons.) - 4 Years</t>
  </si>
  <si>
    <t xml:space="preserve">Uttarakhand</t>
  </si>
  <si>
    <t xml:space="preserve">Graphic Era</t>
  </si>
  <si>
    <t xml:space="preserve">University of Petroleum and Energy Studies</t>
  </si>
  <si>
    <t xml:space="preserve">Master of Business Administration (Oil and Gas Management)</t>
  </si>
  <si>
    <t xml:space="preserve">Master of Business Administration (Power Management)</t>
  </si>
  <si>
    <t xml:space="preserve">Master of Business Administration (Infrastructure Management)</t>
  </si>
  <si>
    <t xml:space="preserve">Uttaranchal University</t>
  </si>
  <si>
    <t xml:space="preserve">N2-1</t>
  </si>
  <si>
    <t xml:space="preserve">Assam Don Bosco University</t>
  </si>
  <si>
    <t xml:space="preserve">Notice 2 (Dec 2025)</t>
  </si>
  <si>
    <t xml:space="preserve">2025-26 to 2029-30 (Jul-Aug 2025 to Jan 2030)</t>
  </si>
  <si>
    <t xml:space="preserve">N2-2</t>
  </si>
  <si>
    <t xml:space="preserve">Ganpat University</t>
  </si>
  <si>
    <t xml:space="preserve">2025-26 to 2029-30 (Jul-Aug 2025 to Jan-Feb 2030)</t>
  </si>
  <si>
    <t xml:space="preserve">N2-3</t>
  </si>
  <si>
    <t xml:space="preserve">2021-22 to 2025-26 (Nov 2021 to Jan 2026)</t>
  </si>
  <si>
    <t xml:space="preserve">Bachelor of Arts (Hons) (Economics)</t>
  </si>
  <si>
    <t xml:space="preserve">N2-4</t>
  </si>
  <si>
    <t xml:space="preserve">The NorthCap University</t>
  </si>
  <si>
    <t xml:space="preserve">2023-24 to 2027-28 (Jul-Aug 2023 to Jan 2028)</t>
  </si>
  <si>
    <t xml:space="preserve">N2-5</t>
  </si>
  <si>
    <t xml:space="preserve">Arka Jain University</t>
  </si>
  <si>
    <t xml:space="preserve">2024-25 to 2029-30 (Feb 2025 to Jul-Aug 2029)</t>
  </si>
  <si>
    <t xml:space="preserve">N2-6</t>
  </si>
  <si>
    <t xml:space="preserve">Jagannath University</t>
  </si>
  <si>
    <t xml:space="preserve">2023-24 to 2028-29 (Jan-Feb 2024 to Jul 2028)</t>
  </si>
  <si>
    <t xml:space="preserve">2024-25 to 2028-29 (Oct 2024 to Jan 2029)</t>
  </si>
  <si>
    <t xml:space="preserve">N2-7</t>
  </si>
  <si>
    <t xml:space="preserve">Academy of Maritime Education and Training</t>
  </si>
  <si>
    <t xml:space="preserve">2023-24 to 2028-29 (Feb 2024 to Jul 2028)</t>
  </si>
  <si>
    <t xml:space="preserve">2025-26 (Jul-Aug 2025 and Feb 2026 only)</t>
  </si>
  <si>
    <t xml:space="preserve">Master of Business Administration (Shipping Logistics Management)</t>
  </si>
  <si>
    <t xml:space="preserve">N2-8</t>
  </si>
  <si>
    <t xml:space="preserve">N2-9</t>
  </si>
  <si>
    <t xml:space="preserve">Bachelor of Social Work</t>
  </si>
  <si>
    <t xml:space="preserve">BSW</t>
  </si>
  <si>
    <t xml:space="preserve">2022-23 to 2026-27 (Sep 2022 to Jan 2027)</t>
  </si>
  <si>
    <t xml:space="preserve">Master of Arts (Public Policy &amp; Governance)</t>
  </si>
  <si>
    <t xml:space="preserve">N2-10</t>
  </si>
  <si>
    <t xml:space="preserve">Shobhit Institute of Engineering &amp; Technology</t>
  </si>
  <si>
    <t xml:space="preserve">N2-11</t>
  </si>
  <si>
    <t xml:space="preserve">Teerthanker Mahaveer University</t>
  </si>
  <si>
    <t xml:space="preserve">Bachelor of Arts (Hons) (Jain Studies)</t>
  </si>
  <si>
    <t xml:space="preserve">Bachelor of Arts (Hons) (Sociology)</t>
  </si>
  <si>
    <t xml:space="preserve">N2-12</t>
  </si>
  <si>
    <t xml:space="preserve">Swami Vivekanand Subharti University</t>
  </si>
  <si>
    <t xml:space="preserve">Master of Arts (Buddhist Studies)</t>
  </si>
  <si>
    <t xml:space="preserve">N2-13</t>
  </si>
  <si>
    <t xml:space="preserve">Jaypee Institute of Information Technology</t>
  </si>
  <si>
    <t xml:space="preserve">Programme Count (Online)</t>
  </si>
  <si>
    <t xml:space="preserve">UGC-DEB Status</t>
  </si>
  <si>
    <t xml:space="preserve">NIRF Rank (Univ.)</t>
  </si>
  <si>
    <t xml:space="preserve">NIRF Rank (Mgmt.)</t>
  </si>
  <si>
    <t xml:space="preserve">NIRF Year</t>
  </si>
  <si>
    <t xml:space="preserve">Official Website</t>
  </si>
  <si>
    <t xml:space="preserve">AACSB B-school</t>
  </si>
  <si>
    <t xml:space="preserve">NBA Courses</t>
  </si>
  <si>
    <t xml:space="preserve">Approved</t>
  </si>
  <si>
    <t xml:space="preserve">UGC-DEB Online Programme Verification</t>
  </si>
  <si>
    <t xml:space="preserve">Type or paste a university name in B4 to verify UGC-DEB online approval.</t>
  </si>
  <si>
    <t xml:space="preserve">University Name (input):</t>
  </si>
  <si>
    <t xml:space="preserve">UGC-DEB Approved?</t>
  </si>
  <si>
    <t xml:space="preserve">Number of Online Programmes Approved</t>
  </si>
  <si>
    <t xml:space="preserve">UGC S.No (in notice)</t>
  </si>
  <si>
    <t xml:space="preserve">MBA Online Approved?</t>
  </si>
  <si>
    <t xml:space="preserve">MCA Online Approved?</t>
  </si>
  <si>
    <t xml:space="preserve">BBA Online Approved?</t>
  </si>
  <si>
    <t xml:space="preserve">BCA Online Approved?</t>
  </si>
  <si>
    <t xml:space="preserve">Validity Status (latest match):</t>
  </si>
  <si>
    <t xml:space="preserve">Source Notice (latest match):</t>
  </si>
  <si>
    <t xml:space="preserve">AICTE Approved (MBA)?</t>
  </si>
  <si>
    <t xml:space="preserve">AICTE Approved (MCA)?</t>
  </si>
  <si>
    <t xml:space="preserve">AICTE Approved (BBA)?</t>
  </si>
  <si>
    <t xml:space="preserve">AICTE Approved (BCA)?</t>
  </si>
  <si>
    <t xml:space="preserve">NIRF 2025 — Overall Rank:</t>
  </si>
  <si>
    <t xml:space="preserve">NIRF 2025 — University Rank:</t>
  </si>
  <si>
    <t xml:space="preserve">NIRF 2025 — Research Rank:</t>
  </si>
  <si>
    <t xml:space="preserve">NIRF 2025 — Engineering Rank:</t>
  </si>
  <si>
    <t xml:space="preserve">NIRF 2025 — Management Rank:</t>
  </si>
  <si>
    <t xml:space="preserve">NIRF 2025 — Pharmacy Rank:</t>
  </si>
  <si>
    <t xml:space="preserve">NIRF 2025 — Medical Rank:</t>
  </si>
  <si>
    <t xml:space="preserve">NIRF 2025 — Dental Rank:</t>
  </si>
  <si>
    <t xml:space="preserve">NIRF 2025 — Law Rank:</t>
  </si>
  <si>
    <t xml:space="preserve">NIRF 2025 — Architecture Rank:</t>
  </si>
  <si>
    <t xml:space="preserve">NIRF 2025 — Agriculture Rank:</t>
  </si>
  <si>
    <t xml:space="preserve">NIRF 2025 — Innovation Rank:</t>
  </si>
  <si>
    <t xml:space="preserve">NIRF 2025 — State Public Univ. Rank:</t>
  </si>
  <si>
    <t xml:space="preserve">NIRF 2025 — Open University Rank:</t>
  </si>
  <si>
    <t xml:space="preserve">NIRF 2025 — Skill University Rank:</t>
  </si>
  <si>
    <t xml:space="preserve">NIRF 2025 — SDG Rank:</t>
  </si>
  <si>
    <t xml:space="preserve">NIRF 2025 — College Rank:</t>
  </si>
  <si>
    <t xml:space="preserve">NAAC Grade:</t>
  </si>
  <si>
    <t xml:space="preserve">NAAC CGPA:</t>
  </si>
  <si>
    <t xml:space="preserve">NAAC Cycle Number:</t>
  </si>
  <si>
    <t xml:space="preserve">NAAC Declared On:</t>
  </si>
  <si>
    <t xml:space="preserve">NAAC Validity Status:</t>
  </si>
  <si>
    <t xml:space="preserve">AACSB Status:</t>
  </si>
  <si>
    <t xml:space="preserve">AACSB School Name(s):</t>
  </si>
  <si>
    <t xml:space="preserve">NBA-Accredited Courses (count):</t>
  </si>
  <si>
    <t xml:space="preserve">NBA Status:</t>
  </si>
  <si>
    <t xml:space="preserve">NBA Domains Covered:</t>
  </si>
  <si>
    <t xml:space="preserve">NIRF 2025 Rankings — All Categories — UGC-DEB Online Universities</t>
  </si>
  <si>
    <t xml:space="preserve">Source: nirfindia.org India Rankings 2025. '—' means not ranked in that category.</t>
  </si>
  <si>
    <t xml:space="preserve">NIRF Match Score</t>
  </si>
  <si>
    <t xml:space="preserve">NIRF Match Name</t>
  </si>
  <si>
    <t xml:space="preserve">Overall</t>
  </si>
  <si>
    <t xml:space="preserve">University</t>
  </si>
  <si>
    <t xml:space="preserve">Research</t>
  </si>
  <si>
    <t xml:space="preserve">Engineering</t>
  </si>
  <si>
    <t xml:space="preserve">Management</t>
  </si>
  <si>
    <t xml:space="preserve">Pharmacy</t>
  </si>
  <si>
    <t xml:space="preserve">Medical</t>
  </si>
  <si>
    <t xml:space="preserve">Dental</t>
  </si>
  <si>
    <t xml:space="preserve">Law</t>
  </si>
  <si>
    <t xml:space="preserve">Architecture</t>
  </si>
  <si>
    <t xml:space="preserve">Agriculture</t>
  </si>
  <si>
    <t xml:space="preserve">Innovation</t>
  </si>
  <si>
    <t xml:space="preserve">State Public</t>
  </si>
  <si>
    <t xml:space="preserve">Open</t>
  </si>
  <si>
    <t xml:space="preserve">Skill</t>
  </si>
  <si>
    <t xml:space="preserve">SDG</t>
  </si>
  <si>
    <t xml:space="preserve">College</t>
  </si>
  <si>
    <t xml:space="preserve">Andhra University, Visakhapatnam</t>
  </si>
  <si>
    <t xml:space="preserve">Koneru Lakshmaiah Education Foundation University (K L College of Engineering)</t>
  </si>
  <si>
    <t xml:space="preserve">Jamia Millia Islamia</t>
  </si>
  <si>
    <t xml:space="preserve">Guru Gobind Singh Indraprastha University</t>
  </si>
  <si>
    <t xml:space="preserve">Guru Jambheshwar University of Science and Technology, Hissar</t>
  </si>
  <si>
    <t xml:space="preserve">Jain university,Bangalore</t>
  </si>
  <si>
    <t xml:space="preserve">JSS Academy of Higher Education and Research</t>
  </si>
  <si>
    <t xml:space="preserve">Manipal Academy of Higher Education-Manipal</t>
  </si>
  <si>
    <t xml:space="preserve">Mysore University</t>
  </si>
  <si>
    <t xml:space="preserve">Karnataka State Open University, Mysore</t>
  </si>
  <si>
    <t xml:space="preserve">Christ University</t>
  </si>
  <si>
    <t xml:space="preserve">Mahatma Gandhi University, Kottayam</t>
  </si>
  <si>
    <t xml:space="preserve">Kerala University</t>
  </si>
  <si>
    <t xml:space="preserve">Dr. D. Y. Patil Vidyapeeth</t>
  </si>
  <si>
    <t xml:space="preserve">Padmashree Dr. D. Y. Patil Vidyapeeth, Mumbai</t>
  </si>
  <si>
    <t xml:space="preserve">Mumbai University</t>
  </si>
  <si>
    <t xml:space="preserve">SVKM`s Narsee Monjee Institute of Management Studies</t>
  </si>
  <si>
    <t xml:space="preserve">Manipal University Jaipur</t>
  </si>
  <si>
    <t xml:space="preserve">Bharath Institute of Higher Education &amp; Research</t>
  </si>
  <si>
    <t xml:space="preserve">Dr. M. G. R. Educational and Research Institute</t>
  </si>
  <si>
    <t xml:space="preserve">Shanmugha Arts Science Technology &amp; Research Academy</t>
  </si>
  <si>
    <t xml:space="preserve">S.R.M. Institute of Science and Technology</t>
  </si>
  <si>
    <t xml:space="preserve">Kalasalingam Academy of Research and Education</t>
  </si>
  <si>
    <t xml:space="preserve">Amrita Vishwa Vidyapeetham</t>
  </si>
  <si>
    <t xml:space="preserve">Manonmaniam Sundaranar University, Tirunelveli</t>
  </si>
  <si>
    <t xml:space="preserve">Vels Institute of Science Technology and Advanced Studies (VISTAS)</t>
  </si>
  <si>
    <t xml:space="preserve">ICFAI Foundation for Higher Education, Hyderabad</t>
  </si>
  <si>
    <t xml:space="preserve">Shiv Nadar University</t>
  </si>
  <si>
    <t xml:space="preserve">Deen Dayal Upadhyaya College</t>
  </si>
  <si>
    <t xml:space="preserve">Graphic Era University</t>
  </si>
  <si>
    <t xml:space="preserve">UPES</t>
  </si>
  <si>
    <t xml:space="preserve">NIRF rankings via constituent schools — attribution log</t>
  </si>
  <si>
    <t xml:space="preserve">NIRF ranks individual schools within deemed universities separately. When a school is genuinely part of a UGC-DEB umbrella university, we attribute that rank to the umbrella with a 'via [school]' note. Reading rows: the umbrella in column A; the NIRF-listed school name in column C; the rank that school holds.</t>
  </si>
  <si>
    <t xml:space="preserve">UGC-DEB University (umbrella)</t>
  </si>
  <si>
    <t xml:space="preserve">NIRF Category</t>
  </si>
  <si>
    <t xml:space="preserve">NIRF-Listed School</t>
  </si>
  <si>
    <t xml:space="preserve">Rank</t>
  </si>
  <si>
    <t xml:space="preserve">Score</t>
  </si>
  <si>
    <t xml:space="preserve">Symbiosis Institute of Business Management</t>
  </si>
  <si>
    <t xml:space="preserve">Constituent school of umbrella deemed university</t>
  </si>
  <si>
    <t xml:space="preserve">Symbiosis Law School, Pune</t>
  </si>
  <si>
    <t xml:space="preserve">T. A. Pai Management Institute Manipal</t>
  </si>
  <si>
    <t xml:space="preserve">Manipal Institute of Technology</t>
  </si>
  <si>
    <t xml:space="preserve">Manipal College of Pharmaceutical Sciences, Manipal</t>
  </si>
  <si>
    <t xml:space="preserve">Kasturba Medical College, Manipal</t>
  </si>
  <si>
    <t xml:space="preserve">Manipal College of Dental Sciences, Manipal</t>
  </si>
  <si>
    <t xml:space="preserve">Manipal School of Architecture and Planning, MAHE</t>
  </si>
  <si>
    <t xml:space="preserve">JSS College of Pharmacy</t>
  </si>
  <si>
    <t xml:space="preserve">JSS Medical College, Mysore</t>
  </si>
  <si>
    <t xml:space="preserve">JSS Dental College and Hospital</t>
  </si>
  <si>
    <t xml:space="preserve">UGC-DEB Online Programmes — Snapshot</t>
  </si>
  <si>
    <t xml:space="preserve">Total programmes:</t>
  </si>
  <si>
    <t xml:space="preserve">Total universities:</t>
  </si>
  <si>
    <t xml:space="preserve">Programmes by State</t>
  </si>
  <si>
    <t xml:space="preserve">Count</t>
  </si>
  <si>
    <t xml:space="preserve">Programmes by Category</t>
  </si>
  <si>
    <t xml:space="preserve">Programmes by UGC Notice</t>
  </si>
  <si>
    <t xml:space="preserve">AICTE Approval Breakdown</t>
  </si>
  <si>
    <t xml:space="preserve">NIRF 2025 Coverage</t>
  </si>
  <si>
    <t xml:space="preserve">NAAC Grade Distribution</t>
  </si>
  <si>
    <t xml:space="preserve">Universities</t>
  </si>
  <si>
    <t xml:space="preserve">AACSB Coverage</t>
  </si>
  <si>
    <t xml:space="preserve">NBA Coverage</t>
  </si>
  <si>
    <t xml:space="preserve">Yes — UGC + AICTE both</t>
  </si>
  <si>
    <t xml:space="preserve">Universities matched to NIRF</t>
  </si>
  <si>
    <t xml:space="preserve">Has AACSB-accredited B-school</t>
  </si>
  <si>
    <t xml:space="preserve">Has any NBA-accredited course</t>
  </si>
  <si>
    <t xml:space="preserve">N/A — outside AICTE scope</t>
  </si>
  <si>
    <t xml:space="preserve">Ranked in Overall</t>
  </si>
  <si>
    <t xml:space="preserve">Has AACSB-member B-school (not accredited)</t>
  </si>
  <si>
    <t xml:space="preserve">Status: All Valid</t>
  </si>
  <si>
    <t xml:space="preserve">No — UGC only, no AICTE</t>
  </si>
  <si>
    <t xml:space="preserve">Ranked in University</t>
  </si>
  <si>
    <t xml:space="preserve">Total Indian schools in AACSB list</t>
  </si>
  <si>
    <t xml:space="preserve">Status: Mixed (some expired)</t>
  </si>
  <si>
    <t xml:space="preserve">Programmes by Validity Status</t>
  </si>
  <si>
    <t xml:space="preserve">Blank (not yet processed)</t>
  </si>
  <si>
    <t xml:space="preserve">Ranked in Research</t>
  </si>
  <si>
    <t xml:space="preserve">B++</t>
  </si>
  <si>
    <t xml:space="preserve">Status: All Expired</t>
  </si>
  <si>
    <t xml:space="preserve">Active</t>
  </si>
  <si>
    <t xml:space="preserve">Ranked in Engineering</t>
  </si>
  <si>
    <t xml:space="preserve">Total NBA courses (all India)</t>
  </si>
  <si>
    <t xml:space="preserve">Active (per Notice 1)</t>
  </si>
  <si>
    <t xml:space="preserve">Ranked in Management</t>
  </si>
  <si>
    <t xml:space="preserve">B</t>
  </si>
  <si>
    <t xml:space="preserve">Total NBA institutes (all India)</t>
  </si>
  <si>
    <t xml:space="preserve">Expiring Soon</t>
  </si>
  <si>
    <t xml:space="preserve">Ranked in Pharmacy</t>
  </si>
  <si>
    <t xml:space="preserve">C</t>
  </si>
  <si>
    <t xml:space="preserve">Expired</t>
  </si>
  <si>
    <t xml:space="preserve">Ranked in Medical</t>
  </si>
  <si>
    <t xml:space="preserve">Not Accredited / Expired</t>
  </si>
  <si>
    <t xml:space="preserve">Ranked in Dental</t>
  </si>
  <si>
    <t xml:space="preserve">Ranked in Law</t>
  </si>
  <si>
    <t xml:space="preserve">Ranked in Architecture</t>
  </si>
  <si>
    <t xml:space="preserve">Ranked in Agriculture</t>
  </si>
  <si>
    <t xml:space="preserve">Ranked in Innovation</t>
  </si>
  <si>
    <t xml:space="preserve">Ranked in State Public</t>
  </si>
  <si>
    <t xml:space="preserve">Ranked in Open</t>
  </si>
  <si>
    <t xml:space="preserve">Ranked in Skill</t>
  </si>
  <si>
    <t xml:space="preserve">Ranked in SDG</t>
  </si>
  <si>
    <t xml:space="preserve">Ranked in College</t>
  </si>
  <si>
    <t xml:space="preserve">Programmes by HEI Type</t>
  </si>
  <si>
    <t xml:space="preserve">AICTE × UGC-DEB Reconciliation</t>
  </si>
  <si>
    <t xml:space="preserve">AICTE-approved online programmes matched against UGC-DEB online list</t>
  </si>
  <si>
    <t xml:space="preserve">AICTE Sl. No</t>
  </si>
  <si>
    <t xml:space="preserve">AISHE ID</t>
  </si>
  <si>
    <t xml:space="preserve">AICTE University Name</t>
  </si>
  <si>
    <t xml:space="preserve">AICTE Dept</t>
  </si>
  <si>
    <t xml:space="preserve">AICTE Programme</t>
  </si>
  <si>
    <t xml:space="preserve">AICTE Category</t>
  </si>
  <si>
    <t xml:space="preserve">Intake</t>
  </si>
  <si>
    <t xml:space="preserve">Match Status</t>
  </si>
  <si>
    <t xml:space="preserve">Matched UGC University</t>
  </si>
  <si>
    <t xml:space="preserve">Match Score</t>
  </si>
  <si>
    <t xml:space="preserve">1-44638695217</t>
  </si>
  <si>
    <t xml:space="preserve">KONERU LAKSHMAIAH EDUCATION FOUNDATION</t>
  </si>
  <si>
    <t xml:space="preserve">Computer Applications</t>
  </si>
  <si>
    <t xml:space="preserve">Both Approved (UGC + AICTE)</t>
  </si>
  <si>
    <t xml:space="preserve">MASTERS IN BUSINESS ADMINISTRATION</t>
  </si>
  <si>
    <t xml:space="preserve">DIGITAL MARKETING</t>
  </si>
  <si>
    <t xml:space="preserve">ENTREPRENEURSHIP</t>
  </si>
  <si>
    <t xml:space="preserve">DATA SCIENCE</t>
  </si>
  <si>
    <t xml:space="preserve">MANAGEMENT LOGISTICS AND SUPPLY CHAIN MANAGEMENT</t>
  </si>
  <si>
    <t xml:space="preserve">1-44638610784</t>
  </si>
  <si>
    <t xml:space="preserve">VIGNANS FOUNDATION FOR SCIENCE TECHNOLOGY AND RESEARCH</t>
  </si>
  <si>
    <t xml:space="preserve">MBA GENERAL</t>
  </si>
  <si>
    <t xml:space="preserve">MBA FINANCE</t>
  </si>
  <si>
    <t xml:space="preserve">MBA HR</t>
  </si>
  <si>
    <t xml:space="preserve">1-44643487065</t>
  </si>
  <si>
    <t xml:space="preserve">IMI DELHI</t>
  </si>
  <si>
    <t xml:space="preserve">PGDM</t>
  </si>
  <si>
    <t xml:space="preserve">AICTE only — not in UGC list</t>
  </si>
  <si>
    <t xml:space="preserve">Likely a standalone AICTE-approved institute (PGDM/PGCM). UGC-DEB approval not required for AICTE diplomas.</t>
  </si>
  <si>
    <t xml:space="preserve">1-44638940673</t>
  </si>
  <si>
    <t xml:space="preserve">INDIAN INSTITUTE OF FOREIGN TRADE</t>
  </si>
  <si>
    <t xml:space="preserve">MBA International Business online</t>
  </si>
  <si>
    <t xml:space="preserve">Executive PGDM Online</t>
  </si>
  <si>
    <t xml:space="preserve">AICTE only — category not in UGC scope</t>
  </si>
  <si>
    <t xml:space="preserve">UGC-DEB lists this university but not under 'PGDM'.</t>
  </si>
  <si>
    <t xml:space="preserve">1-44642414595</t>
  </si>
  <si>
    <t xml:space="preserve">INTERNATIONAL INSTITUTE OF HEALTH MANAGEMENT RESEARCH</t>
  </si>
  <si>
    <t xml:space="preserve">Health Financial Management</t>
  </si>
  <si>
    <t xml:space="preserve">PG Certificate</t>
  </si>
  <si>
    <t xml:space="preserve">Hospital Management</t>
  </si>
  <si>
    <t xml:space="preserve">Logistic and Supply Chain Management</t>
  </si>
  <si>
    <t xml:space="preserve">1-44643759828</t>
  </si>
  <si>
    <t xml:space="preserve">JAMIA HAMDARD</t>
  </si>
  <si>
    <t xml:space="preserve">1-44643461409</t>
  </si>
  <si>
    <t xml:space="preserve">NEW DELHI INSTITUTE OF MANAGEMENT</t>
  </si>
  <si>
    <t xml:space="preserve">1-44641309543</t>
  </si>
  <si>
    <t xml:space="preserve">GOA INSTITUTE OF MANAGEMENT</t>
  </si>
  <si>
    <t xml:space="preserve">Goa</t>
  </si>
  <si>
    <t xml:space="preserve">Executive PGDM in Health Care Management</t>
  </si>
  <si>
    <t xml:space="preserve">1-44641856270</t>
  </si>
  <si>
    <t xml:space="preserve">ENTREPRENEURSHIP DEVELOPMENT INSTITUTE OF INDIA</t>
  </si>
  <si>
    <t xml:space="preserve">1-44642555628</t>
  </si>
  <si>
    <t xml:space="preserve">INDUKAKA IPCOWALA INSTITUTE OF MANAGEMENT</t>
  </si>
  <si>
    <t xml:space="preserve">University not found in UGC-DEB online list.</t>
  </si>
  <si>
    <t xml:space="preserve">1-44637260101</t>
  </si>
  <si>
    <t xml:space="preserve">R. N. G. PATEL INSTITUTE OF TECHNOLOGY RNGPIT</t>
  </si>
  <si>
    <t xml:space="preserve">1-44642502770</t>
  </si>
  <si>
    <t xml:space="preserve">SMT.CHANDABEN MOHANBHAI PATEL INSTITUTE OF COMPUTER APPLICATIONS CM</t>
  </si>
  <si>
    <t xml:space="preserve">1-44638738787</t>
  </si>
  <si>
    <t xml:space="preserve">GREAT LAKES INSTITUTE OF MANAGEMENT GURGAON</t>
  </si>
  <si>
    <t xml:space="preserve">PGCM</t>
  </si>
  <si>
    <t xml:space="preserve">1-44642756519</t>
  </si>
  <si>
    <t xml:space="preserve">M.M. INSTITUTE OF COMPUTER TECHNOLOGY BUSINESS MANAGEMENT</t>
  </si>
  <si>
    <t xml:space="preserve">1-44638272788</t>
  </si>
  <si>
    <t xml:space="preserve">MAHARISHI MARKANDESHWAR ENGINEERING COLLEGE</t>
  </si>
  <si>
    <t xml:space="preserve">1-44643643661</t>
  </si>
  <si>
    <t xml:space="preserve">MANAGEMENT DEVELOPMENT INSTITUTE</t>
  </si>
  <si>
    <t xml:space="preserve">1-44638920797</t>
  </si>
  <si>
    <t xml:space="preserve">MANAV RACHNA INTERNATIONAL INSTITUTE OF RESEARCH AND STUDIES DEEMED</t>
  </si>
  <si>
    <t xml:space="preserve">Masters in Business Administration</t>
  </si>
  <si>
    <t xml:space="preserve">1-44640378024</t>
  </si>
  <si>
    <t xml:space="preserve">BIRLA INSTITUTE OF TECHNOLOGY</t>
  </si>
  <si>
    <t xml:space="preserve">1-44643444300</t>
  </si>
  <si>
    <t xml:space="preserve">XLRI - XAVIER SCHOOL OF MANAGEMENT</t>
  </si>
  <si>
    <t xml:space="preserve">PGCBM</t>
  </si>
  <si>
    <t xml:space="preserve">PGCHRM</t>
  </si>
  <si>
    <t xml:space="preserve">PGCBA</t>
  </si>
  <si>
    <t xml:space="preserve">PGCGM</t>
  </si>
  <si>
    <t xml:space="preserve">PGCSR</t>
  </si>
  <si>
    <t xml:space="preserve">PGCIB</t>
  </si>
  <si>
    <t xml:space="preserve">PGDM Business Management</t>
  </si>
  <si>
    <t xml:space="preserve">PGDM Human Resource Management</t>
  </si>
  <si>
    <t xml:space="preserve">PGDM Finance</t>
  </si>
  <si>
    <t xml:space="preserve">PGDM HRM</t>
  </si>
  <si>
    <t xml:space="preserve">PGDM Digital Business Management</t>
  </si>
  <si>
    <t xml:space="preserve">PGDM Consulting Management</t>
  </si>
  <si>
    <t xml:space="preserve">PGDM Family Managed Business</t>
  </si>
  <si>
    <t xml:space="preserve">PGDM Healthcare Management</t>
  </si>
  <si>
    <t xml:space="preserve">1-44643854227</t>
  </si>
  <si>
    <t xml:space="preserve">ALLIANCE UNIVERSITY</t>
  </si>
  <si>
    <t xml:space="preserve">1-44638749065</t>
  </si>
  <si>
    <t xml:space="preserve">CHRIST DEEMED TO BE UNIVERSITY MAIN CAMPUS</t>
  </si>
  <si>
    <t xml:space="preserve">1-44638613490</t>
  </si>
  <si>
    <t xml:space="preserve">INTERNATIONAL INSTITUTE OF INFORMATION TECHNOLOGY BANGALORE</t>
  </si>
  <si>
    <t xml:space="preserve">AI Data Science</t>
  </si>
  <si>
    <t xml:space="preserve">AI/Data Science</t>
  </si>
  <si>
    <t xml:space="preserve">UGC-DEB lists this university but not under 'AI/Data Science'.</t>
  </si>
  <si>
    <t xml:space="preserve">1-44640710672</t>
  </si>
  <si>
    <t xml:space="preserve">INTERNATIONAL SCHOOL OF MANAGEMENT EXCELLENCE</t>
  </si>
  <si>
    <t xml:space="preserve">Post-Graduate Diploma in Management</t>
  </si>
  <si>
    <t xml:space="preserve">1-44638293840</t>
  </si>
  <si>
    <t xml:space="preserve">ISBR BUSINESS SCHOOL</t>
  </si>
  <si>
    <t xml:space="preserve">1-44643847517</t>
  </si>
  <si>
    <t xml:space="preserve">JAIN DEEMED TO BE UNIVERSITY CENTRE FOR MANAGEMENT STUDIES</t>
  </si>
  <si>
    <t xml:space="preserve">1-44638218538</t>
  </si>
  <si>
    <t xml:space="preserve">JAIN DEEMED TO BE UNIVERSITY FACULTY OF MANAGEMENT STUDIES</t>
  </si>
  <si>
    <t xml:space="preserve">1-44638100886</t>
  </si>
  <si>
    <t xml:space="preserve">JAIN DEEMED TO BE UNIVERSITY SCHOOL OF COMPUTER APPLICATIONS AND IT</t>
  </si>
  <si>
    <t xml:space="preserve">1-44638542634</t>
  </si>
  <si>
    <t xml:space="preserve">JSS ACADEMY OF HIGHER EDUCATION AND RESEARCH</t>
  </si>
  <si>
    <t xml:space="preserve">MBA Pharmacy Administration</t>
  </si>
  <si>
    <t xml:space="preserve">MBA Hospital Administration</t>
  </si>
  <si>
    <t xml:space="preserve">1-44642922416</t>
  </si>
  <si>
    <t xml:space="preserve">M S RAMAIAH INSTITUTE OF MANAGEMENT</t>
  </si>
  <si>
    <t xml:space="preserve">1-44637278596</t>
  </si>
  <si>
    <t xml:space="preserve">MANIPAL ACADEMY OF HIGHER EDUCATION</t>
  </si>
  <si>
    <t xml:space="preserve">Master of Computer Application MCA</t>
  </si>
  <si>
    <t xml:space="preserve">MBA Banking and Financial Services</t>
  </si>
  <si>
    <t xml:space="preserve">PG Cert in Logistics and Supply Chain Management</t>
  </si>
  <si>
    <t xml:space="preserve">Bachelor of Business Administration BBA</t>
  </si>
  <si>
    <t xml:space="preserve">1-44643077312</t>
  </si>
  <si>
    <t xml:space="preserve">NMAM INSTITUTE OF TECHNOLOGY NITTE</t>
  </si>
  <si>
    <t xml:space="preserve">1-44639540771</t>
  </si>
  <si>
    <t xml:space="preserve">SRI SIDDHARTHA ACADEMY OF HIGHER EDUCATION AGALKOTE</t>
  </si>
  <si>
    <t xml:space="preserve">1-44644658510</t>
  </si>
  <si>
    <t xml:space="preserve">ST ALOYSIUS DEEMED TO BE UNIVERSITY</t>
  </si>
  <si>
    <t xml:space="preserve">1-44638686172</t>
  </si>
  <si>
    <t xml:space="preserve">YENEPOYA DEEMED TO BE UNIVERSITY</t>
  </si>
  <si>
    <t xml:space="preserve">1-44639974560</t>
  </si>
  <si>
    <t xml:space="preserve">SCHOOL OF MANAGEMENT AND BUSINESS STUDIES</t>
  </si>
  <si>
    <t xml:space="preserve">1-44638950114</t>
  </si>
  <si>
    <t xml:space="preserve">BHARATI VIDYAPEETH DEEMED TO BE UNVIERSITY</t>
  </si>
  <si>
    <t xml:space="preserve">1-44638207113</t>
  </si>
  <si>
    <t xml:space="preserve">DATTA MEGHE INSTITUTE OF HIGHER EDUCATION AND RESEARCH DEEMED TO B</t>
  </si>
  <si>
    <t xml:space="preserve">1-44638195707</t>
  </si>
  <si>
    <t xml:space="preserve">DR D Y PATIL VIDYAPEETH PUNE</t>
  </si>
  <si>
    <t xml:space="preserve">UGC-DEB lists this university but not under 'BCA'.</t>
  </si>
  <si>
    <t xml:space="preserve">Masters of Business Administration</t>
  </si>
  <si>
    <t xml:space="preserve">1-44642928975</t>
  </si>
  <si>
    <t xml:space="preserve">N.L.DALMIA INSTITUTE OF MANAGEMENT STUDIES AND RESEARCH</t>
  </si>
  <si>
    <t xml:space="preserve">Fintech</t>
  </si>
  <si>
    <t xml:space="preserve">Design Thinking</t>
  </si>
  <si>
    <t xml:space="preserve">AI and Data Science</t>
  </si>
  <si>
    <t xml:space="preserve">Marketing Management</t>
  </si>
  <si>
    <t xml:space="preserve">Financial Management</t>
  </si>
  <si>
    <t xml:space="preserve">Human Resource Management</t>
  </si>
  <si>
    <t xml:space="preserve">Business Analytics</t>
  </si>
  <si>
    <t xml:space="preserve">Logistics and Supply Chain Management</t>
  </si>
  <si>
    <t xml:space="preserve">Retail Management</t>
  </si>
  <si>
    <t xml:space="preserve">Family Managed Business</t>
  </si>
  <si>
    <t xml:space="preserve">Global Business Administration</t>
  </si>
  <si>
    <t xml:space="preserve">Digital Marketing</t>
  </si>
  <si>
    <t xml:space="preserve">1-44671086849</t>
  </si>
  <si>
    <t xml:space="preserve">PADMASHREE DR. D Y PATIL VIDYAPEETH DEEMED TO BE UNVERSITY</t>
  </si>
  <si>
    <t xml:space="preserve">1-44638099525</t>
  </si>
  <si>
    <t xml:space="preserve">PUNE INSTITUTE OF BUSINESS MANAGEMENT FOR PGDM</t>
  </si>
  <si>
    <t xml:space="preserve">1-44640767671</t>
  </si>
  <si>
    <t xml:space="preserve">S. P. JAIN INSTITUTE OF MANAGEMENT RESEARCH</t>
  </si>
  <si>
    <t xml:space="preserve">PGDM Online</t>
  </si>
  <si>
    <t xml:space="preserve">1-44638217870</t>
  </si>
  <si>
    <t xml:space="preserve">SHRI VILE PARLE KELAVANI MANDALS NARSEE MONJEE INSTITUTE OF MANAGEM</t>
  </si>
  <si>
    <t xml:space="preserve">MBA WX Working Executives</t>
  </si>
  <si>
    <t xml:space="preserve">MBA X Business Analytics</t>
  </si>
  <si>
    <t xml:space="preserve">1-44638644602</t>
  </si>
  <si>
    <t xml:space="preserve">SYMBIOSIS INTERNATIONAL DEEMED UNIVERSITY</t>
  </si>
  <si>
    <t xml:space="preserve">1-44639516879</t>
  </si>
  <si>
    <t xml:space="preserve">IMI BHUBANESWAR</t>
  </si>
  <si>
    <t xml:space="preserve">Management PGDM</t>
  </si>
  <si>
    <t xml:space="preserve">1-44642536410</t>
  </si>
  <si>
    <t xml:space="preserve">KALINGA INSTITUE OF INDUSTRIAL TECHNOLOGY</t>
  </si>
  <si>
    <t xml:space="preserve">UGC-DEB lists this university but not under 'MCA'.</t>
  </si>
  <si>
    <t xml:space="preserve">UGC-DEB lists this university but not under 'MBA'.</t>
  </si>
  <si>
    <t xml:space="preserve">UGC-DEB lists this university but not under 'BBA'.</t>
  </si>
  <si>
    <t xml:space="preserve">1-44638512790</t>
  </si>
  <si>
    <t xml:space="preserve">BANASTHALI VIDYAPITH DEEMED TO BE UNIVERSITY</t>
  </si>
  <si>
    <t xml:space="preserve">1-44643750767</t>
  </si>
  <si>
    <t xml:space="preserve">BIRLA INSTITUTE OF TECHNOLOGY AND SCIENCE BITS PILANI</t>
  </si>
  <si>
    <t xml:space="preserve">Master of Business Administration MBA</t>
  </si>
  <si>
    <t xml:space="preserve">1-44642541072</t>
  </si>
  <si>
    <t xml:space="preserve">ACADEMY OF MARITIME EDUCATION AND TRAINING DEEMED TO BE UNIVERSITY</t>
  </si>
  <si>
    <t xml:space="preserve">MBA Shipping and Logistics Management</t>
  </si>
  <si>
    <t xml:space="preserve">1-44641747141</t>
  </si>
  <si>
    <t xml:space="preserve">AMRITA VISHWA VIDYAPEETHAM COIMBATORE CAMPUS</t>
  </si>
  <si>
    <t xml:space="preserve">1-44638177879</t>
  </si>
  <si>
    <t xml:space="preserve">ANNA UNIVERSITY</t>
  </si>
  <si>
    <t xml:space="preserve">MBA General Management</t>
  </si>
  <si>
    <t xml:space="preserve">MBA Business Analytics</t>
  </si>
  <si>
    <t xml:space="preserve">1-44638713337</t>
  </si>
  <si>
    <t xml:space="preserve">B S A CRESCENT INSTITUTE OF SCIENCE AND TECHNOLOGY</t>
  </si>
  <si>
    <t xml:space="preserve">1-44643153215</t>
  </si>
  <si>
    <t xml:space="preserve">DR.M.G.R. EDUCATIONAL AND RESEARCH INSTITUTE</t>
  </si>
  <si>
    <t xml:space="preserve">Health Care Hospital Management</t>
  </si>
  <si>
    <t xml:space="preserve">Banking Finance Management</t>
  </si>
  <si>
    <t xml:space="preserve">Health Care Administration</t>
  </si>
  <si>
    <t xml:space="preserve">Information Management</t>
  </si>
  <si>
    <t xml:space="preserve">1-44638739902</t>
  </si>
  <si>
    <t xml:space="preserve">GREAT LAKES INSTITUTE OF MANAGEMENT</t>
  </si>
  <si>
    <t xml:space="preserve">1-44638698956</t>
  </si>
  <si>
    <t xml:space="preserve">HINDUSTAN INSTITUTE OF TECHNOLOGY AND SCIENCE</t>
  </si>
  <si>
    <t xml:space="preserve">1-44638707347</t>
  </si>
  <si>
    <t xml:space="preserve">KALASALINGAM ACADEMY OF RESEARCH AND EDUCATION</t>
  </si>
  <si>
    <t xml:space="preserve">1-44638691020</t>
  </si>
  <si>
    <t xml:space="preserve">KARUNYA INSTITUTE OF TECHNOLOGY AND SCIENCES</t>
  </si>
  <si>
    <t xml:space="preserve">1-44639685155</t>
  </si>
  <si>
    <t xml:space="preserve">LOYOLA INSTITUTE OF BUSINESS ADMINISTRATION</t>
  </si>
  <si>
    <t xml:space="preserve">1-44638393909</t>
  </si>
  <si>
    <t xml:space="preserve">NATIONAL INSTITUTE OF TECHNICAL TEACHERS TRAINING AND RESEARCH</t>
  </si>
  <si>
    <t xml:space="preserve">PG Diploma in AI and ML</t>
  </si>
  <si>
    <t xml:space="preserve">PG Diploma in Guidance and Counselling</t>
  </si>
  <si>
    <t xml:space="preserve">PG Diploma in Entrepreneurship Development</t>
  </si>
  <si>
    <t xml:space="preserve">1-44640602157</t>
  </si>
  <si>
    <t xml:space="preserve">PONNAIYAH RAMAJAYAM INSTITUTE OF SCIENCE AND TECHNOLOGY</t>
  </si>
  <si>
    <t xml:space="preserve">Logistics</t>
  </si>
  <si>
    <t xml:space="preserve">Other</t>
  </si>
  <si>
    <t xml:space="preserve">Travel Tourism</t>
  </si>
  <si>
    <t xml:space="preserve">1-44638337253</t>
  </si>
  <si>
    <t xml:space="preserve">SASTRA DEEMED UNIVERSITY</t>
  </si>
  <si>
    <t xml:space="preserve">1-44638751111</t>
  </si>
  <si>
    <t xml:space="preserve">1-44643228273</t>
  </si>
  <si>
    <t xml:space="preserve">SATHYABAMA INSTITUTE OF SCIENCE AND TECHNOLOGY</t>
  </si>
  <si>
    <t xml:space="preserve">1-44638184908</t>
  </si>
  <si>
    <t xml:space="preserve">SRM INSTITUTE OF SCIENCE AND TECHNOLOGY</t>
  </si>
  <si>
    <t xml:space="preserve">BCA Data Science</t>
  </si>
  <si>
    <t xml:space="preserve">BBA Digital Marketing</t>
  </si>
  <si>
    <t xml:space="preserve">1-44639321669</t>
  </si>
  <si>
    <t xml:space="preserve">VELLORE INSTITUTE OF TECHNOLOGY</t>
  </si>
  <si>
    <t xml:space="preserve">1-44638545381</t>
  </si>
  <si>
    <t xml:space="preserve">VELS INSTITUTE OF SCIENCE TECHNOLOGY AND ADVANCED STUDIES</t>
  </si>
  <si>
    <t xml:space="preserve">1-44640137795</t>
  </si>
  <si>
    <t xml:space="preserve">MALLA REDDY ENGINEERING COLLEGE</t>
  </si>
  <si>
    <t xml:space="preserve">1-44638378317</t>
  </si>
  <si>
    <t xml:space="preserve">THE ICFAI FOUNDATION FOR HIGHER EDUCATION</t>
  </si>
  <si>
    <t xml:space="preserve">1-44642424014</t>
  </si>
  <si>
    <t xml:space="preserve">BIRLA INSTITUTE OF MANAGEMENT TECHNOLOGY</t>
  </si>
  <si>
    <t xml:space="preserve">1-44640779201</t>
  </si>
  <si>
    <t xml:space="preserve">DAYALBAGH EDUCATIONAL INSTITUTE - DEPARTMENT OF MANAGEMENT</t>
  </si>
  <si>
    <t xml:space="preserve">1-44643267178</t>
  </si>
  <si>
    <t xml:space="preserve">JAIPURIA INSTITUTE OF MANAGEMENT</t>
  </si>
  <si>
    <t xml:space="preserve">1-44638732079</t>
  </si>
  <si>
    <t xml:space="preserve">JAYPEE INSTITUTE OF INFORMATION TECHNOLOGY</t>
  </si>
  <si>
    <t xml:space="preserve">1-44641935552</t>
  </si>
  <si>
    <t xml:space="preserve">SHIV NADAR INSTITUTION OF EMINENCE DEEMED TO BE UNIVERSITY</t>
  </si>
  <si>
    <t xml:space="preserve">1-44638394443</t>
  </si>
  <si>
    <t xml:space="preserve">SHOBHIT INSTITUTE OF ENGINEERING AND TECHNOLOGY</t>
  </si>
  <si>
    <t xml:space="preserve">1-44638942553</t>
  </si>
  <si>
    <t xml:space="preserve">GRAPHIC ERA DEEMED TO BE UNIVERSITY</t>
  </si>
  <si>
    <t xml:space="preserve">1-44640529410</t>
  </si>
  <si>
    <t xml:space="preserve">IMI KOLKATA</t>
  </si>
  <si>
    <t xml:space="preserve">West Bengal</t>
  </si>
  <si>
    <t xml:space="preserve">1-44640867367</t>
  </si>
  <si>
    <t xml:space="preserve">MANAGEMENT DEVELOPMENT INSTITUTE MURSHIDABAD</t>
  </si>
  <si>
    <t xml:space="preserve">AACSB International — India Schools (Accredited &amp; Members)</t>
  </si>
  <si>
    <t xml:space="preserve">AACSB Business Accreditation is a global B-school standard. Initial accreditation takes 5–7 years; once granted, schools undergo Continuous Improvement Review (CIR) every 5 years. 'Member-Only' means the school is an AACSB member but has not yet earned accreditation.</t>
  </si>
  <si>
    <t xml:space="preserve">School Name</t>
  </si>
  <si>
    <t xml:space="preserve">Parent University / Institution</t>
  </si>
  <si>
    <t xml:space="preserve">City</t>
  </si>
  <si>
    <t xml:space="preserve">In UGC-DEB List?</t>
  </si>
  <si>
    <t xml:space="preserve">Coimbatore</t>
  </si>
  <si>
    <t xml:space="preserve">Yes — Amrita Vishwa Vidyapeetham University</t>
  </si>
  <si>
    <t xml:space="preserve">Birla Institute of Management Technology, Greater Noida</t>
  </si>
  <si>
    <t xml:space="preserve">Greater Noida</t>
  </si>
  <si>
    <t xml:space="preserve">No (standalone institute)</t>
  </si>
  <si>
    <t xml:space="preserve">https://www.aacsb.edu/accredited/b/birla-institute-of-management-technology-greater-noida</t>
  </si>
  <si>
    <t xml:space="preserve">Great Lakes Institute of Management, Chennai</t>
  </si>
  <si>
    <t xml:space="preserve">Kanchipuram District</t>
  </si>
  <si>
    <t xml:space="preserve">https://www.aacsb.edu/accredited/g/great-lakes-institute-of-management-chennai</t>
  </si>
  <si>
    <t xml:space="preserve">Great Lakes Institute of Management, Gurgaon</t>
  </si>
  <si>
    <t xml:space="preserve">Gurugram</t>
  </si>
  <si>
    <t xml:space="preserve">https://www.aacsb.edu/accredited/g/great-lakes-institute-of-management-gurgaon</t>
  </si>
  <si>
    <t xml:space="preserve">Hyderabad</t>
  </si>
  <si>
    <t xml:space="preserve">Yes — ICFAI Foundation for Higher Education</t>
  </si>
  <si>
    <t xml:space="preserve">New Delhi</t>
  </si>
  <si>
    <t xml:space="preserve">Yes — Indian Institute of Foreign Trade</t>
  </si>
  <si>
    <t xml:space="preserve">Indian Institute of Management Calcutta</t>
  </si>
  <si>
    <t xml:space="preserve">Kolkata</t>
  </si>
  <si>
    <t xml:space="preserve">https://www.aacsb.edu/accredited/i/indian-institute-of-management-calcutta</t>
  </si>
  <si>
    <t xml:space="preserve">Indian Institute of Management Indore</t>
  </si>
  <si>
    <t xml:space="preserve">Indore</t>
  </si>
  <si>
    <t xml:space="preserve">https://www.aacsb.edu/accredited/i/indian-institute-of-management-indore</t>
  </si>
  <si>
    <t xml:space="preserve">Indian Institute of Management Lucknow</t>
  </si>
  <si>
    <t xml:space="preserve">Lucknow</t>
  </si>
  <si>
    <t xml:space="preserve">https://www.aacsb.edu/accredited/i/indian-institute-of-management-lucknow</t>
  </si>
  <si>
    <t xml:space="preserve">Indian Institute of Management Udaipur</t>
  </si>
  <si>
    <t xml:space="preserve">Udaipur</t>
  </si>
  <si>
    <t xml:space="preserve">https://www.aacsb.edu/accredited/i/indian-institute-of-management-udaipur</t>
  </si>
  <si>
    <t xml:space="preserve">Indian School of Business</t>
  </si>
  <si>
    <t xml:space="preserve">https://www.aacsb.edu/accredited/i/indian-school-of-business</t>
  </si>
  <si>
    <t xml:space="preserve">Institute of Management Technology, Ghaziabad</t>
  </si>
  <si>
    <t xml:space="preserve">Ghaziabad</t>
  </si>
  <si>
    <t xml:space="preserve">https://www.aacsb.edu/accredited/i/institute-of-management-technology-ghaziabad</t>
  </si>
  <si>
    <t xml:space="preserve">International Management Institute, Delhi</t>
  </si>
  <si>
    <t xml:space="preserve">https://www.aacsb.edu/accredited/i/international-management-institute-delhi</t>
  </si>
  <si>
    <t xml:space="preserve">Jagdish Sheth School of Management</t>
  </si>
  <si>
    <t xml:space="preserve">Vijaybhoomi University</t>
  </si>
  <si>
    <t xml:space="preserve">Bangalore</t>
  </si>
  <si>
    <t xml:space="preserve">https://www.aacsb.edu/accredited/j/jagdish-sheth-school-of-management</t>
  </si>
  <si>
    <t xml:space="preserve">Jaipuria Institute of Management (Lucknow, Noida, Jaipur, Indore)</t>
  </si>
  <si>
    <t xml:space="preserve">Jaipur</t>
  </si>
  <si>
    <t xml:space="preserve">https://www.aacsb.edu/accredited/j/jaipuria-institute-of-management</t>
  </si>
  <si>
    <t xml:space="preserve">K J Somaiya Institute of Management</t>
  </si>
  <si>
    <t xml:space="preserve">Somaiya Vidyavihar University</t>
  </si>
  <si>
    <t xml:space="preserve">Mumbai</t>
  </si>
  <si>
    <t xml:space="preserve">https://www.aacsb.edu/accredited/k/k-j-somaiya-institute-of-management</t>
  </si>
  <si>
    <t xml:space="preserve">LM Thapar School of Management</t>
  </si>
  <si>
    <t xml:space="preserve">Thapar Institute of Engineering and Technology</t>
  </si>
  <si>
    <t xml:space="preserve">Dera Bassi</t>
  </si>
  <si>
    <t xml:space="preserve">https://www.aacsb.edu/accredited/l/lm-thapar-school-of-management-thapar-institute-of-engineering-and-technology</t>
  </si>
  <si>
    <t xml:space="preserve">Rajagiri Business School</t>
  </si>
  <si>
    <t xml:space="preserve">Kochi</t>
  </si>
  <si>
    <t xml:space="preserve">https://www.aacsb.edu/accredited/r/rajagiri-business-school</t>
  </si>
  <si>
    <t xml:space="preserve">S.P. Jain Institute of Management and Research</t>
  </si>
  <si>
    <t xml:space="preserve">https://www.aacsb.edu/accredited/s/sp-jain-institute-of-management-and-research</t>
  </si>
  <si>
    <t xml:space="preserve">SVKM's NMIMS University</t>
  </si>
  <si>
    <t xml:space="preserve">Yes — Narsee Monjee Institute of Management Studies (NMIMS)</t>
  </si>
  <si>
    <t xml:space="preserve">Symbiosis International University</t>
  </si>
  <si>
    <t xml:space="preserve">Pune</t>
  </si>
  <si>
    <t xml:space="preserve">Yes — Symbiosis International</t>
  </si>
  <si>
    <t xml:space="preserve">Manipal</t>
  </si>
  <si>
    <t xml:space="preserve">Yes — Manipal Academy of Higher Education</t>
  </si>
  <si>
    <t xml:space="preserve">Vellore</t>
  </si>
  <si>
    <t xml:space="preserve">Yes — Vellore Institute of Technology</t>
  </si>
  <si>
    <t xml:space="preserve">XLRI - Xavier School of Management</t>
  </si>
  <si>
    <t xml:space="preserve">Jamshedpur</t>
  </si>
  <si>
    <t xml:space="preserve">https://www.aacsb.edu/accredited/x/xlri-jamshedpur</t>
  </si>
  <si>
    <t xml:space="preserve">Fortune Institute of International Business</t>
  </si>
  <si>
    <t xml:space="preserve">Member-Only</t>
  </si>
  <si>
    <t xml:space="preserve">https://www.aacsb.edu/members/non-accredited-educational/f/fortune-institute-of-international-business</t>
  </si>
  <si>
    <t xml:space="preserve">Goa Institute of Management</t>
  </si>
  <si>
    <t xml:space="preserve">Ribandar</t>
  </si>
  <si>
    <t xml:space="preserve">https://www.aacsb.edu/members/non-accredited-educational/g/goa-institute-of-management</t>
  </si>
  <si>
    <t xml:space="preserve">Indian Institute of Management, Shillong</t>
  </si>
  <si>
    <t xml:space="preserve">Shillong</t>
  </si>
  <si>
    <t xml:space="preserve">Meghalaya</t>
  </si>
  <si>
    <t xml:space="preserve">https://www.aacsb.edu/members/non-accredited-educational/i/indian-institute-of-management-shillong</t>
  </si>
  <si>
    <t xml:space="preserve">Jindal Global Business School</t>
  </si>
  <si>
    <t xml:space="preserve">O.P. Jindal Global University</t>
  </si>
  <si>
    <t xml:space="preserve">Sonipat</t>
  </si>
  <si>
    <t xml:space="preserve">https://www.aacsb.edu/members/non-accredited-educational/j/jindal-global-business-school</t>
  </si>
  <si>
    <t xml:space="preserve">Lal Bahadur Shastri Institute of Management</t>
  </si>
  <si>
    <t xml:space="preserve">https://www.aacsb.edu/members/non-accredited-educational/l/lal-bahadur-shastri-institute-of-management</t>
  </si>
  <si>
    <t xml:space="preserve">Management Development Institute, Gurgaon</t>
  </si>
  <si>
    <t xml:space="preserve">Gurgaon</t>
  </si>
  <si>
    <t xml:space="preserve">https://www.aacsb.edu/members/non-accredited-educational/m/management-development-institute-gurgaon</t>
  </si>
  <si>
    <t xml:space="preserve">NBA-Accredited Courses at UGC-DEB Online Universities</t>
  </si>
  <si>
    <t xml:space="preserve">NBA accredits at the COURSE level. Each course has its own validity. NBA covers Engineering, Management, MCA, Pharmacy, Architecture, Hotel Management — NOT Arts/Commerce/Science. Source: AICTE NBA list, status as on 30-Apr-2025.</t>
  </si>
  <si>
    <t xml:space="preserve">UGC-DEB University</t>
  </si>
  <si>
    <t xml:space="preserve">NBA Institute Name (as listed)</t>
  </si>
  <si>
    <t xml:space="preserve">Type</t>
  </si>
  <si>
    <t xml:space="preserve">Program Domain</t>
  </si>
  <si>
    <t xml:space="preserve">Course / Branch</t>
  </si>
  <si>
    <t xml:space="preserve">NBA Valid Till</t>
  </si>
  <si>
    <t xml:space="preserve">Deemed to be University(Pvt)</t>
  </si>
  <si>
    <t xml:space="preserve">ENGINEERING AND TECHNOLOGY</t>
  </si>
  <si>
    <t xml:space="preserve">UNDER GRADUATE</t>
  </si>
  <si>
    <t xml:space="preserve">CHEMICAL ENGINEERING</t>
  </si>
  <si>
    <t xml:space="preserve">CIVIL ENGINEERING</t>
  </si>
  <si>
    <t xml:space="preserve">AEROSPACE ENGINEERING</t>
  </si>
  <si>
    <t xml:space="preserve">ELECTRICAL AND ELECTRONICS ENGINEERING</t>
  </si>
  <si>
    <t xml:space="preserve">AMRITA VISHWA VIDYAPEETHAM BENGALURU CAMPUS</t>
  </si>
  <si>
    <t xml:space="preserve">ELECTRONICS AND COMMUNICATIONS ENGINEERING</t>
  </si>
  <si>
    <t xml:space="preserve">MECHANICAL ENGINEERING</t>
  </si>
  <si>
    <t xml:space="preserve">AMRITA VISHWA VIDYAPEETHAM AMRITAPURI CAMPUS</t>
  </si>
  <si>
    <t xml:space="preserve">ELECTRONICS COMMUNICATION ENGG</t>
  </si>
  <si>
    <t xml:space="preserve">Valid</t>
  </si>
  <si>
    <t xml:space="preserve">COMPUTER SCIENCE AND ENGINEERING</t>
  </si>
  <si>
    <t xml:space="preserve">ELECTRONICS AND COMMUNICATION ENGINEERING</t>
  </si>
  <si>
    <t xml:space="preserve">State Government University</t>
  </si>
  <si>
    <t xml:space="preserve">AUTOMOBILE ENGINEERING</t>
  </si>
  <si>
    <t xml:space="preserve">PRODUCTION ENGINEERING</t>
  </si>
  <si>
    <t xml:space="preserve">Expiring within 1 yr</t>
  </si>
  <si>
    <t xml:space="preserve">RUBBER AND PLASTICS TECHNOLOGY</t>
  </si>
  <si>
    <t xml:space="preserve">ELECTRONICS AND INSTRUMENTATION ENGINEERING</t>
  </si>
  <si>
    <t xml:space="preserve">BHARATI VIDYAPEETH DEEMED UNIVERSITY COLLEGE OF ENGINEERING</t>
  </si>
  <si>
    <t xml:space="preserve">Private-Self Financing</t>
  </si>
  <si>
    <t xml:space="preserve">COMPUTER ENGINEERING</t>
  </si>
  <si>
    <t xml:space="preserve">PRODUCTION AND INDUSTRIAL ENGINEERING</t>
  </si>
  <si>
    <t xml:space="preserve">POST GRADUATE</t>
  </si>
  <si>
    <t xml:space="preserve">REMOTE SENSING</t>
  </si>
  <si>
    <t xml:space="preserve">MANAGEMENT</t>
  </si>
  <si>
    <t xml:space="preserve">CHRIST DEEMED TO BE UNIVERSITY KENGERI CAMPUS</t>
  </si>
  <si>
    <t xml:space="preserve">COMPUTER SCIENCE AND ENGINEERING CYBER SECURITY</t>
  </si>
  <si>
    <t xml:space="preserve">MBA EXECUTIVE</t>
  </si>
  <si>
    <t xml:space="preserve">DAYALBAGH EDUCATIONAL INSTITUTE</t>
  </si>
  <si>
    <t xml:space="preserve">Govt aided</t>
  </si>
  <si>
    <t xml:space="preserve">ELECTRICAL ENGINEERING</t>
  </si>
  <si>
    <t xml:space="preserve">DR M G R EDUCATIONAL AND RESEARCH INSTITUTE</t>
  </si>
  <si>
    <t xml:space="preserve">BIOTECHNOLOGY</t>
  </si>
  <si>
    <t xml:space="preserve">INFORMATION TECHNOLOGY</t>
  </si>
  <si>
    <t xml:space="preserve">COMPUTER SCIENCE ENGINEERING</t>
  </si>
  <si>
    <t xml:space="preserve">GURU JAMBHESHWAR UNIVERSITY OF SCIENCE TECHNOLOGY</t>
  </si>
  <si>
    <t xml:space="preserve">AERONAUTICAL ENGINEERING</t>
  </si>
  <si>
    <t xml:space="preserve">MECHATRONICS</t>
  </si>
  <si>
    <t xml:space="preserve">JAMIA MILLIA ISLAMIA A CENTRAL UNIVERSITY</t>
  </si>
  <si>
    <t xml:space="preserve">ELECTRICAL POWER SYSTEMS</t>
  </si>
  <si>
    <t xml:space="preserve">CONTROL AND INSTRUMENTATION</t>
  </si>
  <si>
    <t xml:space="preserve">INDUSTRIAL SAFETY AND ENGINEERING</t>
  </si>
  <si>
    <t xml:space="preserve">CIVIL STRUCTURAL ENGINEERING</t>
  </si>
  <si>
    <t xml:space="preserve">FOOD TECHNOLOGY</t>
  </si>
  <si>
    <t xml:space="preserve">ELECTRONICS AND ELECTRICAL ENGINEERING</t>
  </si>
  <si>
    <t xml:space="preserve">ELECTRONICS AND TELECOMMUNICATIONS ENGINEERING</t>
  </si>
  <si>
    <t xml:space="preserve">BIOMEDICAL ENGINEERING</t>
  </si>
  <si>
    <t xml:space="preserve">ROBOTICS AND AUTOMATION</t>
  </si>
  <si>
    <t xml:space="preserve">MANAV RACHNA INTERNATIONAL INSTITUTE OF RESEARCH AND STUDIES DEEMED TO BE UNIVERSITY</t>
  </si>
  <si>
    <t xml:space="preserve">MANIPAL UNIVERSITY JAIPUR</t>
  </si>
  <si>
    <t xml:space="preserve">State Private University</t>
  </si>
  <si>
    <t xml:space="preserve">SVKM NMIMS GLOBAL UNIVERSITY</t>
  </si>
  <si>
    <t xml:space="preserve">SIKKIM MANIPAL INSTITUTE OF TECHNOLOGY</t>
  </si>
  <si>
    <t xml:space="preserve">COMPUTER SCIENCE AND INFORMATION TECHNOLOGY</t>
  </si>
  <si>
    <t xml:space="preserve">INFORMATION TECHNOLOGY CLOUD MOBILE BASED APPLICATION DEVELOPMENT</t>
  </si>
  <si>
    <t xml:space="preserve">VELS INSTITUTE OF SCIENCE TECHNOLOGY AND ADVANCED STUDIES VISTAS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</si>
</sst>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Arial"/>
      <family val="0"/>
      <charset val="1"/>
    </font>
    <font>
      <i val="true"/>
      <sz val="9"/>
      <color rgb="FF47556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2563EB"/>
      <name val="Arial"/>
      <family val="0"/>
      <charset val="1"/>
    </font>
    <font>
      <i val="true"/>
      <sz val="10"/>
      <color rgb="FF0C447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E6F1FB"/>
      </patternFill>
    </fill>
    <fill>
      <patternFill patternType="solid">
        <fgColor rgb="FFFEF3C7"/>
        <bgColor rgb="FFFEF9C3"/>
      </patternFill>
    </fill>
    <fill>
      <patternFill patternType="solid">
        <fgColor rgb="FFDCFCE7"/>
        <bgColor rgb="FFE6F1FB"/>
      </patternFill>
    </fill>
    <fill>
      <patternFill patternType="solid">
        <fgColor rgb="FFE6F1FB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ECFCCB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0C447C"/>
          <bgColor rgb="FF000000"/>
        </patternFill>
      </fill>
    </dxf>
    <dxf>
      <fill>
        <patternFill patternType="solid">
          <fgColor rgb="FFE6F1FB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ECFCCB"/>
        </patternFill>
      </fill>
    </dxf>
    <dxf>
      <fill>
        <patternFill>
          <bgColor rgb="FFFEF9C3"/>
        </patternFill>
      </fill>
    </dxf>
    <dxf>
      <fill>
        <patternFill>
          <bgColor rgb="FFFDE68A"/>
        </patternFill>
      </fill>
    </dxf>
    <dxf>
      <fill>
        <patternFill>
          <bgColor rgb="FFBBF7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CFCC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E2E2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BBF7D0"/>
      <rgbColor rgb="FFFEF3C7"/>
      <rgbColor rgb="FFF1F5F9"/>
      <rgbColor rgb="FFFF99CC"/>
      <rgbColor rgb="FFCC99FF"/>
      <rgbColor rgb="FFFDE68A"/>
      <rgbColor rgb="FF2563EB"/>
      <rgbColor rgb="FF33CCCC"/>
      <rgbColor rgb="FF99CC00"/>
      <rgbColor rgb="FFFFCC00"/>
      <rgbColor rgb="FFFF9900"/>
      <rgbColor rgb="FFFF6600"/>
      <rgbColor rgb="FF475569"/>
      <rgbColor rgb="FF969696"/>
      <rgbColor rgb="FF0C447C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acsb.edu/accredited/i/indian-institute-of-foreign-trade" TargetMode="External"/><Relationship Id="rId2" Type="http://schemas.openxmlformats.org/officeDocument/2006/relationships/hyperlink" Target="https://www.aacsb.edu/accredited/t/t-a-pai-management-institute" TargetMode="External"/><Relationship Id="rId3" Type="http://schemas.openxmlformats.org/officeDocument/2006/relationships/hyperlink" Target="https://www.aacsb.edu/accredited/t/t-a-pai-management-institute" TargetMode="External"/><Relationship Id="rId4" Type="http://schemas.openxmlformats.org/officeDocument/2006/relationships/hyperlink" Target="https://www.aacsb.edu/accredited/t/t-a-pai-management-institute" TargetMode="External"/><Relationship Id="rId5" Type="http://schemas.openxmlformats.org/officeDocument/2006/relationships/hyperlink" Target="https://www.aacsb.edu/accredited/s/symbiosis-international-university-symbiosis-centre-for-management-and-human-resource-development" TargetMode="External"/><Relationship Id="rId6" Type="http://schemas.openxmlformats.org/officeDocument/2006/relationships/hyperlink" Target="https://www.aacsb.edu/accredited/s/symbiosis-international-university-symbiosis-centre-for-management-and-human-resource-development" TargetMode="External"/><Relationship Id="rId7" Type="http://schemas.openxmlformats.org/officeDocument/2006/relationships/hyperlink" Target="https://www.aacsb.edu/accredited/s/school-of-business-management-svkms-nmims-university" TargetMode="External"/><Relationship Id="rId8" Type="http://schemas.openxmlformats.org/officeDocument/2006/relationships/hyperlink" Target="https://www.aacsb.edu/accredited/s/school-of-business-management-svkms-nmims-university" TargetMode="External"/><Relationship Id="rId9" Type="http://schemas.openxmlformats.org/officeDocument/2006/relationships/hyperlink" Target="https://www.aacsb.edu/accredited/s/school-of-business-management-svkms-nmims-university" TargetMode="External"/><Relationship Id="rId10" Type="http://schemas.openxmlformats.org/officeDocument/2006/relationships/hyperlink" Target="https://www.aacsb.edu/accredited/a/amrita-school-of-business-coimbatore-amrita-vishwa-vidyapeetham" TargetMode="External"/><Relationship Id="rId11" Type="http://schemas.openxmlformats.org/officeDocument/2006/relationships/hyperlink" Target="https://www.aacsb.edu/accredited/v/vit-business-school-vellore-institute-of-technology" TargetMode="External"/><Relationship Id="rId12" Type="http://schemas.openxmlformats.org/officeDocument/2006/relationships/hyperlink" Target="https://www.aacsb.edu/accredited/i/icfai-business-school-hyderabad" TargetMode="External"/><Relationship Id="rId13" Type="http://schemas.openxmlformats.org/officeDocument/2006/relationships/hyperlink" Target="https://www.aacsb.edu/accredited/i/icfai-business-school-hyderabad" TargetMode="External"/><Relationship Id="rId1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aacsb.edu/accredited/a/amrita-school-of-business-coimbatore-amrita-vishwa-vidyapeetham" TargetMode="External"/><Relationship Id="rId2" Type="http://schemas.openxmlformats.org/officeDocument/2006/relationships/hyperlink" Target="https://www.aacsb.edu/accredited/b/birla-institute-of-management-technology-greater-noida" TargetMode="External"/><Relationship Id="rId3" Type="http://schemas.openxmlformats.org/officeDocument/2006/relationships/hyperlink" Target="https://www.aacsb.edu/accredited/g/great-lakes-institute-of-management-chennai" TargetMode="External"/><Relationship Id="rId4" Type="http://schemas.openxmlformats.org/officeDocument/2006/relationships/hyperlink" Target="https://www.aacsb.edu/accredited/g/great-lakes-institute-of-management-gurgaon" TargetMode="External"/><Relationship Id="rId5" Type="http://schemas.openxmlformats.org/officeDocument/2006/relationships/hyperlink" Target="https://www.aacsb.edu/accredited/i/icfai-business-school-hyderabad" TargetMode="External"/><Relationship Id="rId6" Type="http://schemas.openxmlformats.org/officeDocument/2006/relationships/hyperlink" Target="https://www.aacsb.edu/accredited/i/indian-institute-of-foreign-trade" TargetMode="External"/><Relationship Id="rId7" Type="http://schemas.openxmlformats.org/officeDocument/2006/relationships/hyperlink" Target="https://www.aacsb.edu/accredited/i/indian-institute-of-management-calcutta" TargetMode="External"/><Relationship Id="rId8" Type="http://schemas.openxmlformats.org/officeDocument/2006/relationships/hyperlink" Target="https://www.aacsb.edu/accredited/i/indian-institute-of-management-indore" TargetMode="External"/><Relationship Id="rId9" Type="http://schemas.openxmlformats.org/officeDocument/2006/relationships/hyperlink" Target="https://www.aacsb.edu/accredited/i/indian-institute-of-management-lucknow" TargetMode="External"/><Relationship Id="rId10" Type="http://schemas.openxmlformats.org/officeDocument/2006/relationships/hyperlink" Target="https://www.aacsb.edu/accredited/i/indian-institute-of-management-udaipur" TargetMode="External"/><Relationship Id="rId11" Type="http://schemas.openxmlformats.org/officeDocument/2006/relationships/hyperlink" Target="https://www.aacsb.edu/accredited/i/indian-school-of-business" TargetMode="External"/><Relationship Id="rId12" Type="http://schemas.openxmlformats.org/officeDocument/2006/relationships/hyperlink" Target="https://www.aacsb.edu/accredited/i/institute-of-management-technology-ghaziabad" TargetMode="External"/><Relationship Id="rId13" Type="http://schemas.openxmlformats.org/officeDocument/2006/relationships/hyperlink" Target="https://www.aacsb.edu/accredited/i/international-management-institute-delhi" TargetMode="External"/><Relationship Id="rId14" Type="http://schemas.openxmlformats.org/officeDocument/2006/relationships/hyperlink" Target="https://www.aacsb.edu/accredited/j/jagdish-sheth-school-of-management" TargetMode="External"/><Relationship Id="rId15" Type="http://schemas.openxmlformats.org/officeDocument/2006/relationships/hyperlink" Target="https://www.aacsb.edu/accredited/j/jaipuria-institute-of-management" TargetMode="External"/><Relationship Id="rId16" Type="http://schemas.openxmlformats.org/officeDocument/2006/relationships/hyperlink" Target="https://www.aacsb.edu/accredited/k/k-j-somaiya-institute-of-management" TargetMode="External"/><Relationship Id="rId17" Type="http://schemas.openxmlformats.org/officeDocument/2006/relationships/hyperlink" Target="https://www.aacsb.edu/accredited/l/lm-thapar-school-of-management-thapar-institute-of-engineering-and-technology" TargetMode="External"/><Relationship Id="rId18" Type="http://schemas.openxmlformats.org/officeDocument/2006/relationships/hyperlink" Target="https://www.aacsb.edu/accredited/r/rajagiri-business-school" TargetMode="External"/><Relationship Id="rId19" Type="http://schemas.openxmlformats.org/officeDocument/2006/relationships/hyperlink" Target="https://www.aacsb.edu/accredited/s/sp-jain-institute-of-management-and-research" TargetMode="External"/><Relationship Id="rId20" Type="http://schemas.openxmlformats.org/officeDocument/2006/relationships/hyperlink" Target="https://www.aacsb.edu/accredited/s/school-of-business-management-svkms-nmims-university" TargetMode="External"/><Relationship Id="rId21" Type="http://schemas.openxmlformats.org/officeDocument/2006/relationships/hyperlink" Target="https://www.aacsb.edu/accredited/s/symbiosis-international-university-symbiosis-centre-for-management-and-human-resource-development" TargetMode="External"/><Relationship Id="rId22" Type="http://schemas.openxmlformats.org/officeDocument/2006/relationships/hyperlink" Target="https://www.aacsb.edu/accredited/t/t-a-pai-management-institute" TargetMode="External"/><Relationship Id="rId23" Type="http://schemas.openxmlformats.org/officeDocument/2006/relationships/hyperlink" Target="https://www.aacsb.edu/accredited/v/vit-business-school-vellore-institute-of-technology" TargetMode="External"/><Relationship Id="rId24" Type="http://schemas.openxmlformats.org/officeDocument/2006/relationships/hyperlink" Target="https://www.aacsb.edu/accredited/x/xlri-jamshedpur" TargetMode="External"/><Relationship Id="rId25" Type="http://schemas.openxmlformats.org/officeDocument/2006/relationships/hyperlink" Target="https://www.aacsb.edu/members/non-accredited-educational/f/fortune-institute-of-international-business" TargetMode="External"/><Relationship Id="rId26" Type="http://schemas.openxmlformats.org/officeDocument/2006/relationships/hyperlink" Target="https://www.aacsb.edu/members/non-accredited-educational/g/goa-institute-of-management" TargetMode="External"/><Relationship Id="rId27" Type="http://schemas.openxmlformats.org/officeDocument/2006/relationships/hyperlink" Target="https://www.aacsb.edu/members/non-accredited-educational/i/indian-institute-of-management-shillong" TargetMode="External"/><Relationship Id="rId28" Type="http://schemas.openxmlformats.org/officeDocument/2006/relationships/hyperlink" Target="https://www.aacsb.edu/members/non-accredited-educational/j/jindal-global-business-school" TargetMode="External"/><Relationship Id="rId29" Type="http://schemas.openxmlformats.org/officeDocument/2006/relationships/hyperlink" Target="https://www.aacsb.edu/members/non-accredited-educational/l/lal-bahadur-shastri-institute-of-management" TargetMode="External"/><Relationship Id="rId30" Type="http://schemas.openxmlformats.org/officeDocument/2006/relationships/hyperlink" Target="https://www.aacsb.edu/members/non-accredited-educational/m/management-development-institute-gurgaon" TargetMode="External"/><Relationship Id="rId3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</row>
    <row r="4" customFormat="false" ht="15" hidden="false" customHeight="true" outlineLevel="0" collapsed="false">
      <c r="A4" s="5" t="s">
        <v>2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1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15" hidden="false" customHeight="true" outlineLevel="0" collapsed="false">
      <c r="A8" s="4"/>
      <c r="B8" s="4"/>
      <c r="C8" s="4"/>
      <c r="D8" s="4"/>
      <c r="E8" s="4"/>
      <c r="F8" s="4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</row>
    <row r="10" customFormat="false" ht="15" hidden="false" customHeight="true" outlineLevel="0" collapsed="false">
      <c r="A10" s="4" t="s">
        <v>7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4" t="s">
        <v>8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4" t="s">
        <v>9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4" t="s">
        <v>10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</row>
    <row r="15" customFormat="false" ht="15" hidden="false" customHeight="true" outlineLevel="0" collapsed="false">
      <c r="A15" s="5" t="s">
        <v>11</v>
      </c>
      <c r="B15" s="5"/>
      <c r="C15" s="5"/>
      <c r="D15" s="5"/>
      <c r="E15" s="5"/>
      <c r="F15" s="5"/>
    </row>
    <row r="16" customFormat="false" ht="15" hidden="false" customHeight="true" outlineLevel="0" collapsed="false">
      <c r="A16" s="4" t="s">
        <v>12</v>
      </c>
      <c r="B16" s="4"/>
      <c r="C16" s="4"/>
      <c r="D16" s="4"/>
      <c r="E16" s="4"/>
      <c r="F16" s="4"/>
    </row>
    <row r="17" customFormat="false" ht="15" hidden="false" customHeight="true" outlineLevel="0" collapsed="false">
      <c r="A17" s="4" t="s">
        <v>13</v>
      </c>
      <c r="B17" s="4"/>
      <c r="C17" s="4"/>
      <c r="D17" s="4"/>
      <c r="E17" s="4"/>
      <c r="F17" s="4"/>
    </row>
    <row r="18" customFormat="false" ht="15" hidden="false" customHeight="true" outlineLevel="0" collapsed="false">
      <c r="A18" s="4" t="s">
        <v>14</v>
      </c>
      <c r="B18" s="4"/>
      <c r="C18" s="4"/>
      <c r="D18" s="4"/>
      <c r="E18" s="4"/>
      <c r="F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</row>
    <row r="20" customFormat="false" ht="15" hidden="false" customHeight="true" outlineLevel="0" collapsed="false">
      <c r="A20" s="5" t="s">
        <v>15</v>
      </c>
      <c r="B20" s="5"/>
      <c r="C20" s="5"/>
      <c r="D20" s="5"/>
      <c r="E20" s="5"/>
      <c r="F20" s="5"/>
    </row>
    <row r="21" customFormat="false" ht="15" hidden="false" customHeight="true" outlineLevel="0" collapsed="false">
      <c r="A21" s="4" t="s">
        <v>16</v>
      </c>
      <c r="B21" s="4"/>
      <c r="C21" s="4"/>
      <c r="D21" s="4"/>
      <c r="E21" s="4"/>
      <c r="F21" s="4"/>
    </row>
    <row r="22" customFormat="false" ht="15" hidden="false" customHeight="true" outlineLevel="0" collapsed="false">
      <c r="A22" s="4" t="s">
        <v>17</v>
      </c>
      <c r="B22" s="4"/>
      <c r="C22" s="4"/>
      <c r="D22" s="4"/>
      <c r="E22" s="4"/>
      <c r="F22" s="4"/>
    </row>
    <row r="23" customFormat="false" ht="15" hidden="false" customHeight="true" outlineLevel="0" collapsed="false">
      <c r="A23" s="4" t="s">
        <v>18</v>
      </c>
      <c r="B23" s="4"/>
      <c r="C23" s="4"/>
      <c r="D23" s="4"/>
      <c r="E23" s="4"/>
      <c r="F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</row>
    <row r="25" customFormat="false" ht="15" hidden="false" customHeight="true" outlineLevel="0" collapsed="false">
      <c r="A25" s="5" t="s">
        <v>19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4" t="s">
        <v>20</v>
      </c>
      <c r="B26" s="4"/>
      <c r="C26" s="4"/>
      <c r="D26" s="4"/>
      <c r="E26" s="4"/>
      <c r="F26" s="4"/>
    </row>
    <row r="27" customFormat="false" ht="15" hidden="false" customHeight="true" outlineLevel="0" collapsed="false">
      <c r="A27" s="4" t="s">
        <v>21</v>
      </c>
      <c r="B27" s="4"/>
      <c r="C27" s="4"/>
      <c r="D27" s="4"/>
      <c r="E27" s="4"/>
      <c r="F27" s="4"/>
    </row>
    <row r="28" customFormat="false" ht="15" hidden="false" customHeight="true" outlineLevel="0" collapsed="false">
      <c r="A28" s="4" t="s">
        <v>22</v>
      </c>
      <c r="B28" s="4"/>
      <c r="C28" s="4"/>
      <c r="D28" s="4"/>
      <c r="E28" s="4"/>
      <c r="F28" s="4"/>
    </row>
    <row r="29" customFormat="false" ht="15" hidden="false" customHeight="true" outlineLevel="0" collapsed="false">
      <c r="A29" s="4" t="s">
        <v>23</v>
      </c>
      <c r="B29" s="4"/>
      <c r="C29" s="4"/>
      <c r="D29" s="4"/>
      <c r="E29" s="4"/>
      <c r="F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</row>
    <row r="31" customFormat="false" ht="15" hidden="false" customHeight="true" outlineLevel="0" collapsed="false">
      <c r="A31" s="5" t="s">
        <v>24</v>
      </c>
      <c r="B31" s="5"/>
      <c r="C31" s="5"/>
      <c r="D31" s="5"/>
      <c r="E31" s="5"/>
      <c r="F31" s="5"/>
    </row>
    <row r="32" customFormat="false" ht="15" hidden="false" customHeight="true" outlineLevel="0" collapsed="false">
      <c r="A32" s="4" t="s">
        <v>25</v>
      </c>
      <c r="B32" s="4"/>
      <c r="C32" s="4"/>
      <c r="D32" s="4"/>
      <c r="E32" s="4"/>
      <c r="F32" s="4"/>
    </row>
    <row r="33" customFormat="false" ht="15" hidden="false" customHeight="true" outlineLevel="0" collapsed="false">
      <c r="A33" s="4" t="s">
        <v>26</v>
      </c>
      <c r="B33" s="4"/>
      <c r="C33" s="4"/>
      <c r="D33" s="4"/>
      <c r="E33" s="4"/>
      <c r="F33" s="4"/>
    </row>
    <row r="34" customFormat="false" ht="15" hidden="false" customHeight="true" outlineLevel="0" collapsed="false">
      <c r="A34" s="4" t="s">
        <v>27</v>
      </c>
      <c r="B34" s="4"/>
      <c r="C34" s="4"/>
      <c r="D34" s="4"/>
      <c r="E34" s="4"/>
      <c r="F34" s="4"/>
    </row>
    <row r="35" customFormat="false" ht="15" hidden="false" customHeight="true" outlineLevel="0" collapsed="false">
      <c r="A35" s="4" t="s">
        <v>28</v>
      </c>
      <c r="B35" s="4"/>
      <c r="C35" s="4"/>
      <c r="D35" s="4"/>
      <c r="E35" s="4"/>
      <c r="F35" s="4"/>
    </row>
    <row r="36" customFormat="false" ht="15" hidden="false" customHeight="true" outlineLevel="0" collapsed="false">
      <c r="A36" s="4" t="s">
        <v>29</v>
      </c>
      <c r="B36" s="4"/>
      <c r="C36" s="4"/>
      <c r="D36" s="4"/>
      <c r="E36" s="4"/>
      <c r="F36" s="4"/>
    </row>
    <row r="37" customFormat="false" ht="15" hidden="false" customHeight="true" outlineLevel="0" collapsed="false">
      <c r="A37" s="4" t="s">
        <v>30</v>
      </c>
      <c r="B37" s="4"/>
      <c r="C37" s="4"/>
      <c r="D37" s="4"/>
      <c r="E37" s="4"/>
      <c r="F37" s="4"/>
    </row>
    <row r="39" customFormat="false" ht="15" hidden="false" customHeight="true" outlineLevel="0" collapsed="false">
      <c r="A39" s="5" t="s">
        <v>31</v>
      </c>
      <c r="B39" s="5"/>
      <c r="C39" s="5"/>
      <c r="D39" s="5"/>
      <c r="E39" s="5"/>
      <c r="F39" s="5"/>
    </row>
    <row r="40" customFormat="false" ht="15" hidden="false" customHeight="true" outlineLevel="0" collapsed="false">
      <c r="A40" s="4" t="s">
        <v>32</v>
      </c>
      <c r="B40" s="4"/>
      <c r="C40" s="4"/>
      <c r="D40" s="4"/>
      <c r="E40" s="4"/>
      <c r="F40" s="4"/>
    </row>
    <row r="41" customFormat="false" ht="15" hidden="false" customHeight="true" outlineLevel="0" collapsed="false">
      <c r="A41" s="4" t="s">
        <v>33</v>
      </c>
      <c r="B41" s="4"/>
      <c r="C41" s="4"/>
      <c r="D41" s="4"/>
      <c r="E41" s="4"/>
      <c r="F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</row>
    <row r="43" customFormat="false" ht="15" hidden="false" customHeight="true" outlineLevel="0" collapsed="false">
      <c r="A43" s="5" t="s">
        <v>34</v>
      </c>
      <c r="B43" s="5"/>
      <c r="C43" s="5"/>
      <c r="D43" s="5"/>
      <c r="E43" s="5"/>
      <c r="F43" s="5"/>
    </row>
    <row r="44" customFormat="false" ht="15" hidden="false" customHeight="true" outlineLevel="0" collapsed="false">
      <c r="A44" s="4" t="s">
        <v>35</v>
      </c>
      <c r="B44" s="4"/>
      <c r="C44" s="4"/>
      <c r="D44" s="4"/>
      <c r="E44" s="4"/>
      <c r="F44" s="4"/>
    </row>
    <row r="45" customFormat="false" ht="15" hidden="false" customHeight="true" outlineLevel="0" collapsed="false">
      <c r="A45" s="4" t="s">
        <v>36</v>
      </c>
      <c r="B45" s="4"/>
      <c r="C45" s="4"/>
      <c r="D45" s="4"/>
      <c r="E45" s="4"/>
      <c r="F45" s="4"/>
    </row>
    <row r="46" customFormat="false" ht="15" hidden="false" customHeight="true" outlineLevel="0" collapsed="false">
      <c r="A46" s="4" t="s">
        <v>37</v>
      </c>
      <c r="B46" s="4"/>
      <c r="C46" s="4"/>
      <c r="D46" s="4"/>
      <c r="E46" s="4"/>
      <c r="F46" s="4"/>
    </row>
    <row r="47" customFormat="false" ht="15" hidden="false" customHeight="true" outlineLevel="0" collapsed="false">
      <c r="A47" s="4" t="s">
        <v>38</v>
      </c>
      <c r="B47" s="4"/>
      <c r="C47" s="4"/>
      <c r="D47" s="4"/>
      <c r="E47" s="4"/>
      <c r="F47" s="4"/>
    </row>
    <row r="48" customFormat="false" ht="15" hidden="false" customHeight="true" outlineLevel="0" collapsed="false">
      <c r="A48" s="4" t="s">
        <v>39</v>
      </c>
      <c r="B48" s="4"/>
      <c r="C48" s="4"/>
      <c r="D48" s="4"/>
      <c r="E48" s="4"/>
      <c r="F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</row>
    <row r="50" customFormat="false" ht="15" hidden="false" customHeight="true" outlineLevel="0" collapsed="false">
      <c r="A50" s="5" t="s">
        <v>40</v>
      </c>
      <c r="B50" s="5"/>
      <c r="C50" s="5"/>
      <c r="D50" s="5"/>
      <c r="E50" s="5"/>
      <c r="F50" s="5"/>
    </row>
    <row r="51" customFormat="false" ht="15" hidden="false" customHeight="true" outlineLevel="0" collapsed="false">
      <c r="A51" s="4" t="s">
        <v>41</v>
      </c>
      <c r="B51" s="4"/>
      <c r="C51" s="4"/>
      <c r="D51" s="4"/>
      <c r="E51" s="4"/>
      <c r="F51" s="4"/>
    </row>
    <row r="52" customFormat="false" ht="15" hidden="false" customHeight="true" outlineLevel="0" collapsed="false">
      <c r="A52" s="4" t="s">
        <v>42</v>
      </c>
      <c r="B52" s="4"/>
      <c r="C52" s="4"/>
      <c r="D52" s="4"/>
      <c r="E52" s="4"/>
      <c r="F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</row>
    <row r="54" customFormat="false" ht="15" hidden="false" customHeight="true" outlineLevel="0" collapsed="false">
      <c r="A54" s="5" t="s">
        <v>43</v>
      </c>
      <c r="B54" s="5"/>
      <c r="C54" s="5"/>
      <c r="D54" s="5"/>
      <c r="E54" s="5"/>
      <c r="F54" s="5"/>
    </row>
    <row r="55" customFormat="false" ht="15" hidden="false" customHeight="true" outlineLevel="0" collapsed="false">
      <c r="A55" s="4" t="s">
        <v>44</v>
      </c>
      <c r="B55" s="4"/>
      <c r="C55" s="4"/>
      <c r="D55" s="4"/>
      <c r="E55" s="4"/>
      <c r="F55" s="4"/>
    </row>
    <row r="56" customFormat="false" ht="15" hidden="false" customHeight="true" outlineLevel="0" collapsed="false">
      <c r="A56" s="4" t="s">
        <v>45</v>
      </c>
      <c r="B56" s="4"/>
      <c r="C56" s="4"/>
      <c r="D56" s="4"/>
      <c r="E56" s="4"/>
      <c r="F56" s="4"/>
    </row>
    <row r="57" customFormat="false" ht="15" hidden="false" customHeight="true" outlineLevel="0" collapsed="false">
      <c r="A57" s="4" t="s">
        <v>46</v>
      </c>
      <c r="B57" s="4"/>
      <c r="C57" s="4"/>
      <c r="D57" s="4"/>
      <c r="E57" s="4"/>
      <c r="F57" s="4"/>
    </row>
    <row r="59" customFormat="false" ht="15" hidden="false" customHeight="true" outlineLevel="0" collapsed="false">
      <c r="A59" s="5" t="s">
        <v>47</v>
      </c>
      <c r="B59" s="5"/>
      <c r="C59" s="5"/>
      <c r="D59" s="5"/>
      <c r="E59" s="5"/>
      <c r="F59" s="5"/>
    </row>
    <row r="60" customFormat="false" ht="15" hidden="false" customHeight="true" outlineLevel="0" collapsed="false">
      <c r="A60" s="4" t="s">
        <v>48</v>
      </c>
      <c r="B60" s="4"/>
      <c r="C60" s="4"/>
      <c r="D60" s="4"/>
      <c r="E60" s="4"/>
      <c r="F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</row>
    <row r="62" customFormat="false" ht="15" hidden="false" customHeight="true" outlineLevel="0" collapsed="false">
      <c r="A62" s="5" t="s">
        <v>49</v>
      </c>
      <c r="B62" s="5"/>
      <c r="C62" s="5"/>
      <c r="D62" s="5"/>
      <c r="E62" s="5"/>
      <c r="F62" s="5"/>
    </row>
    <row r="63" customFormat="false" ht="15" hidden="false" customHeight="true" outlineLevel="0" collapsed="false">
      <c r="A63" s="4" t="s">
        <v>50</v>
      </c>
      <c r="B63" s="4"/>
      <c r="C63" s="4"/>
      <c r="D63" s="4"/>
      <c r="E63" s="4"/>
      <c r="F63" s="4"/>
    </row>
    <row r="64" customFormat="false" ht="15" hidden="false" customHeight="true" outlineLevel="0" collapsed="false">
      <c r="A64" s="4" t="s">
        <v>51</v>
      </c>
      <c r="B64" s="4"/>
      <c r="C64" s="4"/>
      <c r="D64" s="4"/>
      <c r="E64" s="4"/>
      <c r="F64" s="4"/>
    </row>
    <row r="65" customFormat="false" ht="15" hidden="false" customHeight="true" outlineLevel="0" collapsed="false">
      <c r="A65" s="4" t="s">
        <v>52</v>
      </c>
      <c r="B65" s="4"/>
      <c r="C65" s="4"/>
      <c r="D65" s="4"/>
      <c r="E65" s="4"/>
      <c r="F65" s="4"/>
    </row>
    <row r="66" customFormat="false" ht="15" hidden="false" customHeight="true" outlineLevel="0" collapsed="false">
      <c r="A66" s="4" t="s">
        <v>53</v>
      </c>
      <c r="B66" s="4"/>
      <c r="C66" s="4"/>
      <c r="D66" s="4"/>
      <c r="E66" s="4"/>
      <c r="F66" s="4"/>
    </row>
    <row r="67" customFormat="false" ht="15" hidden="false" customHeight="true" outlineLevel="0" collapsed="false">
      <c r="A67" s="4" t="s">
        <v>54</v>
      </c>
      <c r="B67" s="4"/>
      <c r="C67" s="4"/>
      <c r="D67" s="4"/>
      <c r="E67" s="4"/>
      <c r="F67" s="4"/>
    </row>
    <row r="68" customFormat="false" ht="15" hidden="false" customHeight="true" outlineLevel="0" collapsed="false">
      <c r="A68" s="4" t="s">
        <v>55</v>
      </c>
      <c r="B68" s="4"/>
      <c r="C68" s="4"/>
      <c r="D68" s="4"/>
      <c r="E68" s="4"/>
      <c r="F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</row>
    <row r="70" customFormat="false" ht="15" hidden="false" customHeight="true" outlineLevel="0" collapsed="false">
      <c r="A70" s="5" t="s">
        <v>56</v>
      </c>
      <c r="B70" s="5"/>
      <c r="C70" s="5"/>
      <c r="D70" s="5"/>
      <c r="E70" s="5"/>
      <c r="F70" s="5"/>
    </row>
    <row r="71" customFormat="false" ht="15" hidden="false" customHeight="true" outlineLevel="0" collapsed="false">
      <c r="A71" s="4" t="s">
        <v>57</v>
      </c>
      <c r="B71" s="4"/>
      <c r="C71" s="4"/>
      <c r="D71" s="4"/>
      <c r="E71" s="4"/>
      <c r="F71" s="4"/>
    </row>
    <row r="72" customFormat="false" ht="15" hidden="false" customHeight="true" outlineLevel="0" collapsed="false">
      <c r="A72" s="4" t="s">
        <v>58</v>
      </c>
      <c r="B72" s="4"/>
      <c r="C72" s="4"/>
      <c r="D72" s="4"/>
      <c r="E72" s="4"/>
      <c r="F72" s="4"/>
    </row>
    <row r="73" customFormat="false" ht="15" hidden="false" customHeight="true" outlineLevel="0" collapsed="false">
      <c r="A73" s="4" t="s">
        <v>59</v>
      </c>
      <c r="B73" s="4"/>
      <c r="C73" s="4"/>
      <c r="D73" s="4"/>
      <c r="E73" s="4"/>
      <c r="F73" s="4"/>
    </row>
    <row r="74" customFormat="false" ht="15" hidden="false" customHeight="true" outlineLevel="0" collapsed="false">
      <c r="A74" s="4" t="s">
        <v>60</v>
      </c>
      <c r="B74" s="4"/>
      <c r="C74" s="4"/>
      <c r="D74" s="4"/>
      <c r="E74" s="4"/>
      <c r="F74" s="4"/>
    </row>
    <row r="75" customFormat="false" ht="15" hidden="false" customHeight="true" outlineLevel="0" collapsed="false">
      <c r="A75" s="4" t="s">
        <v>61</v>
      </c>
      <c r="B75" s="4"/>
      <c r="C75" s="4"/>
      <c r="D75" s="4"/>
      <c r="E75" s="4"/>
      <c r="F75" s="4"/>
    </row>
    <row r="76" customFormat="false" ht="15" hidden="false" customHeight="true" outlineLevel="0" collapsed="false">
      <c r="A76" s="4" t="s">
        <v>62</v>
      </c>
      <c r="B76" s="4"/>
      <c r="C76" s="4"/>
      <c r="D76" s="4"/>
      <c r="E76" s="4"/>
      <c r="F76" s="4"/>
    </row>
    <row r="77" customFormat="false" ht="15" hidden="false" customHeight="true" outlineLevel="0" collapsed="false">
      <c r="A77" s="4" t="s">
        <v>63</v>
      </c>
      <c r="B77" s="4"/>
      <c r="C77" s="4"/>
      <c r="D77" s="4"/>
      <c r="E77" s="4"/>
      <c r="F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</row>
    <row r="79" customFormat="false" ht="15" hidden="false" customHeight="true" outlineLevel="0" collapsed="false">
      <c r="A79" s="5" t="s">
        <v>64</v>
      </c>
      <c r="B79" s="5"/>
      <c r="C79" s="5"/>
      <c r="D79" s="5"/>
      <c r="E79" s="5"/>
      <c r="F79" s="5"/>
    </row>
    <row r="80" customFormat="false" ht="15" hidden="false" customHeight="true" outlineLevel="0" collapsed="false">
      <c r="A80" s="4" t="s">
        <v>65</v>
      </c>
      <c r="B80" s="4"/>
      <c r="C80" s="4"/>
      <c r="D80" s="4"/>
      <c r="E80" s="4"/>
      <c r="F80" s="4"/>
    </row>
    <row r="81" customFormat="false" ht="15" hidden="false" customHeight="true" outlineLevel="0" collapsed="false">
      <c r="A81" s="4" t="s">
        <v>66</v>
      </c>
      <c r="B81" s="4"/>
      <c r="C81" s="4"/>
      <c r="D81" s="4"/>
      <c r="E81" s="4"/>
      <c r="F81" s="4"/>
    </row>
    <row r="82" customFormat="false" ht="15" hidden="false" customHeight="true" outlineLevel="0" collapsed="false">
      <c r="A82" s="4" t="s">
        <v>67</v>
      </c>
      <c r="B82" s="4"/>
      <c r="C82" s="4"/>
      <c r="D82" s="4"/>
      <c r="E82" s="4"/>
      <c r="F82" s="4"/>
    </row>
    <row r="83" customFormat="false" ht="15" hidden="false" customHeight="true" outlineLevel="0" collapsed="false">
      <c r="A83" s="4" t="s">
        <v>68</v>
      </c>
      <c r="B83" s="4"/>
      <c r="C83" s="4"/>
      <c r="D83" s="4"/>
      <c r="E83" s="4"/>
      <c r="F83" s="4"/>
    </row>
    <row r="84" customFormat="false" ht="15" hidden="false" customHeight="true" outlineLevel="0" collapsed="false">
      <c r="A84" s="4" t="s">
        <v>69</v>
      </c>
      <c r="B84" s="4"/>
      <c r="C84" s="4"/>
      <c r="D84" s="4"/>
      <c r="E84" s="4"/>
      <c r="F84" s="4"/>
    </row>
    <row r="86" customFormat="false" ht="15" hidden="false" customHeight="true" outlineLevel="0" collapsed="false">
      <c r="A86" s="5" t="s">
        <v>70</v>
      </c>
      <c r="B86" s="5"/>
      <c r="C86" s="5"/>
      <c r="D86" s="5"/>
      <c r="E86" s="5"/>
      <c r="F86" s="5"/>
    </row>
    <row r="87" customFormat="false" ht="15" hidden="false" customHeight="true" outlineLevel="0" collapsed="false">
      <c r="A87" s="4" t="s">
        <v>71</v>
      </c>
      <c r="B87" s="4"/>
      <c r="C87" s="4"/>
      <c r="D87" s="4"/>
      <c r="E87" s="4"/>
      <c r="F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</row>
    <row r="89" customFormat="false" ht="15" hidden="false" customHeight="true" outlineLevel="0" collapsed="false">
      <c r="A89" s="5" t="s">
        <v>72</v>
      </c>
      <c r="B89" s="5"/>
      <c r="C89" s="5"/>
      <c r="D89" s="5"/>
      <c r="E89" s="5"/>
      <c r="F89" s="5"/>
    </row>
    <row r="90" customFormat="false" ht="15" hidden="false" customHeight="true" outlineLevel="0" collapsed="false">
      <c r="A90" s="4" t="s">
        <v>73</v>
      </c>
      <c r="B90" s="4"/>
      <c r="C90" s="4"/>
      <c r="D90" s="4"/>
      <c r="E90" s="4"/>
      <c r="F90" s="4"/>
    </row>
    <row r="91" customFormat="false" ht="15" hidden="false" customHeight="true" outlineLevel="0" collapsed="false">
      <c r="A91" s="4" t="s">
        <v>74</v>
      </c>
      <c r="B91" s="4"/>
      <c r="C91" s="4"/>
      <c r="D91" s="4"/>
      <c r="E91" s="4"/>
      <c r="F91" s="4"/>
    </row>
    <row r="92" customFormat="false" ht="15" hidden="false" customHeight="true" outlineLevel="0" collapsed="false">
      <c r="A92" s="4" t="s">
        <v>75</v>
      </c>
      <c r="B92" s="4"/>
      <c r="C92" s="4"/>
      <c r="D92" s="4"/>
      <c r="E92" s="4"/>
      <c r="F92" s="4"/>
    </row>
    <row r="93" customFormat="false" ht="15" hidden="false" customHeight="true" outlineLevel="0" collapsed="false">
      <c r="A93" s="4" t="s">
        <v>76</v>
      </c>
      <c r="B93" s="4"/>
      <c r="C93" s="4"/>
      <c r="D93" s="4"/>
      <c r="E93" s="4"/>
      <c r="F93" s="4"/>
    </row>
    <row r="94" customFormat="false" ht="15" hidden="false" customHeight="true" outlineLevel="0" collapsed="false">
      <c r="A94" s="4" t="s">
        <v>77</v>
      </c>
      <c r="B94" s="4"/>
      <c r="C94" s="4"/>
      <c r="D94" s="4"/>
      <c r="E94" s="4"/>
      <c r="F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</row>
    <row r="96" customFormat="false" ht="15" hidden="false" customHeight="true" outlineLevel="0" collapsed="false">
      <c r="A96" s="5" t="s">
        <v>78</v>
      </c>
      <c r="B96" s="5"/>
      <c r="C96" s="5"/>
      <c r="D96" s="5"/>
      <c r="E96" s="5"/>
      <c r="F96" s="5"/>
    </row>
    <row r="97" customFormat="false" ht="15" hidden="false" customHeight="true" outlineLevel="0" collapsed="false">
      <c r="A97" s="4" t="s">
        <v>79</v>
      </c>
      <c r="B97" s="4"/>
      <c r="C97" s="4"/>
      <c r="D97" s="4"/>
      <c r="E97" s="4"/>
      <c r="F97" s="4"/>
    </row>
    <row r="98" customFormat="false" ht="15" hidden="false" customHeight="true" outlineLevel="0" collapsed="false">
      <c r="A98" s="4" t="s">
        <v>80</v>
      </c>
      <c r="B98" s="4"/>
      <c r="C98" s="4"/>
      <c r="D98" s="4"/>
      <c r="E98" s="4"/>
      <c r="F98" s="4"/>
    </row>
    <row r="99" customFormat="false" ht="15" hidden="false" customHeight="true" outlineLevel="0" collapsed="false">
      <c r="A99" s="4" t="s">
        <v>81</v>
      </c>
      <c r="B99" s="4"/>
      <c r="C99" s="4"/>
      <c r="D99" s="4"/>
      <c r="E99" s="4"/>
      <c r="F99" s="4"/>
    </row>
    <row r="100" customFormat="false" ht="15" hidden="false" customHeight="true" outlineLevel="0" collapsed="false">
      <c r="A100" s="4" t="s">
        <v>82</v>
      </c>
      <c r="B100" s="4"/>
      <c r="C100" s="4"/>
      <c r="D100" s="4"/>
      <c r="E100" s="4"/>
      <c r="F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</row>
    <row r="102" customFormat="false" ht="15" hidden="false" customHeight="true" outlineLevel="0" collapsed="false">
      <c r="A102" s="5" t="s">
        <v>83</v>
      </c>
      <c r="B102" s="5"/>
      <c r="C102" s="5"/>
      <c r="D102" s="5"/>
      <c r="E102" s="5"/>
      <c r="F102" s="5"/>
    </row>
    <row r="103" customFormat="false" ht="15" hidden="false" customHeight="true" outlineLevel="0" collapsed="false">
      <c r="A103" s="4" t="s">
        <v>84</v>
      </c>
      <c r="B103" s="4"/>
      <c r="C103" s="4"/>
      <c r="D103" s="4"/>
      <c r="E103" s="4"/>
      <c r="F103" s="4"/>
    </row>
    <row r="104" customFormat="false" ht="15" hidden="false" customHeight="true" outlineLevel="0" collapsed="false">
      <c r="A104" s="4" t="s">
        <v>85</v>
      </c>
      <c r="B104" s="4"/>
      <c r="C104" s="4"/>
      <c r="D104" s="4"/>
      <c r="E104" s="4"/>
      <c r="F104" s="4"/>
    </row>
    <row r="105" customFormat="false" ht="15" hidden="false" customHeight="true" outlineLevel="0" collapsed="false">
      <c r="A105" s="4" t="s">
        <v>86</v>
      </c>
      <c r="B105" s="4"/>
      <c r="C105" s="4"/>
      <c r="D105" s="4"/>
      <c r="E105" s="4"/>
      <c r="F105" s="4"/>
    </row>
    <row r="106" customFormat="false" ht="15" hidden="false" customHeight="true" outlineLevel="0" collapsed="false">
      <c r="A106" s="4" t="s">
        <v>87</v>
      </c>
      <c r="B106" s="4"/>
      <c r="C106" s="4"/>
      <c r="D106" s="4"/>
      <c r="E106" s="4"/>
      <c r="F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</row>
    <row r="108" customFormat="false" ht="15" hidden="false" customHeight="true" outlineLevel="0" collapsed="false">
      <c r="A108" s="5" t="s">
        <v>88</v>
      </c>
      <c r="B108" s="5"/>
      <c r="C108" s="5"/>
      <c r="D108" s="5"/>
      <c r="E108" s="5"/>
      <c r="F108" s="5"/>
    </row>
    <row r="109" customFormat="false" ht="15" hidden="false" customHeight="true" outlineLevel="0" collapsed="false">
      <c r="A109" s="4" t="s">
        <v>89</v>
      </c>
      <c r="B109" s="4"/>
      <c r="C109" s="4"/>
      <c r="D109" s="4"/>
      <c r="E109" s="4"/>
      <c r="F109" s="4"/>
    </row>
    <row r="110" customFormat="false" ht="15" hidden="false" customHeight="true" outlineLevel="0" collapsed="false">
      <c r="A110" s="4" t="s">
        <v>90</v>
      </c>
      <c r="B110" s="4"/>
      <c r="C110" s="4"/>
      <c r="D110" s="4"/>
      <c r="E110" s="4"/>
      <c r="F110" s="4"/>
    </row>
    <row r="111" customFormat="false" ht="15" hidden="false" customHeight="true" outlineLevel="0" collapsed="false">
      <c r="A111" s="4" t="s">
        <v>91</v>
      </c>
      <c r="B111" s="4"/>
      <c r="C111" s="4"/>
      <c r="D111" s="4"/>
      <c r="E111" s="4"/>
      <c r="F111" s="4"/>
    </row>
    <row r="112" customFormat="false" ht="15" hidden="false" customHeight="true" outlineLevel="0" collapsed="false">
      <c r="A112" s="4" t="s">
        <v>92</v>
      </c>
      <c r="B112" s="4"/>
      <c r="C112" s="4"/>
      <c r="D112" s="4"/>
      <c r="E112" s="4"/>
      <c r="F112" s="4"/>
    </row>
    <row r="114" customFormat="false" ht="15" hidden="false" customHeight="true" outlineLevel="0" collapsed="false">
      <c r="A114" s="5" t="s">
        <v>93</v>
      </c>
      <c r="B114" s="5"/>
      <c r="C114" s="5"/>
      <c r="D114" s="5"/>
      <c r="E114" s="5"/>
      <c r="F114" s="5"/>
    </row>
    <row r="115" customFormat="false" ht="15" hidden="false" customHeight="true" outlineLevel="0" collapsed="false">
      <c r="A115" s="4" t="s">
        <v>94</v>
      </c>
      <c r="B115" s="4"/>
      <c r="C115" s="4"/>
      <c r="D115" s="4"/>
      <c r="E115" s="4"/>
      <c r="F115" s="4"/>
    </row>
    <row r="116" customFormat="false" ht="15" hidden="false" customHeight="true" outlineLevel="0" collapsed="false">
      <c r="A116" s="4" t="s">
        <v>95</v>
      </c>
      <c r="B116" s="4"/>
      <c r="C116" s="4"/>
      <c r="D116" s="4"/>
      <c r="E116" s="4"/>
      <c r="F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</row>
    <row r="118" customFormat="false" ht="15" hidden="false" customHeight="true" outlineLevel="0" collapsed="false">
      <c r="A118" s="5" t="s">
        <v>96</v>
      </c>
      <c r="B118" s="5"/>
      <c r="C118" s="5"/>
      <c r="D118" s="5"/>
      <c r="E118" s="5"/>
      <c r="F118" s="5"/>
    </row>
    <row r="119" customFormat="false" ht="15" hidden="false" customHeight="true" outlineLevel="0" collapsed="false">
      <c r="A119" s="4" t="s">
        <v>97</v>
      </c>
      <c r="B119" s="4"/>
      <c r="C119" s="4"/>
      <c r="D119" s="4"/>
      <c r="E119" s="4"/>
      <c r="F119" s="4"/>
    </row>
    <row r="120" customFormat="false" ht="15" hidden="false" customHeight="true" outlineLevel="0" collapsed="false">
      <c r="A120" s="4" t="s">
        <v>98</v>
      </c>
      <c r="B120" s="4"/>
      <c r="C120" s="4"/>
      <c r="D120" s="4"/>
      <c r="E120" s="4"/>
      <c r="F120" s="4"/>
    </row>
    <row r="121" customFormat="false" ht="15" hidden="false" customHeight="true" outlineLevel="0" collapsed="false">
      <c r="A121" s="4" t="s">
        <v>99</v>
      </c>
      <c r="B121" s="4"/>
      <c r="C121" s="4"/>
      <c r="D121" s="4"/>
      <c r="E121" s="4"/>
      <c r="F121" s="4"/>
    </row>
    <row r="122" customFormat="false" ht="15" hidden="false" customHeight="true" outlineLevel="0" collapsed="false">
      <c r="A122" s="4" t="s">
        <v>100</v>
      </c>
      <c r="B122" s="4"/>
      <c r="C122" s="4"/>
      <c r="D122" s="4"/>
      <c r="E122" s="4"/>
      <c r="F122" s="4"/>
    </row>
    <row r="123" customFormat="false" ht="15" hidden="false" customHeight="true" outlineLevel="0" collapsed="false">
      <c r="A123" s="4" t="s">
        <v>101</v>
      </c>
      <c r="B123" s="4"/>
      <c r="C123" s="4"/>
      <c r="D123" s="4"/>
      <c r="E123" s="4"/>
      <c r="F123" s="4"/>
    </row>
    <row r="124" customFormat="false" ht="15" hidden="false" customHeight="true" outlineLevel="0" collapsed="false">
      <c r="A124" s="4" t="s">
        <v>102</v>
      </c>
      <c r="B124" s="4"/>
      <c r="C124" s="4"/>
      <c r="D124" s="4"/>
      <c r="E124" s="4"/>
      <c r="F124" s="4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</row>
    <row r="126" customFormat="false" ht="15" hidden="false" customHeight="true" outlineLevel="0" collapsed="false">
      <c r="A126" s="5" t="s">
        <v>103</v>
      </c>
      <c r="B126" s="5"/>
      <c r="C126" s="5"/>
      <c r="D126" s="5"/>
      <c r="E126" s="5"/>
      <c r="F126" s="5"/>
    </row>
    <row r="127" customFormat="false" ht="15" hidden="false" customHeight="true" outlineLevel="0" collapsed="false">
      <c r="A127" s="4" t="s">
        <v>104</v>
      </c>
      <c r="B127" s="4"/>
      <c r="C127" s="4"/>
      <c r="D127" s="4"/>
      <c r="E127" s="4"/>
      <c r="F127" s="4"/>
    </row>
    <row r="128" customFormat="false" ht="15" hidden="false" customHeight="true" outlineLevel="0" collapsed="false">
      <c r="A128" s="4" t="s">
        <v>105</v>
      </c>
      <c r="B128" s="4"/>
      <c r="C128" s="4"/>
      <c r="D128" s="4"/>
      <c r="E128" s="4"/>
      <c r="F128" s="4"/>
    </row>
    <row r="129" customFormat="false" ht="15" hidden="false" customHeight="true" outlineLevel="0" collapsed="false">
      <c r="A129" s="4" t="s">
        <v>106</v>
      </c>
      <c r="B129" s="4"/>
      <c r="C129" s="4"/>
      <c r="D129" s="4"/>
      <c r="E129" s="4"/>
      <c r="F129" s="4"/>
    </row>
    <row r="130" customFormat="false" ht="15" hidden="false" customHeight="true" outlineLevel="0" collapsed="false">
      <c r="A130" s="4" t="s">
        <v>107</v>
      </c>
      <c r="B130" s="4"/>
      <c r="C130" s="4"/>
      <c r="D130" s="4"/>
      <c r="E130" s="4"/>
      <c r="F130" s="4"/>
    </row>
    <row r="131" customFormat="false" ht="15" hidden="false" customHeight="true" outlineLevel="0" collapsed="false">
      <c r="A131" s="4" t="s">
        <v>108</v>
      </c>
      <c r="B131" s="4"/>
      <c r="C131" s="4"/>
      <c r="D131" s="4"/>
      <c r="E131" s="4"/>
      <c r="F131" s="4"/>
    </row>
    <row r="132" customFormat="false" ht="15" hidden="false" customHeight="true" outlineLevel="0" collapsed="false">
      <c r="A132" s="4" t="s">
        <v>109</v>
      </c>
      <c r="B132" s="4"/>
      <c r="C132" s="4"/>
      <c r="D132" s="4"/>
      <c r="E132" s="4"/>
      <c r="F132" s="4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</row>
    <row r="134" customFormat="false" ht="15" hidden="false" customHeight="true" outlineLevel="0" collapsed="false">
      <c r="A134" s="5" t="s">
        <v>110</v>
      </c>
      <c r="B134" s="5"/>
      <c r="C134" s="5"/>
      <c r="D134" s="5"/>
      <c r="E134" s="5"/>
      <c r="F134" s="5"/>
    </row>
    <row r="135" customFormat="false" ht="15" hidden="false" customHeight="true" outlineLevel="0" collapsed="false">
      <c r="A135" s="4" t="s">
        <v>111</v>
      </c>
      <c r="B135" s="4"/>
      <c r="C135" s="4"/>
      <c r="D135" s="4"/>
      <c r="E135" s="4"/>
      <c r="F135" s="4"/>
    </row>
    <row r="136" customFormat="false" ht="15" hidden="false" customHeight="true" outlineLevel="0" collapsed="false">
      <c r="A136" s="4" t="s">
        <v>112</v>
      </c>
      <c r="B136" s="4"/>
      <c r="C136" s="4"/>
      <c r="D136" s="4"/>
      <c r="E136" s="4"/>
      <c r="F136" s="4"/>
    </row>
    <row r="137" customFormat="false" ht="15" hidden="false" customHeight="true" outlineLevel="0" collapsed="false">
      <c r="A137" s="4" t="s">
        <v>113</v>
      </c>
      <c r="B137" s="4"/>
      <c r="C137" s="4"/>
      <c r="D137" s="4"/>
      <c r="E137" s="4"/>
      <c r="F137" s="4"/>
    </row>
    <row r="138" customFormat="false" ht="15" hidden="false" customHeight="true" outlineLevel="0" collapsed="false">
      <c r="A138" s="4" t="s">
        <v>114</v>
      </c>
      <c r="B138" s="4"/>
      <c r="C138" s="4"/>
      <c r="D138" s="4"/>
      <c r="E138" s="4"/>
      <c r="F138" s="4"/>
    </row>
    <row r="139" customFormat="false" ht="15" hidden="false" customHeight="true" outlineLevel="0" collapsed="false">
      <c r="A139" s="4" t="s">
        <v>115</v>
      </c>
      <c r="B139" s="4"/>
      <c r="C139" s="4"/>
      <c r="D139" s="4"/>
      <c r="E139" s="4"/>
      <c r="F139" s="4"/>
    </row>
    <row r="140" customFormat="false" ht="15" hidden="false" customHeight="true" outlineLevel="0" collapsed="false">
      <c r="A140" s="4" t="s">
        <v>116</v>
      </c>
      <c r="B140" s="4"/>
      <c r="C140" s="4"/>
      <c r="D140" s="4"/>
      <c r="E140" s="4"/>
      <c r="F140" s="4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</row>
    <row r="142" customFormat="false" ht="15" hidden="false" customHeight="true" outlineLevel="0" collapsed="false">
      <c r="A142" s="5" t="s">
        <v>117</v>
      </c>
      <c r="B142" s="5"/>
      <c r="C142" s="5"/>
      <c r="D142" s="5"/>
      <c r="E142" s="5"/>
      <c r="F142" s="5"/>
    </row>
    <row r="143" customFormat="false" ht="15" hidden="false" customHeight="true" outlineLevel="0" collapsed="false">
      <c r="A143" s="4" t="s">
        <v>118</v>
      </c>
      <c r="B143" s="4"/>
      <c r="C143" s="4"/>
      <c r="D143" s="4"/>
      <c r="E143" s="4"/>
      <c r="F143" s="4"/>
    </row>
    <row r="144" customFormat="false" ht="15" hidden="false" customHeight="true" outlineLevel="0" collapsed="false">
      <c r="A144" s="4" t="s">
        <v>119</v>
      </c>
      <c r="B144" s="4"/>
      <c r="C144" s="4"/>
      <c r="D144" s="4"/>
      <c r="E144" s="4"/>
      <c r="F144" s="4"/>
    </row>
    <row r="145" customFormat="false" ht="15" hidden="false" customHeight="true" outlineLevel="0" collapsed="false">
      <c r="A145" s="4" t="s">
        <v>120</v>
      </c>
      <c r="B145" s="4"/>
      <c r="C145" s="4"/>
      <c r="D145" s="4"/>
      <c r="E145" s="4"/>
      <c r="F145" s="4"/>
    </row>
    <row r="146" customFormat="false" ht="15" hidden="false" customHeight="true" outlineLevel="0" collapsed="false">
      <c r="A146" s="4" t="s">
        <v>121</v>
      </c>
      <c r="B146" s="4"/>
      <c r="C146" s="4"/>
      <c r="D146" s="4"/>
      <c r="E146" s="4"/>
      <c r="F146" s="4"/>
    </row>
    <row r="147" customFormat="false" ht="15" hidden="false" customHeight="true" outlineLevel="0" collapsed="false">
      <c r="A147" s="4" t="s">
        <v>122</v>
      </c>
      <c r="B147" s="4"/>
      <c r="C147" s="4"/>
      <c r="D147" s="4"/>
      <c r="E147" s="4"/>
      <c r="F147" s="4"/>
    </row>
    <row r="148" customFormat="false" ht="15" hidden="false" customHeight="true" outlineLevel="0" collapsed="false">
      <c r="A148" s="4" t="s">
        <v>123</v>
      </c>
      <c r="B148" s="4"/>
      <c r="C148" s="4"/>
      <c r="D148" s="4"/>
      <c r="E148" s="4"/>
      <c r="F148" s="4"/>
    </row>
    <row r="150" customFormat="false" ht="15" hidden="false" customHeight="true" outlineLevel="0" collapsed="false">
      <c r="A150" s="5" t="s">
        <v>124</v>
      </c>
      <c r="B150" s="5"/>
      <c r="C150" s="5"/>
      <c r="D150" s="5"/>
      <c r="E150" s="5"/>
      <c r="F150" s="5"/>
    </row>
    <row r="151" customFormat="false" ht="15" hidden="false" customHeight="true" outlineLevel="0" collapsed="false">
      <c r="A151" s="4" t="s">
        <v>125</v>
      </c>
      <c r="B151" s="4"/>
      <c r="C151" s="4"/>
      <c r="D151" s="4"/>
      <c r="E151" s="4"/>
      <c r="F151" s="4"/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</row>
    <row r="153" customFormat="false" ht="15" hidden="false" customHeight="true" outlineLevel="0" collapsed="false">
      <c r="A153" s="5" t="s">
        <v>126</v>
      </c>
      <c r="B153" s="5"/>
      <c r="C153" s="5"/>
      <c r="D153" s="5"/>
      <c r="E153" s="5"/>
      <c r="F153" s="5"/>
    </row>
    <row r="154" customFormat="false" ht="15" hidden="false" customHeight="true" outlineLevel="0" collapsed="false">
      <c r="A154" s="4" t="s">
        <v>127</v>
      </c>
      <c r="B154" s="4"/>
      <c r="C154" s="4"/>
      <c r="D154" s="4"/>
      <c r="E154" s="4"/>
      <c r="F154" s="4"/>
    </row>
    <row r="155" customFormat="false" ht="15" hidden="false" customHeight="true" outlineLevel="0" collapsed="false">
      <c r="A155" s="4" t="s">
        <v>128</v>
      </c>
      <c r="B155" s="4"/>
      <c r="C155" s="4"/>
      <c r="D155" s="4"/>
      <c r="E155" s="4"/>
      <c r="F155" s="4"/>
    </row>
    <row r="156" customFormat="false" ht="15" hidden="false" customHeight="true" outlineLevel="0" collapsed="false">
      <c r="A156" s="4" t="s">
        <v>129</v>
      </c>
      <c r="B156" s="4"/>
      <c r="C156" s="4"/>
      <c r="D156" s="4"/>
      <c r="E156" s="4"/>
      <c r="F156" s="4"/>
    </row>
    <row r="157" customFormat="false" ht="15" hidden="false" customHeight="true" outlineLevel="0" collapsed="false">
      <c r="A157" s="4" t="s">
        <v>130</v>
      </c>
      <c r="B157" s="4"/>
      <c r="C157" s="4"/>
      <c r="D157" s="4"/>
      <c r="E157" s="4"/>
      <c r="F157" s="4"/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</row>
    <row r="159" customFormat="false" ht="15" hidden="false" customHeight="true" outlineLevel="0" collapsed="false">
      <c r="A159" s="5" t="s">
        <v>131</v>
      </c>
      <c r="B159" s="5"/>
      <c r="C159" s="5"/>
      <c r="D159" s="5"/>
      <c r="E159" s="5"/>
      <c r="F159" s="5"/>
    </row>
    <row r="160" customFormat="false" ht="15" hidden="false" customHeight="true" outlineLevel="0" collapsed="false">
      <c r="A160" s="4" t="s">
        <v>132</v>
      </c>
      <c r="B160" s="4"/>
      <c r="C160" s="4"/>
      <c r="D160" s="4"/>
      <c r="E160" s="4"/>
      <c r="F160" s="4"/>
    </row>
    <row r="161" customFormat="false" ht="15" hidden="false" customHeight="true" outlineLevel="0" collapsed="false">
      <c r="A161" s="4" t="s">
        <v>133</v>
      </c>
      <c r="B161" s="4"/>
      <c r="C161" s="4"/>
      <c r="D161" s="4"/>
      <c r="E161" s="4"/>
      <c r="F161" s="4"/>
    </row>
    <row r="162" customFormat="false" ht="15" hidden="false" customHeight="true" outlineLevel="0" collapsed="false">
      <c r="A162" s="4" t="s">
        <v>134</v>
      </c>
      <c r="B162" s="4"/>
      <c r="C162" s="4"/>
      <c r="D162" s="4"/>
      <c r="E162" s="4"/>
      <c r="F162" s="4"/>
    </row>
    <row r="163" customFormat="false" ht="15" hidden="false" customHeight="true" outlineLevel="0" collapsed="false">
      <c r="A163" s="4" t="s">
        <v>135</v>
      </c>
      <c r="B163" s="4"/>
      <c r="C163" s="4"/>
      <c r="D163" s="4"/>
      <c r="E163" s="4"/>
      <c r="F163" s="4"/>
    </row>
    <row r="164" customFormat="false" ht="15" hidden="false" customHeight="true" outlineLevel="0" collapsed="false">
      <c r="A164" s="4" t="s">
        <v>136</v>
      </c>
      <c r="B164" s="4"/>
      <c r="C164" s="4"/>
      <c r="D164" s="4"/>
      <c r="E164" s="4"/>
      <c r="F164" s="4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</row>
    <row r="166" customFormat="false" ht="15" hidden="false" customHeight="true" outlineLevel="0" collapsed="false">
      <c r="A166" s="5" t="s">
        <v>137</v>
      </c>
      <c r="B166" s="5"/>
      <c r="C166" s="5"/>
      <c r="D166" s="5"/>
      <c r="E166" s="5"/>
      <c r="F166" s="5"/>
    </row>
    <row r="167" customFormat="false" ht="15" hidden="false" customHeight="true" outlineLevel="0" collapsed="false">
      <c r="A167" s="4" t="s">
        <v>138</v>
      </c>
      <c r="B167" s="4"/>
      <c r="C167" s="4"/>
      <c r="D167" s="4"/>
      <c r="E167" s="4"/>
      <c r="F167" s="4"/>
    </row>
    <row r="168" customFormat="false" ht="15" hidden="false" customHeight="true" outlineLevel="0" collapsed="false">
      <c r="A168" s="4" t="s">
        <v>139</v>
      </c>
      <c r="B168" s="4"/>
      <c r="C168" s="4"/>
      <c r="D168" s="4"/>
      <c r="E168" s="4"/>
      <c r="F168" s="4"/>
    </row>
    <row r="169" customFormat="false" ht="15" hidden="false" customHeight="true" outlineLevel="0" collapsed="false">
      <c r="A169" s="4" t="s">
        <v>140</v>
      </c>
      <c r="B169" s="4"/>
      <c r="C169" s="4"/>
      <c r="D169" s="4"/>
      <c r="E169" s="4"/>
      <c r="F169" s="4"/>
    </row>
    <row r="170" customFormat="false" ht="15" hidden="false" customHeight="true" outlineLevel="0" collapsed="false">
      <c r="A170" s="4" t="s">
        <v>141</v>
      </c>
      <c r="B170" s="4"/>
      <c r="C170" s="4"/>
      <c r="D170" s="4"/>
      <c r="E170" s="4"/>
      <c r="F170" s="4"/>
    </row>
    <row r="171" customFormat="false" ht="15" hidden="false" customHeight="true" outlineLevel="0" collapsed="false">
      <c r="A171" s="4" t="s">
        <v>142</v>
      </c>
      <c r="B171" s="4"/>
      <c r="C171" s="4"/>
      <c r="D171" s="4"/>
      <c r="E171" s="4"/>
      <c r="F171" s="4"/>
    </row>
    <row r="172" customFormat="false" ht="15" hidden="false" customHeight="true" outlineLevel="0" collapsed="false">
      <c r="A172" s="4" t="s">
        <v>143</v>
      </c>
      <c r="B172" s="4"/>
      <c r="C172" s="4"/>
      <c r="D172" s="4"/>
      <c r="E172" s="4"/>
      <c r="F172" s="4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</row>
    <row r="174" customFormat="false" ht="15" hidden="false" customHeight="true" outlineLevel="0" collapsed="false">
      <c r="A174" s="5" t="s">
        <v>144</v>
      </c>
      <c r="B174" s="5"/>
      <c r="C174" s="5"/>
      <c r="D174" s="5"/>
      <c r="E174" s="5"/>
      <c r="F174" s="5"/>
    </row>
    <row r="175" customFormat="false" ht="15" hidden="false" customHeight="true" outlineLevel="0" collapsed="false">
      <c r="A175" s="4" t="s">
        <v>145</v>
      </c>
      <c r="B175" s="4"/>
      <c r="C175" s="4"/>
      <c r="D175" s="4"/>
      <c r="E175" s="4"/>
      <c r="F175" s="4"/>
    </row>
    <row r="176" customFormat="false" ht="15" hidden="false" customHeight="true" outlineLevel="0" collapsed="false">
      <c r="A176" s="4" t="s">
        <v>146</v>
      </c>
      <c r="B176" s="4"/>
      <c r="C176" s="4"/>
      <c r="D176" s="4"/>
      <c r="E176" s="4"/>
      <c r="F176" s="4"/>
    </row>
    <row r="177" customFormat="false" ht="15" hidden="false" customHeight="true" outlineLevel="0" collapsed="false">
      <c r="A177" s="4" t="s">
        <v>147</v>
      </c>
      <c r="B177" s="4"/>
      <c r="C177" s="4"/>
      <c r="D177" s="4"/>
      <c r="E177" s="4"/>
      <c r="F177" s="4"/>
    </row>
    <row r="178" customFormat="false" ht="15" hidden="false" customHeight="true" outlineLevel="0" collapsed="false">
      <c r="A178" s="4" t="s">
        <v>148</v>
      </c>
      <c r="B178" s="4"/>
      <c r="C178" s="4"/>
      <c r="D178" s="4"/>
      <c r="E178" s="4"/>
      <c r="F178" s="4"/>
    </row>
    <row r="179" customFormat="false" ht="15" hidden="false" customHeight="true" outlineLevel="0" collapsed="false">
      <c r="A179" s="4" t="s">
        <v>149</v>
      </c>
      <c r="B179" s="4"/>
      <c r="C179" s="4"/>
      <c r="D179" s="4"/>
      <c r="E179" s="4"/>
      <c r="F179" s="4"/>
    </row>
    <row r="180" customFormat="false" ht="15" hidden="false" customHeight="true" outlineLevel="0" collapsed="false">
      <c r="A180" s="4" t="s">
        <v>150</v>
      </c>
      <c r="B180" s="4"/>
      <c r="C180" s="4"/>
      <c r="D180" s="4"/>
      <c r="E180" s="4"/>
      <c r="F180" s="4"/>
    </row>
    <row r="181" customFormat="false" ht="15" hidden="false" customHeight="true" outlineLevel="0" collapsed="false">
      <c r="A181" s="4" t="s">
        <v>151</v>
      </c>
      <c r="B181" s="4"/>
      <c r="C181" s="4"/>
      <c r="D181" s="4"/>
      <c r="E181" s="4"/>
      <c r="F181" s="4"/>
    </row>
    <row r="182" customFormat="false" ht="15" hidden="false" customHeight="true" outlineLevel="0" collapsed="false">
      <c r="A182" s="4" t="s">
        <v>152</v>
      </c>
      <c r="B182" s="4"/>
      <c r="C182" s="4"/>
      <c r="D182" s="4"/>
      <c r="E182" s="4"/>
      <c r="F182" s="4"/>
    </row>
    <row r="183" customFormat="false" ht="15" hidden="false" customHeight="true" outlineLevel="0" collapsed="false">
      <c r="A183" s="4" t="s">
        <v>153</v>
      </c>
      <c r="B183" s="4"/>
      <c r="C183" s="4"/>
      <c r="D183" s="4"/>
      <c r="E183" s="4"/>
      <c r="F183" s="4"/>
    </row>
    <row r="184" customFormat="false" ht="15" hidden="false" customHeight="true" outlineLevel="0" collapsed="false">
      <c r="A184" s="4" t="s">
        <v>154</v>
      </c>
      <c r="B184" s="4"/>
      <c r="C184" s="4"/>
      <c r="D184" s="4"/>
      <c r="E184" s="4"/>
      <c r="F184" s="4"/>
    </row>
    <row r="185" customFormat="false" ht="15" hidden="false" customHeight="true" outlineLevel="0" collapsed="false">
      <c r="A185" s="4" t="s">
        <v>155</v>
      </c>
      <c r="B185" s="4"/>
      <c r="C185" s="4"/>
      <c r="D185" s="4"/>
      <c r="E185" s="4"/>
      <c r="F185" s="4"/>
    </row>
    <row r="186" customFormat="false" ht="15" hidden="false" customHeight="true" outlineLevel="0" collapsed="false">
      <c r="A186" s="4" t="s">
        <v>156</v>
      </c>
      <c r="B186" s="4"/>
      <c r="C186" s="4"/>
      <c r="D186" s="4"/>
      <c r="E186" s="4"/>
      <c r="F186" s="4"/>
    </row>
    <row r="187" customFormat="false" ht="15" hidden="false" customHeight="true" outlineLevel="0" collapsed="false">
      <c r="A187" s="4" t="s">
        <v>157</v>
      </c>
      <c r="B187" s="4"/>
      <c r="C187" s="4"/>
      <c r="D187" s="4"/>
      <c r="E187" s="4"/>
      <c r="F187" s="4"/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</row>
    <row r="189" customFormat="false" ht="15" hidden="false" customHeight="true" outlineLevel="0" collapsed="false">
      <c r="A189" s="5" t="s">
        <v>158</v>
      </c>
      <c r="B189" s="5"/>
      <c r="C189" s="5"/>
      <c r="D189" s="5"/>
      <c r="E189" s="5"/>
      <c r="F189" s="5"/>
    </row>
    <row r="190" customFormat="false" ht="15" hidden="false" customHeight="true" outlineLevel="0" collapsed="false">
      <c r="A190" s="4" t="s">
        <v>159</v>
      </c>
      <c r="B190" s="4"/>
      <c r="C190" s="4"/>
      <c r="D190" s="4"/>
      <c r="E190" s="4"/>
      <c r="F190" s="4"/>
    </row>
    <row r="191" customFormat="false" ht="15" hidden="false" customHeight="true" outlineLevel="0" collapsed="false">
      <c r="A191" s="4" t="s">
        <v>160</v>
      </c>
      <c r="B191" s="4"/>
      <c r="C191" s="4"/>
      <c r="D191" s="4"/>
      <c r="E191" s="4"/>
      <c r="F191" s="4"/>
    </row>
    <row r="193" customFormat="false" ht="15" hidden="false" customHeight="true" outlineLevel="0" collapsed="false">
      <c r="A193" s="5" t="s">
        <v>161</v>
      </c>
      <c r="B193" s="5"/>
      <c r="C193" s="5"/>
      <c r="D193" s="5"/>
      <c r="E193" s="5"/>
      <c r="F193" s="5"/>
    </row>
    <row r="194" customFormat="false" ht="15" hidden="false" customHeight="true" outlineLevel="0" collapsed="false">
      <c r="A194" s="4" t="s">
        <v>162</v>
      </c>
      <c r="B194" s="4"/>
      <c r="C194" s="4"/>
      <c r="D194" s="4"/>
      <c r="E194" s="4"/>
      <c r="F194" s="4"/>
    </row>
    <row r="195" customFormat="false" ht="15" hidden="false" customHeight="true" outlineLevel="0" collapsed="false">
      <c r="A195" s="4" t="s">
        <v>163</v>
      </c>
      <c r="B195" s="4"/>
      <c r="C195" s="4"/>
      <c r="D195" s="4"/>
      <c r="E195" s="4"/>
      <c r="F195" s="4"/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</row>
    <row r="197" customFormat="false" ht="15" hidden="false" customHeight="true" outlineLevel="0" collapsed="false">
      <c r="A197" s="5" t="s">
        <v>164</v>
      </c>
      <c r="B197" s="5"/>
      <c r="C197" s="5"/>
      <c r="D197" s="5"/>
      <c r="E197" s="5"/>
      <c r="F197" s="5"/>
    </row>
    <row r="198" customFormat="false" ht="15" hidden="false" customHeight="true" outlineLevel="0" collapsed="false">
      <c r="A198" s="4" t="s">
        <v>165</v>
      </c>
      <c r="B198" s="4"/>
      <c r="C198" s="4"/>
      <c r="D198" s="4"/>
      <c r="E198" s="4"/>
      <c r="F198" s="4"/>
    </row>
    <row r="199" customFormat="false" ht="15" hidden="false" customHeight="true" outlineLevel="0" collapsed="false">
      <c r="A199" s="4" t="s">
        <v>166</v>
      </c>
      <c r="B199" s="4"/>
      <c r="C199" s="4"/>
      <c r="D199" s="4"/>
      <c r="E199" s="4"/>
      <c r="F199" s="4"/>
    </row>
    <row r="200" customFormat="false" ht="15" hidden="false" customHeight="true" outlineLevel="0" collapsed="false">
      <c r="A200" s="4" t="s">
        <v>167</v>
      </c>
      <c r="B200" s="4"/>
      <c r="C200" s="4"/>
      <c r="D200" s="4"/>
      <c r="E200" s="4"/>
      <c r="F200" s="4"/>
    </row>
    <row r="201" customFormat="false" ht="15" hidden="false" customHeight="true" outlineLevel="0" collapsed="false">
      <c r="A201" s="4" t="s">
        <v>168</v>
      </c>
      <c r="B201" s="4"/>
      <c r="C201" s="4"/>
      <c r="D201" s="4"/>
      <c r="E201" s="4"/>
      <c r="F201" s="4"/>
    </row>
    <row r="202" customFormat="false" ht="15" hidden="false" customHeight="true" outlineLevel="0" collapsed="false">
      <c r="A202" s="4"/>
      <c r="B202" s="4"/>
      <c r="C202" s="4"/>
      <c r="D202" s="4"/>
      <c r="E202" s="4"/>
      <c r="F202" s="4"/>
    </row>
    <row r="203" customFormat="false" ht="15" hidden="false" customHeight="true" outlineLevel="0" collapsed="false">
      <c r="A203" s="5" t="s">
        <v>131</v>
      </c>
      <c r="B203" s="5"/>
      <c r="C203" s="5"/>
      <c r="D203" s="5"/>
      <c r="E203" s="5"/>
      <c r="F203" s="5"/>
    </row>
    <row r="204" customFormat="false" ht="15" hidden="false" customHeight="true" outlineLevel="0" collapsed="false">
      <c r="A204" s="4" t="s">
        <v>169</v>
      </c>
      <c r="B204" s="4"/>
      <c r="C204" s="4"/>
      <c r="D204" s="4"/>
      <c r="E204" s="4"/>
      <c r="F204" s="4"/>
    </row>
    <row r="205" customFormat="false" ht="15" hidden="false" customHeight="true" outlineLevel="0" collapsed="false">
      <c r="A205" s="4" t="s">
        <v>170</v>
      </c>
      <c r="B205" s="4"/>
      <c r="C205" s="4"/>
      <c r="D205" s="4"/>
      <c r="E205" s="4"/>
      <c r="F205" s="4"/>
    </row>
    <row r="206" customFormat="false" ht="15" hidden="false" customHeight="true" outlineLevel="0" collapsed="false">
      <c r="A206" s="4" t="s">
        <v>171</v>
      </c>
      <c r="B206" s="4"/>
      <c r="C206" s="4"/>
      <c r="D206" s="4"/>
      <c r="E206" s="4"/>
      <c r="F206" s="4"/>
    </row>
    <row r="207" customFormat="false" ht="15" hidden="false" customHeight="true" outlineLevel="0" collapsed="false">
      <c r="A207" s="4" t="s">
        <v>172</v>
      </c>
      <c r="B207" s="4"/>
      <c r="C207" s="4"/>
      <c r="D207" s="4"/>
      <c r="E207" s="4"/>
      <c r="F207" s="4"/>
    </row>
    <row r="208" customFormat="false" ht="15" hidden="false" customHeight="true" outlineLevel="0" collapsed="false">
      <c r="A208" s="4"/>
      <c r="B208" s="4"/>
      <c r="C208" s="4"/>
      <c r="D208" s="4"/>
      <c r="E208" s="4"/>
      <c r="F208" s="4"/>
    </row>
    <row r="209" customFormat="false" ht="15" hidden="false" customHeight="true" outlineLevel="0" collapsed="false">
      <c r="A209" s="5" t="s">
        <v>173</v>
      </c>
      <c r="B209" s="5"/>
      <c r="C209" s="5"/>
      <c r="D209" s="5"/>
      <c r="E209" s="5"/>
      <c r="F209" s="5"/>
    </row>
    <row r="210" customFormat="false" ht="15" hidden="false" customHeight="true" outlineLevel="0" collapsed="false">
      <c r="A210" s="4" t="s">
        <v>174</v>
      </c>
      <c r="B210" s="4"/>
      <c r="C210" s="4"/>
      <c r="D210" s="4"/>
      <c r="E210" s="4"/>
      <c r="F210" s="4"/>
    </row>
    <row r="211" customFormat="false" ht="15" hidden="false" customHeight="true" outlineLevel="0" collapsed="false">
      <c r="A211" s="4" t="s">
        <v>175</v>
      </c>
      <c r="B211" s="4"/>
      <c r="C211" s="4"/>
      <c r="D211" s="4"/>
      <c r="E211" s="4"/>
      <c r="F211" s="4"/>
    </row>
    <row r="212" customFormat="false" ht="15" hidden="false" customHeight="true" outlineLevel="0" collapsed="false">
      <c r="A212" s="4" t="s">
        <v>176</v>
      </c>
      <c r="B212" s="4"/>
      <c r="C212" s="4"/>
      <c r="D212" s="4"/>
      <c r="E212" s="4"/>
      <c r="F212" s="4"/>
    </row>
    <row r="213" customFormat="false" ht="15" hidden="false" customHeight="true" outlineLevel="0" collapsed="false">
      <c r="A213" s="4" t="s">
        <v>177</v>
      </c>
      <c r="B213" s="4"/>
      <c r="C213" s="4"/>
      <c r="D213" s="4"/>
      <c r="E213" s="4"/>
      <c r="F213" s="4"/>
    </row>
    <row r="214" customFormat="false" ht="15" hidden="false" customHeight="true" outlineLevel="0" collapsed="false">
      <c r="A214" s="4"/>
      <c r="B214" s="4"/>
      <c r="C214" s="4"/>
      <c r="D214" s="4"/>
      <c r="E214" s="4"/>
      <c r="F214" s="4"/>
    </row>
    <row r="215" customFormat="false" ht="15" hidden="false" customHeight="true" outlineLevel="0" collapsed="false">
      <c r="A215" s="5" t="s">
        <v>178</v>
      </c>
      <c r="B215" s="5"/>
      <c r="C215" s="5"/>
      <c r="D215" s="5"/>
      <c r="E215" s="5"/>
      <c r="F215" s="5"/>
    </row>
    <row r="216" customFormat="false" ht="15" hidden="false" customHeight="true" outlineLevel="0" collapsed="false">
      <c r="A216" s="4" t="s">
        <v>179</v>
      </c>
      <c r="B216" s="4"/>
      <c r="C216" s="4"/>
      <c r="D216" s="4"/>
      <c r="E216" s="4"/>
      <c r="F216" s="4"/>
    </row>
    <row r="217" customFormat="false" ht="15" hidden="false" customHeight="true" outlineLevel="0" collapsed="false">
      <c r="A217" s="4" t="s">
        <v>180</v>
      </c>
      <c r="B217" s="4"/>
      <c r="C217" s="4"/>
      <c r="D217" s="4"/>
      <c r="E217" s="4"/>
      <c r="F217" s="4"/>
    </row>
    <row r="218" customFormat="false" ht="15" hidden="false" customHeight="true" outlineLevel="0" collapsed="false">
      <c r="A218" s="4" t="s">
        <v>181</v>
      </c>
      <c r="B218" s="4"/>
      <c r="C218" s="4"/>
      <c r="D218" s="4"/>
      <c r="E218" s="4"/>
      <c r="F218" s="4"/>
    </row>
    <row r="219" customFormat="false" ht="15" hidden="false" customHeight="true" outlineLevel="0" collapsed="false">
      <c r="A219" s="4" t="s">
        <v>182</v>
      </c>
      <c r="B219" s="4"/>
      <c r="C219" s="4"/>
      <c r="D219" s="4"/>
      <c r="E219" s="4"/>
      <c r="F219" s="4"/>
    </row>
    <row r="220" customFormat="false" ht="15" hidden="false" customHeight="true" outlineLevel="0" collapsed="false">
      <c r="A220" s="4" t="s">
        <v>183</v>
      </c>
      <c r="B220" s="4"/>
      <c r="C220" s="4"/>
      <c r="D220" s="4"/>
      <c r="E220" s="4"/>
      <c r="F220" s="4"/>
    </row>
    <row r="221" customFormat="false" ht="15" hidden="false" customHeight="true" outlineLevel="0" collapsed="false">
      <c r="A221" s="4" t="s">
        <v>184</v>
      </c>
      <c r="B221" s="4"/>
      <c r="C221" s="4"/>
      <c r="D221" s="4"/>
      <c r="E221" s="4"/>
      <c r="F221" s="4"/>
    </row>
    <row r="222" customFormat="false" ht="15" hidden="false" customHeight="true" outlineLevel="0" collapsed="false">
      <c r="A222" s="4"/>
      <c r="B222" s="4"/>
      <c r="C222" s="4"/>
      <c r="D222" s="4"/>
      <c r="E222" s="4"/>
      <c r="F222" s="4"/>
    </row>
    <row r="223" customFormat="false" ht="15" hidden="false" customHeight="true" outlineLevel="0" collapsed="false">
      <c r="A223" s="5" t="s">
        <v>185</v>
      </c>
      <c r="B223" s="5"/>
      <c r="C223" s="5"/>
      <c r="D223" s="5"/>
      <c r="E223" s="5"/>
      <c r="F223" s="5"/>
    </row>
    <row r="224" customFormat="false" ht="15" hidden="false" customHeight="true" outlineLevel="0" collapsed="false">
      <c r="A224" s="4" t="s">
        <v>186</v>
      </c>
      <c r="B224" s="4"/>
      <c r="C224" s="4"/>
      <c r="D224" s="4"/>
      <c r="E224" s="4"/>
      <c r="F224" s="4"/>
    </row>
    <row r="225" customFormat="false" ht="15" hidden="false" customHeight="true" outlineLevel="0" collapsed="false">
      <c r="A225" s="4" t="s">
        <v>187</v>
      </c>
      <c r="B225" s="4"/>
      <c r="C225" s="4"/>
      <c r="D225" s="4"/>
      <c r="E225" s="4"/>
      <c r="F225" s="4"/>
    </row>
    <row r="226" customFormat="false" ht="15" hidden="false" customHeight="true" outlineLevel="0" collapsed="false">
      <c r="A226" s="4" t="s">
        <v>188</v>
      </c>
      <c r="B226" s="4"/>
      <c r="C226" s="4"/>
      <c r="D226" s="4"/>
      <c r="E226" s="4"/>
      <c r="F226" s="4"/>
    </row>
    <row r="227" customFormat="false" ht="15" hidden="false" customHeight="true" outlineLevel="0" collapsed="false">
      <c r="A227" s="4" t="s">
        <v>189</v>
      </c>
      <c r="B227" s="4"/>
      <c r="C227" s="4"/>
      <c r="D227" s="4"/>
      <c r="E227" s="4"/>
      <c r="F227" s="4"/>
    </row>
    <row r="228" customFormat="false" ht="15" hidden="false" customHeight="true" outlineLevel="0" collapsed="false">
      <c r="A228" s="4"/>
      <c r="B228" s="4"/>
      <c r="C228" s="4"/>
      <c r="D228" s="4"/>
      <c r="E228" s="4"/>
      <c r="F228" s="4"/>
    </row>
    <row r="229" customFormat="false" ht="15" hidden="false" customHeight="true" outlineLevel="0" collapsed="false">
      <c r="A229" s="5" t="s">
        <v>190</v>
      </c>
      <c r="B229" s="5"/>
      <c r="C229" s="5"/>
      <c r="D229" s="5"/>
      <c r="E229" s="5"/>
      <c r="F229" s="5"/>
    </row>
    <row r="230" customFormat="false" ht="15" hidden="false" customHeight="true" outlineLevel="0" collapsed="false">
      <c r="A230" s="4" t="s">
        <v>191</v>
      </c>
      <c r="B230" s="4"/>
      <c r="C230" s="4"/>
      <c r="D230" s="4"/>
      <c r="E230" s="4"/>
      <c r="F230" s="4"/>
    </row>
    <row r="231" customFormat="false" ht="15" hidden="false" customHeight="true" outlineLevel="0" collapsed="false">
      <c r="A231" s="4" t="s">
        <v>192</v>
      </c>
      <c r="B231" s="4"/>
      <c r="C231" s="4"/>
      <c r="D231" s="4"/>
      <c r="E231" s="4"/>
      <c r="F231" s="4"/>
    </row>
    <row r="232" customFormat="false" ht="15" hidden="false" customHeight="true" outlineLevel="0" collapsed="false">
      <c r="A232" s="4" t="s">
        <v>193</v>
      </c>
      <c r="B232" s="4"/>
      <c r="C232" s="4"/>
      <c r="D232" s="4"/>
      <c r="E232" s="4"/>
      <c r="F232" s="4"/>
    </row>
    <row r="233" customFormat="false" ht="15" hidden="false" customHeight="true" outlineLevel="0" collapsed="false">
      <c r="A233" s="4" t="s">
        <v>194</v>
      </c>
      <c r="B233" s="4"/>
      <c r="C233" s="4"/>
      <c r="D233" s="4"/>
      <c r="E233" s="4"/>
      <c r="F233" s="4"/>
    </row>
    <row r="234" customFormat="false" ht="15" hidden="false" customHeight="true" outlineLevel="0" collapsed="false">
      <c r="A234" s="4" t="s">
        <v>195</v>
      </c>
      <c r="B234" s="4"/>
      <c r="C234" s="4"/>
      <c r="D234" s="4"/>
      <c r="E234" s="4"/>
      <c r="F234" s="4"/>
    </row>
    <row r="236" customFormat="false" ht="15" hidden="false" customHeight="true" outlineLevel="0" collapsed="false">
      <c r="A236" s="5" t="s">
        <v>196</v>
      </c>
      <c r="B236" s="5"/>
      <c r="C236" s="5"/>
      <c r="D236" s="5"/>
      <c r="E236" s="5"/>
      <c r="F236" s="5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</row>
    <row r="238" customFormat="false" ht="15" hidden="false" customHeight="true" outlineLevel="0" collapsed="false">
      <c r="A238" s="5" t="s">
        <v>197</v>
      </c>
      <c r="B238" s="5"/>
      <c r="C238" s="5"/>
      <c r="D238" s="5"/>
      <c r="E238" s="5"/>
      <c r="F238" s="5"/>
    </row>
    <row r="239" customFormat="false" ht="15" hidden="false" customHeight="true" outlineLevel="0" collapsed="false">
      <c r="A239" s="4" t="s">
        <v>198</v>
      </c>
      <c r="B239" s="4"/>
      <c r="C239" s="4"/>
      <c r="D239" s="4"/>
      <c r="E239" s="4"/>
      <c r="F239" s="4"/>
    </row>
    <row r="240" customFormat="false" ht="15" hidden="false" customHeight="true" outlineLevel="0" collapsed="false">
      <c r="A240" s="4" t="s">
        <v>199</v>
      </c>
      <c r="B240" s="4"/>
      <c r="C240" s="4"/>
      <c r="D240" s="4"/>
      <c r="E240" s="4"/>
      <c r="F240" s="4"/>
    </row>
    <row r="241" customFormat="false" ht="15" hidden="false" customHeight="true" outlineLevel="0" collapsed="false">
      <c r="A241" s="4" t="s">
        <v>200</v>
      </c>
      <c r="B241" s="4"/>
      <c r="C241" s="4"/>
      <c r="D241" s="4"/>
      <c r="E241" s="4"/>
      <c r="F241" s="4"/>
    </row>
    <row r="242" customFormat="false" ht="15" hidden="false" customHeight="true" outlineLevel="0" collapsed="false">
      <c r="A242" s="4" t="s">
        <v>201</v>
      </c>
      <c r="B242" s="4"/>
      <c r="C242" s="4"/>
      <c r="D242" s="4"/>
      <c r="E242" s="4"/>
      <c r="F242" s="4"/>
    </row>
    <row r="243" customFormat="false" ht="15" hidden="false" customHeight="true" outlineLevel="0" collapsed="false">
      <c r="A243" s="4" t="s">
        <v>202</v>
      </c>
      <c r="B243" s="4"/>
      <c r="C243" s="4"/>
      <c r="D243" s="4"/>
      <c r="E243" s="4"/>
      <c r="F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</row>
    <row r="245" customFormat="false" ht="15" hidden="false" customHeight="true" outlineLevel="0" collapsed="false">
      <c r="A245" s="5" t="s">
        <v>203</v>
      </c>
      <c r="B245" s="5"/>
      <c r="C245" s="5"/>
      <c r="D245" s="5"/>
      <c r="E245" s="5"/>
      <c r="F245" s="5"/>
    </row>
    <row r="246" customFormat="false" ht="15" hidden="false" customHeight="true" outlineLevel="0" collapsed="false">
      <c r="A246" s="4" t="s">
        <v>204</v>
      </c>
      <c r="B246" s="4"/>
      <c r="C246" s="4"/>
      <c r="D246" s="4"/>
      <c r="E246" s="4"/>
      <c r="F246" s="4"/>
    </row>
    <row r="247" customFormat="false" ht="15" hidden="false" customHeight="true" outlineLevel="0" collapsed="false">
      <c r="A247" s="4" t="s">
        <v>205</v>
      </c>
      <c r="B247" s="4"/>
      <c r="C247" s="4"/>
      <c r="D247" s="4"/>
      <c r="E247" s="4"/>
      <c r="F247" s="4"/>
    </row>
    <row r="248" customFormat="false" ht="15" hidden="false" customHeight="true" outlineLevel="0" collapsed="false">
      <c r="A248" s="4" t="s">
        <v>206</v>
      </c>
      <c r="B248" s="4"/>
      <c r="C248" s="4"/>
      <c r="D248" s="4"/>
      <c r="E248" s="4"/>
      <c r="F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</row>
    <row r="250" customFormat="false" ht="15" hidden="false" customHeight="true" outlineLevel="0" collapsed="false">
      <c r="A250" s="4" t="s">
        <v>207</v>
      </c>
      <c r="B250" s="4"/>
      <c r="C250" s="4"/>
      <c r="D250" s="4"/>
      <c r="E250" s="4"/>
      <c r="F250" s="4"/>
    </row>
    <row r="251" customFormat="false" ht="15" hidden="false" customHeight="true" outlineLevel="0" collapsed="false">
      <c r="A251" s="4" t="s">
        <v>208</v>
      </c>
      <c r="B251" s="4"/>
      <c r="C251" s="4"/>
      <c r="D251" s="4"/>
      <c r="E251" s="4"/>
      <c r="F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</row>
    <row r="253" customFormat="false" ht="15" hidden="false" customHeight="true" outlineLevel="0" collapsed="false">
      <c r="A253" s="5" t="s">
        <v>209</v>
      </c>
      <c r="B253" s="5"/>
      <c r="C253" s="5"/>
      <c r="D253" s="5"/>
      <c r="E253" s="5"/>
      <c r="F253" s="5"/>
    </row>
    <row r="254" customFormat="false" ht="15" hidden="false" customHeight="true" outlineLevel="0" collapsed="false">
      <c r="A254" s="4" t="s">
        <v>210</v>
      </c>
      <c r="B254" s="4"/>
      <c r="C254" s="4"/>
      <c r="D254" s="4"/>
      <c r="E254" s="4"/>
      <c r="F254" s="4"/>
    </row>
    <row r="255" customFormat="false" ht="15" hidden="false" customHeight="true" outlineLevel="0" collapsed="false">
      <c r="A255" s="4" t="s">
        <v>211</v>
      </c>
      <c r="B255" s="4"/>
      <c r="C255" s="4"/>
      <c r="D255" s="4"/>
      <c r="E255" s="4"/>
      <c r="F255" s="4"/>
    </row>
    <row r="256" customFormat="false" ht="15" hidden="false" customHeight="true" outlineLevel="0" collapsed="false">
      <c r="A256" s="4" t="s">
        <v>212</v>
      </c>
      <c r="B256" s="4"/>
      <c r="C256" s="4"/>
      <c r="D256" s="4"/>
      <c r="E256" s="4"/>
      <c r="F256" s="4"/>
    </row>
    <row r="257" customFormat="false" ht="15" hidden="false" customHeight="true" outlineLevel="0" collapsed="false">
      <c r="A257" s="4" t="s">
        <v>213</v>
      </c>
      <c r="B257" s="4"/>
      <c r="C257" s="4"/>
      <c r="D257" s="4"/>
      <c r="E257" s="4"/>
      <c r="F257" s="4"/>
    </row>
    <row r="258" customFormat="false" ht="15" hidden="false" customHeight="true" outlineLevel="0" collapsed="false">
      <c r="A258" s="4" t="s">
        <v>214</v>
      </c>
      <c r="B258" s="4"/>
      <c r="C258" s="4"/>
      <c r="D258" s="4"/>
      <c r="E258" s="4"/>
      <c r="F258" s="4"/>
    </row>
    <row r="259" customFormat="false" ht="15" hidden="false" customHeight="true" outlineLevel="0" collapsed="false">
      <c r="A259" s="4" t="s">
        <v>215</v>
      </c>
      <c r="B259" s="4"/>
      <c r="C259" s="4"/>
      <c r="D259" s="4"/>
      <c r="E259" s="4"/>
      <c r="F259" s="4"/>
    </row>
    <row r="260" customFormat="false" ht="15" hidden="false" customHeight="true" outlineLevel="0" collapsed="false">
      <c r="A260" s="4" t="s">
        <v>216</v>
      </c>
      <c r="B260" s="4"/>
      <c r="C260" s="4"/>
      <c r="D260" s="4"/>
      <c r="E260" s="4"/>
      <c r="F260" s="4"/>
    </row>
    <row r="261" customFormat="false" ht="15" hidden="false" customHeight="true" outlineLevel="0" collapsed="false">
      <c r="A261" s="4" t="s">
        <v>217</v>
      </c>
      <c r="B261" s="4"/>
      <c r="C261" s="4"/>
      <c r="D261" s="4"/>
      <c r="E261" s="4"/>
      <c r="F261" s="4"/>
    </row>
    <row r="262" customFormat="false" ht="15" hidden="false" customHeight="true" outlineLevel="0" collapsed="false">
      <c r="A262" s="4" t="s">
        <v>218</v>
      </c>
      <c r="B262" s="4"/>
      <c r="C262" s="4"/>
      <c r="D262" s="4"/>
      <c r="E262" s="4"/>
      <c r="F262" s="4"/>
    </row>
    <row r="263" customFormat="false" ht="15" hidden="false" customHeight="true" outlineLevel="0" collapsed="false">
      <c r="A263" s="4" t="s">
        <v>219</v>
      </c>
      <c r="B263" s="4"/>
      <c r="C263" s="4"/>
      <c r="D263" s="4"/>
      <c r="E263" s="4"/>
      <c r="F263" s="4"/>
    </row>
    <row r="264" customFormat="false" ht="15" hidden="false" customHeight="true" outlineLevel="0" collapsed="false">
      <c r="A264" s="4" t="s">
        <v>220</v>
      </c>
      <c r="B264" s="4"/>
      <c r="C264" s="4"/>
      <c r="D264" s="4"/>
      <c r="E264" s="4"/>
      <c r="F264" s="4"/>
    </row>
    <row r="265" customFormat="false" ht="15" hidden="false" customHeight="true" outlineLevel="0" collapsed="false">
      <c r="A265" s="4" t="s">
        <v>221</v>
      </c>
      <c r="B265" s="4"/>
      <c r="C265" s="4"/>
      <c r="D265" s="4"/>
      <c r="E265" s="4"/>
      <c r="F265" s="4"/>
    </row>
    <row r="266" customFormat="false" ht="15" hidden="false" customHeight="true" outlineLevel="0" collapsed="false">
      <c r="A266" s="4" t="s">
        <v>222</v>
      </c>
      <c r="B266" s="4"/>
      <c r="C266" s="4"/>
      <c r="D266" s="4"/>
      <c r="E266" s="4"/>
      <c r="F266" s="4"/>
    </row>
    <row r="267" customFormat="false" ht="15" hidden="false" customHeight="true" outlineLevel="0" collapsed="false">
      <c r="A267" s="4" t="s">
        <v>223</v>
      </c>
      <c r="B267" s="4"/>
      <c r="C267" s="4"/>
      <c r="D267" s="4"/>
      <c r="E267" s="4"/>
      <c r="F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</row>
    <row r="269" customFormat="false" ht="15" hidden="false" customHeight="true" outlineLevel="0" collapsed="false">
      <c r="A269" s="5" t="s">
        <v>224</v>
      </c>
      <c r="B269" s="5"/>
      <c r="C269" s="5"/>
      <c r="D269" s="5"/>
      <c r="E269" s="5"/>
      <c r="F269" s="5"/>
    </row>
    <row r="270" customFormat="false" ht="15" hidden="false" customHeight="true" outlineLevel="0" collapsed="false">
      <c r="A270" s="4" t="s">
        <v>225</v>
      </c>
      <c r="B270" s="4"/>
      <c r="C270" s="4"/>
      <c r="D270" s="4"/>
      <c r="E270" s="4"/>
      <c r="F270" s="4"/>
    </row>
    <row r="271" customFormat="false" ht="15" hidden="false" customHeight="true" outlineLevel="0" collapsed="false">
      <c r="A271" s="4" t="s">
        <v>226</v>
      </c>
      <c r="B271" s="4"/>
      <c r="C271" s="4"/>
      <c r="D271" s="4"/>
      <c r="E271" s="4"/>
      <c r="F271" s="4"/>
    </row>
    <row r="272" customFormat="false" ht="15" hidden="false" customHeight="true" outlineLevel="0" collapsed="false">
      <c r="A272" s="4" t="s">
        <v>227</v>
      </c>
      <c r="B272" s="4"/>
      <c r="C272" s="4"/>
      <c r="D272" s="4"/>
      <c r="E272" s="4"/>
      <c r="F272" s="4"/>
    </row>
    <row r="273" customFormat="false" ht="15" hidden="false" customHeight="true" outlineLevel="0" collapsed="false">
      <c r="A273" s="4" t="s">
        <v>228</v>
      </c>
      <c r="B273" s="4"/>
      <c r="C273" s="4"/>
      <c r="D273" s="4"/>
      <c r="E273" s="4"/>
      <c r="F273" s="4"/>
    </row>
    <row r="274" customFormat="false" ht="15" hidden="false" customHeight="true" outlineLevel="0" collapsed="false">
      <c r="A274" s="4" t="s">
        <v>229</v>
      </c>
      <c r="B274" s="4"/>
      <c r="C274" s="4"/>
      <c r="D274" s="4"/>
      <c r="E274" s="4"/>
      <c r="F274" s="4"/>
    </row>
    <row r="275" customFormat="false" ht="15" hidden="false" customHeight="true" outlineLevel="0" collapsed="false">
      <c r="A275" s="4" t="s">
        <v>230</v>
      </c>
      <c r="B275" s="4"/>
      <c r="C275" s="4"/>
      <c r="D275" s="4"/>
      <c r="E275" s="4"/>
      <c r="F275" s="4"/>
    </row>
    <row r="276" customFormat="false" ht="15" hidden="false" customHeight="true" outlineLevel="0" collapsed="false">
      <c r="A276" s="4" t="s">
        <v>231</v>
      </c>
      <c r="B276" s="4"/>
      <c r="C276" s="4"/>
      <c r="D276" s="4"/>
      <c r="E276" s="4"/>
      <c r="F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</row>
    <row r="278" customFormat="false" ht="15" hidden="false" customHeight="true" outlineLevel="0" collapsed="false">
      <c r="A278" s="5" t="s">
        <v>232</v>
      </c>
      <c r="B278" s="5"/>
      <c r="C278" s="5"/>
      <c r="D278" s="5"/>
      <c r="E278" s="5"/>
      <c r="F278" s="5"/>
    </row>
    <row r="279" customFormat="false" ht="15" hidden="false" customHeight="true" outlineLevel="0" collapsed="false">
      <c r="A279" s="4" t="s">
        <v>233</v>
      </c>
      <c r="B279" s="4"/>
      <c r="C279" s="4"/>
      <c r="D279" s="4"/>
      <c r="E279" s="4"/>
      <c r="F279" s="4"/>
    </row>
    <row r="280" customFormat="false" ht="15" hidden="false" customHeight="true" outlineLevel="0" collapsed="false">
      <c r="A280" s="4" t="s">
        <v>234</v>
      </c>
      <c r="B280" s="4"/>
      <c r="C280" s="4"/>
      <c r="D280" s="4"/>
      <c r="E280" s="4"/>
      <c r="F280" s="4"/>
    </row>
    <row r="281" customFormat="false" ht="15" hidden="false" customHeight="true" outlineLevel="0" collapsed="false">
      <c r="A281" s="4" t="s">
        <v>235</v>
      </c>
      <c r="B281" s="4"/>
      <c r="C281" s="4"/>
      <c r="D281" s="4"/>
      <c r="E281" s="4"/>
      <c r="F281" s="4"/>
    </row>
    <row r="282" customFormat="false" ht="15" hidden="false" customHeight="true" outlineLevel="0" collapsed="false">
      <c r="A282" s="4" t="s">
        <v>236</v>
      </c>
      <c r="B282" s="4"/>
      <c r="C282" s="4"/>
      <c r="D282" s="4"/>
      <c r="E282" s="4"/>
      <c r="F282" s="4"/>
    </row>
    <row r="283" customFormat="false" ht="15" hidden="false" customHeight="true" outlineLevel="0" collapsed="false">
      <c r="A283" s="4" t="s">
        <v>237</v>
      </c>
      <c r="B283" s="4"/>
      <c r="C283" s="4"/>
      <c r="D283" s="4"/>
      <c r="E283" s="4"/>
      <c r="F283" s="4"/>
    </row>
  </sheetData>
  <mergeCells count="27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4:F84"/>
    <mergeCell ref="A86:F86"/>
    <mergeCell ref="A87:F87"/>
    <mergeCell ref="A88:F88"/>
    <mergeCell ref="A89:F89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109:F109"/>
    <mergeCell ref="A110:F110"/>
    <mergeCell ref="A111:F111"/>
    <mergeCell ref="A112:F112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32:F132"/>
    <mergeCell ref="A133:F133"/>
    <mergeCell ref="A134:F134"/>
    <mergeCell ref="A135:F135"/>
    <mergeCell ref="A136:F136"/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F158"/>
    <mergeCell ref="A159:F159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68:F168"/>
    <mergeCell ref="A169:F169"/>
    <mergeCell ref="A170:F170"/>
    <mergeCell ref="A171:F171"/>
    <mergeCell ref="A172:F172"/>
    <mergeCell ref="A173:F173"/>
    <mergeCell ref="A174:F174"/>
    <mergeCell ref="A175:F175"/>
    <mergeCell ref="A176:F176"/>
    <mergeCell ref="A177:F177"/>
    <mergeCell ref="A178:F178"/>
    <mergeCell ref="A179:F179"/>
    <mergeCell ref="A180:F180"/>
    <mergeCell ref="A181:F181"/>
    <mergeCell ref="A182:F182"/>
    <mergeCell ref="A183:F183"/>
    <mergeCell ref="A184:F184"/>
    <mergeCell ref="A185:F185"/>
    <mergeCell ref="A186:F186"/>
    <mergeCell ref="A187:F187"/>
    <mergeCell ref="A188:F188"/>
    <mergeCell ref="A189:F189"/>
    <mergeCell ref="A190:F190"/>
    <mergeCell ref="A191:F191"/>
    <mergeCell ref="A193:F193"/>
    <mergeCell ref="A194:F194"/>
    <mergeCell ref="A195:F195"/>
    <mergeCell ref="A196:F196"/>
    <mergeCell ref="A197:F197"/>
    <mergeCell ref="A198:F198"/>
    <mergeCell ref="A199:F199"/>
    <mergeCell ref="A200:F200"/>
    <mergeCell ref="A201:F201"/>
    <mergeCell ref="A202:F202"/>
    <mergeCell ref="A203:F203"/>
    <mergeCell ref="A204:F204"/>
    <mergeCell ref="A205:F205"/>
    <mergeCell ref="A206:F206"/>
    <mergeCell ref="A207:F207"/>
    <mergeCell ref="A208:F208"/>
    <mergeCell ref="A209:F209"/>
    <mergeCell ref="A210:F210"/>
    <mergeCell ref="A211:F211"/>
    <mergeCell ref="A212:F212"/>
    <mergeCell ref="A213:F213"/>
    <mergeCell ref="A214:F214"/>
    <mergeCell ref="A215:F215"/>
    <mergeCell ref="A216:F216"/>
    <mergeCell ref="A217:F217"/>
    <mergeCell ref="A218:F218"/>
    <mergeCell ref="A219:F219"/>
    <mergeCell ref="A220:F220"/>
    <mergeCell ref="A221:F221"/>
    <mergeCell ref="A222:F222"/>
    <mergeCell ref="A223:F223"/>
    <mergeCell ref="A224:F224"/>
    <mergeCell ref="A225:F225"/>
    <mergeCell ref="A226:F226"/>
    <mergeCell ref="A227:F227"/>
    <mergeCell ref="A228:F228"/>
    <mergeCell ref="A229:F229"/>
    <mergeCell ref="A230:F230"/>
    <mergeCell ref="A231:F231"/>
    <mergeCell ref="A232:F232"/>
    <mergeCell ref="A233:F233"/>
    <mergeCell ref="A234:F234"/>
    <mergeCell ref="A236:F236"/>
    <mergeCell ref="A237:F237"/>
    <mergeCell ref="A238:F238"/>
    <mergeCell ref="A239:F239"/>
    <mergeCell ref="A240:F240"/>
    <mergeCell ref="A241:F241"/>
    <mergeCell ref="A242:F242"/>
    <mergeCell ref="A243:F243"/>
    <mergeCell ref="A244:F244"/>
    <mergeCell ref="A245:F245"/>
    <mergeCell ref="A246:F246"/>
    <mergeCell ref="A247:F247"/>
    <mergeCell ref="A248:F248"/>
    <mergeCell ref="A249:F249"/>
    <mergeCell ref="A250:F250"/>
    <mergeCell ref="A251:F251"/>
    <mergeCell ref="A252:F252"/>
    <mergeCell ref="A253:F253"/>
    <mergeCell ref="A254:F254"/>
    <mergeCell ref="A255:F255"/>
    <mergeCell ref="A256:F256"/>
    <mergeCell ref="A257:F257"/>
    <mergeCell ref="A258:F258"/>
    <mergeCell ref="A259:F259"/>
    <mergeCell ref="A260:F260"/>
    <mergeCell ref="A261:F261"/>
    <mergeCell ref="A262:F262"/>
    <mergeCell ref="A263:F263"/>
    <mergeCell ref="A264:F264"/>
    <mergeCell ref="A265:F265"/>
    <mergeCell ref="A266:F266"/>
    <mergeCell ref="A267:F267"/>
    <mergeCell ref="A268:F268"/>
    <mergeCell ref="A269:F269"/>
    <mergeCell ref="A270:F270"/>
    <mergeCell ref="A271:F271"/>
    <mergeCell ref="A272:F272"/>
    <mergeCell ref="A273:F273"/>
    <mergeCell ref="A274:F274"/>
    <mergeCell ref="A275:F275"/>
    <mergeCell ref="A276:F276"/>
    <mergeCell ref="A277:F277"/>
    <mergeCell ref="A278:F278"/>
    <mergeCell ref="A279:F279"/>
    <mergeCell ref="A280:F280"/>
    <mergeCell ref="A281:F281"/>
    <mergeCell ref="A282:F282"/>
    <mergeCell ref="A283:F2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7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38"/>
    <col collapsed="false" customWidth="true" hidden="false" outlineLevel="0" max="6" min="6" style="1" width="50"/>
    <col collapsed="false" customWidth="true" hidden="false" outlineLevel="0" max="7" min="7" style="1" width="14"/>
    <col collapsed="false" customWidth="true" hidden="false" outlineLevel="0" max="8" min="8" style="1" width="7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18"/>
    <col collapsed="false" customWidth="true" hidden="false" outlineLevel="0" max="12" min="12" style="1" width="42"/>
    <col collapsed="false" customWidth="true" hidden="false" outlineLevel="0" max="13" min="13" style="1" width="14"/>
    <col collapsed="false" customWidth="true" hidden="false" outlineLevel="0" max="14" min="14" style="1" width="17"/>
    <col collapsed="false" customWidth="true" hidden="false" outlineLevel="0" max="15" min="15" style="1" width="13"/>
    <col collapsed="false" customWidth="true" hidden="false" outlineLevel="0" max="16" min="16" style="1" width="12"/>
    <col collapsed="false" customWidth="true" hidden="false" outlineLevel="0" max="17" min="17" style="1" width="11"/>
    <col collapsed="false" customWidth="true" hidden="false" outlineLevel="0" max="18" min="18" style="1" width="9"/>
    <col collapsed="false" customWidth="true" hidden="false" outlineLevel="0" max="19" min="19" style="1" width="14"/>
    <col collapsed="false" customWidth="true" hidden="false" outlineLevel="0" max="20" min="20" style="1" width="17"/>
    <col collapsed="false" customWidth="true" hidden="false" outlineLevel="0" max="21" min="21" style="1" width="13"/>
    <col collapsed="false" customWidth="true" hidden="false" outlineLevel="0" max="22" min="22" style="1" width="14"/>
    <col collapsed="false" customWidth="true" hidden="false" outlineLevel="0" max="23" min="23" style="1" width="36"/>
    <col collapsed="false" customWidth="true" hidden="false" outlineLevel="0" max="24" min="24" style="1" width="28"/>
    <col collapsed="false" customWidth="true" hidden="false" outlineLevel="0" max="25" min="25" style="1" width="11"/>
    <col collapsed="false" customWidth="true" hidden="false" outlineLevel="0" max="26" min="26" style="1" width="14"/>
    <col collapsed="false" customWidth="true" hidden="false" outlineLevel="0" max="27" min="27" style="1" width="13"/>
    <col collapsed="false" customWidth="true" hidden="false" outlineLevel="0" max="28" min="28" style="1" width="20"/>
    <col collapsed="false" customWidth="true" hidden="false" outlineLevel="0" max="34" min="29" style="1" width="12"/>
    <col collapsed="false" customWidth="true" hidden="false" outlineLevel="0" max="35" min="35" style="1" width="13"/>
    <col collapsed="false" customWidth="true" hidden="false" outlineLevel="0" max="36" min="36" style="1" width="30"/>
  </cols>
  <sheetData>
    <row r="1" customFormat="false" ht="45.75" hidden="false" customHeight="true" outlineLevel="0" collapsed="false">
      <c r="A1" s="6" t="s">
        <v>238</v>
      </c>
      <c r="B1" s="6" t="s">
        <v>239</v>
      </c>
      <c r="C1" s="6" t="s">
        <v>240</v>
      </c>
      <c r="D1" s="6" t="s">
        <v>241</v>
      </c>
      <c r="E1" s="6" t="s">
        <v>242</v>
      </c>
      <c r="F1" s="6" t="s">
        <v>243</v>
      </c>
      <c r="G1" s="6" t="s">
        <v>244</v>
      </c>
      <c r="H1" s="6" t="s">
        <v>245</v>
      </c>
      <c r="I1" s="6" t="s">
        <v>246</v>
      </c>
      <c r="J1" s="6" t="s">
        <v>247</v>
      </c>
      <c r="K1" s="6" t="s">
        <v>248</v>
      </c>
      <c r="L1" s="6" t="s">
        <v>249</v>
      </c>
      <c r="M1" s="6" t="s">
        <v>250</v>
      </c>
      <c r="N1" s="6" t="s">
        <v>251</v>
      </c>
      <c r="O1" s="6" t="s">
        <v>252</v>
      </c>
      <c r="P1" s="6" t="s">
        <v>253</v>
      </c>
      <c r="Q1" s="6" t="s">
        <v>254</v>
      </c>
      <c r="R1" s="7" t="s">
        <v>255</v>
      </c>
      <c r="S1" s="7" t="s">
        <v>256</v>
      </c>
      <c r="T1" s="7" t="s">
        <v>257</v>
      </c>
      <c r="U1" s="7" t="s">
        <v>258</v>
      </c>
      <c r="V1" s="7" t="s">
        <v>259</v>
      </c>
      <c r="W1" s="7" t="s">
        <v>260</v>
      </c>
      <c r="X1" s="7" t="s">
        <v>261</v>
      </c>
      <c r="Y1" s="7" t="s">
        <v>262</v>
      </c>
      <c r="Z1" s="7" t="s">
        <v>263</v>
      </c>
      <c r="AA1" s="7" t="s">
        <v>264</v>
      </c>
      <c r="AB1" s="7" t="s">
        <v>265</v>
      </c>
      <c r="AC1" s="7" t="s">
        <v>266</v>
      </c>
      <c r="AD1" s="7" t="s">
        <v>267</v>
      </c>
      <c r="AE1" s="7" t="s">
        <v>268</v>
      </c>
      <c r="AF1" s="7" t="s">
        <v>269</v>
      </c>
      <c r="AG1" s="7" t="s">
        <v>270</v>
      </c>
      <c r="AH1" s="7" t="s">
        <v>271</v>
      </c>
      <c r="AI1" s="7" t="s">
        <v>272</v>
      </c>
      <c r="AJ1" s="7" t="s">
        <v>273</v>
      </c>
      <c r="AK1" s="7" t="s">
        <v>274</v>
      </c>
      <c r="AL1" s="7" t="s">
        <v>275</v>
      </c>
      <c r="AM1" s="7" t="s">
        <v>276</v>
      </c>
      <c r="AN1" s="7" t="s">
        <v>277</v>
      </c>
      <c r="AO1" s="7" t="s">
        <v>278</v>
      </c>
      <c r="AP1" s="7" t="s">
        <v>279</v>
      </c>
      <c r="AQ1" s="7" t="s">
        <v>280</v>
      </c>
      <c r="AR1" s="7" t="s">
        <v>281</v>
      </c>
      <c r="AS1" s="7" t="s">
        <v>282</v>
      </c>
      <c r="AT1" s="6" t="s">
        <v>283</v>
      </c>
      <c r="AU1" s="6" t="s">
        <v>284</v>
      </c>
    </row>
    <row r="2" customFormat="false" ht="15" hidden="false" customHeight="true" outlineLevel="0" collapsed="false">
      <c r="A2" s="8" t="n">
        <v>1</v>
      </c>
      <c r="B2" s="8" t="n">
        <v>1</v>
      </c>
      <c r="C2" s="8" t="s">
        <v>285</v>
      </c>
      <c r="D2" s="8" t="s">
        <v>286</v>
      </c>
      <c r="E2" s="9" t="s">
        <v>287</v>
      </c>
      <c r="F2" s="9" t="s">
        <v>288</v>
      </c>
      <c r="G2" s="8" t="s">
        <v>289</v>
      </c>
      <c r="H2" s="8" t="s">
        <v>290</v>
      </c>
      <c r="I2" s="8" t="s">
        <v>291</v>
      </c>
      <c r="J2" s="8" t="s">
        <v>292</v>
      </c>
      <c r="K2" s="8" t="s">
        <v>293</v>
      </c>
      <c r="L2" s="9" t="s">
        <v>294</v>
      </c>
      <c r="M2" s="8"/>
      <c r="N2" s="8" t="str">
        <f aca="true">IF(M2="","Active (per Notice 1)",IF(M2&lt;TODAY(),"Expired",IF(M2&lt;TODAY()+180,"Expiring Soon","Active")))</f>
        <v>Active (per Notice 1)</v>
      </c>
      <c r="O2" s="10" t="s">
        <v>295</v>
      </c>
      <c r="P2" s="8" t="s">
        <v>296</v>
      </c>
      <c r="Q2" s="8" t="n">
        <v>3.74</v>
      </c>
      <c r="R2" s="8" t="n">
        <v>4</v>
      </c>
      <c r="S2" s="11" t="n">
        <v>45239</v>
      </c>
      <c r="T2" s="8" t="str">
        <f aca="true">IF(S2="","",IF(EDATE(S2,60)&lt;TODAY(),"Expired",IF(EDATE(S2,60)&lt;TODAY()+180,"Expiring Soon","Valid")))</f>
        <v>Valid</v>
      </c>
      <c r="U2" s="8" t="str">
        <f aca="false">IF(P2="","",IF(P2="A++","Top Tier",IF(P2="A+","High",IF(P2="A","Strong",IF(LEFT(P2,1)="B","Acceptable",IF(LEFT(P2,1)="C","Below Avg","-"))))))</f>
        <v>Top Tier</v>
      </c>
      <c r="AC2" s="8" t="n">
        <v>41</v>
      </c>
      <c r="AD2" s="8" t="n">
        <v>23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 t="n">
        <v>4</v>
      </c>
      <c r="AP2" s="8"/>
      <c r="AQ2" s="8"/>
      <c r="AR2" s="8"/>
      <c r="AS2" s="8"/>
      <c r="AT2" s="8"/>
      <c r="AU2" s="8"/>
    </row>
    <row r="3" customFormat="false" ht="15" hidden="false" customHeight="true" outlineLevel="0" collapsed="false">
      <c r="A3" s="8" t="n">
        <v>2</v>
      </c>
      <c r="B3" s="8" t="n">
        <v>1</v>
      </c>
      <c r="C3" s="8" t="s">
        <v>285</v>
      </c>
      <c r="D3" s="8" t="s">
        <v>286</v>
      </c>
      <c r="E3" s="9" t="s">
        <v>287</v>
      </c>
      <c r="F3" s="9" t="s">
        <v>297</v>
      </c>
      <c r="G3" s="8" t="s">
        <v>298</v>
      </c>
      <c r="H3" s="8" t="s">
        <v>290</v>
      </c>
      <c r="I3" s="8" t="s">
        <v>291</v>
      </c>
      <c r="J3" s="8" t="s">
        <v>292</v>
      </c>
      <c r="K3" s="8" t="s">
        <v>293</v>
      </c>
      <c r="L3" s="9" t="s">
        <v>294</v>
      </c>
      <c r="M3" s="8"/>
      <c r="N3" s="8" t="str">
        <f aca="true">IF(M3="","Active (per Notice 1)",IF(M3&lt;TODAY(),"Expired",IF(M3&lt;TODAY()+180,"Expiring Soon","Active")))</f>
        <v>Active (per Notice 1)</v>
      </c>
      <c r="O3" s="10" t="s">
        <v>295</v>
      </c>
      <c r="P3" s="8" t="s">
        <v>296</v>
      </c>
      <c r="Q3" s="8" t="n">
        <v>3.74</v>
      </c>
      <c r="R3" s="8" t="n">
        <v>4</v>
      </c>
      <c r="S3" s="11" t="n">
        <v>45239</v>
      </c>
      <c r="T3" s="8" t="str">
        <f aca="true">IF(S3="","",IF(EDATE(S3,60)&lt;TODAY(),"Expired",IF(EDATE(S3,60)&lt;TODAY()+180,"Expiring Soon","Valid")))</f>
        <v>Valid</v>
      </c>
      <c r="U3" s="8" t="str">
        <f aca="false">IF(P3="","",IF(P3="A++","Top Tier",IF(P3="A+","High",IF(P3="A","Strong",IF(LEFT(P3,1)="B","Acceptable",IF(LEFT(P3,1)="C","Below Avg","-"))))))</f>
        <v>Top Tier</v>
      </c>
      <c r="AC3" s="8" t="n">
        <v>41</v>
      </c>
      <c r="AD3" s="8" t="n">
        <v>23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 t="n">
        <v>4</v>
      </c>
      <c r="AP3" s="8"/>
      <c r="AQ3" s="8"/>
      <c r="AR3" s="8"/>
      <c r="AS3" s="8"/>
      <c r="AT3" s="8"/>
      <c r="AU3" s="8"/>
    </row>
    <row r="4" customFormat="false" ht="15" hidden="false" customHeight="true" outlineLevel="0" collapsed="false">
      <c r="A4" s="8" t="n">
        <v>3</v>
      </c>
      <c r="B4" s="8" t="n">
        <v>1</v>
      </c>
      <c r="C4" s="8" t="s">
        <v>285</v>
      </c>
      <c r="D4" s="8" t="s">
        <v>286</v>
      </c>
      <c r="E4" s="9" t="s">
        <v>287</v>
      </c>
      <c r="F4" s="9" t="s">
        <v>299</v>
      </c>
      <c r="G4" s="8" t="s">
        <v>289</v>
      </c>
      <c r="H4" s="8" t="s">
        <v>290</v>
      </c>
      <c r="I4" s="8" t="s">
        <v>291</v>
      </c>
      <c r="J4" s="8" t="s">
        <v>292</v>
      </c>
      <c r="K4" s="8" t="s">
        <v>293</v>
      </c>
      <c r="L4" s="9" t="s">
        <v>294</v>
      </c>
      <c r="M4" s="8"/>
      <c r="N4" s="8" t="str">
        <f aca="true">IF(M4="","Active (per Notice 1)",IF(M4&lt;TODAY(),"Expired",IF(M4&lt;TODAY()+180,"Expiring Soon","Active")))</f>
        <v>Active (per Notice 1)</v>
      </c>
      <c r="O4" s="10" t="s">
        <v>295</v>
      </c>
      <c r="P4" s="8" t="s">
        <v>296</v>
      </c>
      <c r="Q4" s="8" t="n">
        <v>3.74</v>
      </c>
      <c r="R4" s="8" t="n">
        <v>4</v>
      </c>
      <c r="S4" s="11" t="n">
        <v>45239</v>
      </c>
      <c r="T4" s="8" t="str">
        <f aca="true">IF(S4="","",IF(EDATE(S4,60)&lt;TODAY(),"Expired",IF(EDATE(S4,60)&lt;TODAY()+180,"Expiring Soon","Valid")))</f>
        <v>Valid</v>
      </c>
      <c r="U4" s="8" t="str">
        <f aca="false">IF(P4="","",IF(P4="A++","Top Tier",IF(P4="A+","High",IF(P4="A","Strong",IF(LEFT(P4,1)="B","Acceptable",IF(LEFT(P4,1)="C","Below Avg","-"))))))</f>
        <v>Top Tier</v>
      </c>
      <c r="AC4" s="8" t="n">
        <v>41</v>
      </c>
      <c r="AD4" s="8" t="n">
        <v>23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 t="n">
        <v>4</v>
      </c>
      <c r="AP4" s="8"/>
      <c r="AQ4" s="8"/>
      <c r="AR4" s="8"/>
      <c r="AS4" s="8"/>
      <c r="AT4" s="8"/>
      <c r="AU4" s="8"/>
    </row>
    <row r="5" customFormat="false" ht="15" hidden="false" customHeight="true" outlineLevel="0" collapsed="false">
      <c r="A5" s="8" t="n">
        <v>4</v>
      </c>
      <c r="B5" s="8" t="n">
        <v>1</v>
      </c>
      <c r="C5" s="8" t="s">
        <v>285</v>
      </c>
      <c r="D5" s="8" t="s">
        <v>286</v>
      </c>
      <c r="E5" s="9" t="s">
        <v>287</v>
      </c>
      <c r="F5" s="9" t="s">
        <v>300</v>
      </c>
      <c r="G5" s="8" t="s">
        <v>301</v>
      </c>
      <c r="H5" s="8" t="s">
        <v>302</v>
      </c>
      <c r="I5" s="8" t="s">
        <v>291</v>
      </c>
      <c r="J5" s="8" t="s">
        <v>292</v>
      </c>
      <c r="K5" s="8" t="s">
        <v>293</v>
      </c>
      <c r="L5" s="9" t="s">
        <v>294</v>
      </c>
      <c r="M5" s="8"/>
      <c r="N5" s="8" t="str">
        <f aca="true">IF(M5="","Active (per Notice 1)",IF(M5&lt;TODAY(),"Expired",IF(M5&lt;TODAY()+180,"Expiring Soon","Active")))</f>
        <v>Active (per Notice 1)</v>
      </c>
      <c r="O5" s="10" t="s">
        <v>295</v>
      </c>
      <c r="P5" s="8" t="s">
        <v>296</v>
      </c>
      <c r="Q5" s="8" t="n">
        <v>3.74</v>
      </c>
      <c r="R5" s="8" t="n">
        <v>4</v>
      </c>
      <c r="S5" s="11" t="n">
        <v>45239</v>
      </c>
      <c r="T5" s="8" t="str">
        <f aca="true">IF(S5="","",IF(EDATE(S5,60)&lt;TODAY(),"Expired",IF(EDATE(S5,60)&lt;TODAY()+180,"Expiring Soon","Valid")))</f>
        <v>Valid</v>
      </c>
      <c r="U5" s="8" t="str">
        <f aca="false">IF(P5="","",IF(P5="A++","Top Tier",IF(P5="A+","High",IF(P5="A","Strong",IF(LEFT(P5,1)="B","Acceptable",IF(LEFT(P5,1)="C","Below Avg","-"))))))</f>
        <v>Top Tier</v>
      </c>
      <c r="AC5" s="8" t="n">
        <v>41</v>
      </c>
      <c r="AD5" s="8" t="n">
        <v>23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 t="n">
        <v>4</v>
      </c>
      <c r="AP5" s="8"/>
      <c r="AQ5" s="8"/>
      <c r="AR5" s="8"/>
      <c r="AS5" s="8"/>
      <c r="AT5" s="8"/>
      <c r="AU5" s="8"/>
    </row>
    <row r="6" customFormat="false" ht="15" hidden="false" customHeight="true" outlineLevel="0" collapsed="false">
      <c r="A6" s="8" t="n">
        <v>5</v>
      </c>
      <c r="B6" s="8" t="n">
        <v>1</v>
      </c>
      <c r="C6" s="8" t="s">
        <v>285</v>
      </c>
      <c r="D6" s="8" t="s">
        <v>286</v>
      </c>
      <c r="E6" s="9" t="s">
        <v>287</v>
      </c>
      <c r="F6" s="9" t="s">
        <v>303</v>
      </c>
      <c r="G6" s="8" t="s">
        <v>304</v>
      </c>
      <c r="H6" s="8" t="s">
        <v>302</v>
      </c>
      <c r="I6" s="8" t="s">
        <v>291</v>
      </c>
      <c r="J6" s="8" t="s">
        <v>292</v>
      </c>
      <c r="K6" s="8" t="s">
        <v>293</v>
      </c>
      <c r="L6" s="9" t="s">
        <v>294</v>
      </c>
      <c r="M6" s="8"/>
      <c r="N6" s="8" t="str">
        <f aca="true">IF(M6="","Active (per Notice 1)",IF(M6&lt;TODAY(),"Expired",IF(M6&lt;TODAY()+180,"Expiring Soon","Active")))</f>
        <v>Active (per Notice 1)</v>
      </c>
      <c r="O6" s="12" t="s">
        <v>305</v>
      </c>
      <c r="P6" s="8" t="s">
        <v>296</v>
      </c>
      <c r="Q6" s="8" t="n">
        <v>3.74</v>
      </c>
      <c r="R6" s="8" t="n">
        <v>4</v>
      </c>
      <c r="S6" s="11" t="n">
        <v>45239</v>
      </c>
      <c r="T6" s="8" t="str">
        <f aca="true">IF(S6="","",IF(EDATE(S6,60)&lt;TODAY(),"Expired",IF(EDATE(S6,60)&lt;TODAY()+180,"Expiring Soon","Valid")))</f>
        <v>Valid</v>
      </c>
      <c r="U6" s="8" t="str">
        <f aca="false">IF(P6="","",IF(P6="A++","Top Tier",IF(P6="A+","High",IF(P6="A","Strong",IF(LEFT(P6,1)="B","Acceptable",IF(LEFT(P6,1)="C","Below Avg","-"))))))</f>
        <v>Top Tier</v>
      </c>
      <c r="AC6" s="8" t="n">
        <v>41</v>
      </c>
      <c r="AD6" s="8" t="n">
        <v>23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 t="n">
        <v>4</v>
      </c>
      <c r="AP6" s="8"/>
      <c r="AQ6" s="8"/>
      <c r="AR6" s="8"/>
      <c r="AS6" s="8"/>
      <c r="AT6" s="8"/>
      <c r="AU6" s="8"/>
    </row>
    <row r="7" customFormat="false" ht="15" hidden="false" customHeight="true" outlineLevel="0" collapsed="false">
      <c r="A7" s="8" t="n">
        <v>6</v>
      </c>
      <c r="B7" s="8" t="n">
        <v>1</v>
      </c>
      <c r="C7" s="8" t="s">
        <v>285</v>
      </c>
      <c r="D7" s="8" t="s">
        <v>286</v>
      </c>
      <c r="E7" s="9" t="s">
        <v>287</v>
      </c>
      <c r="F7" s="9" t="s">
        <v>306</v>
      </c>
      <c r="G7" s="8" t="s">
        <v>307</v>
      </c>
      <c r="H7" s="8" t="s">
        <v>302</v>
      </c>
      <c r="I7" s="8" t="s">
        <v>291</v>
      </c>
      <c r="J7" s="8" t="s">
        <v>292</v>
      </c>
      <c r="K7" s="8" t="s">
        <v>293</v>
      </c>
      <c r="L7" s="9" t="s">
        <v>294</v>
      </c>
      <c r="M7" s="8"/>
      <c r="N7" s="8" t="str">
        <f aca="true">IF(M7="","Active (per Notice 1)",IF(M7&lt;TODAY(),"Expired",IF(M7&lt;TODAY()+180,"Expiring Soon","Active")))</f>
        <v>Active (per Notice 1)</v>
      </c>
      <c r="O7" s="12" t="s">
        <v>305</v>
      </c>
      <c r="P7" s="8" t="s">
        <v>296</v>
      </c>
      <c r="Q7" s="8" t="n">
        <v>3.74</v>
      </c>
      <c r="R7" s="8" t="n">
        <v>4</v>
      </c>
      <c r="S7" s="11" t="n">
        <v>45239</v>
      </c>
      <c r="T7" s="8" t="str">
        <f aca="true">IF(S7="","",IF(EDATE(S7,60)&lt;TODAY(),"Expired",IF(EDATE(S7,60)&lt;TODAY()+180,"Expiring Soon","Valid")))</f>
        <v>Valid</v>
      </c>
      <c r="U7" s="8" t="str">
        <f aca="false">IF(P7="","",IF(P7="A++","Top Tier",IF(P7="A+","High",IF(P7="A","Strong",IF(LEFT(P7,1)="B","Acceptable",IF(LEFT(P7,1)="C","Below Avg","-"))))))</f>
        <v>Top Tier</v>
      </c>
      <c r="AC7" s="8" t="n">
        <v>41</v>
      </c>
      <c r="AD7" s="8" t="n">
        <v>23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 t="n">
        <v>4</v>
      </c>
      <c r="AP7" s="8"/>
      <c r="AQ7" s="8"/>
      <c r="AR7" s="8"/>
      <c r="AS7" s="8"/>
      <c r="AT7" s="8"/>
      <c r="AU7" s="8"/>
    </row>
    <row r="8" customFormat="false" ht="15" hidden="false" customHeight="true" outlineLevel="0" collapsed="false">
      <c r="A8" s="8" t="n">
        <v>7</v>
      </c>
      <c r="B8" s="8" t="n">
        <v>1</v>
      </c>
      <c r="C8" s="8" t="s">
        <v>285</v>
      </c>
      <c r="D8" s="8" t="s">
        <v>286</v>
      </c>
      <c r="E8" s="9" t="s">
        <v>287</v>
      </c>
      <c r="F8" s="9" t="s">
        <v>308</v>
      </c>
      <c r="G8" s="8" t="s">
        <v>309</v>
      </c>
      <c r="H8" s="8" t="s">
        <v>302</v>
      </c>
      <c r="I8" s="8" t="s">
        <v>291</v>
      </c>
      <c r="J8" s="8" t="s">
        <v>292</v>
      </c>
      <c r="K8" s="8" t="s">
        <v>293</v>
      </c>
      <c r="L8" s="9" t="s">
        <v>294</v>
      </c>
      <c r="M8" s="8"/>
      <c r="N8" s="8" t="str">
        <f aca="true">IF(M8="","Active (per Notice 1)",IF(M8&lt;TODAY(),"Expired",IF(M8&lt;TODAY()+180,"Expiring Soon","Active")))</f>
        <v>Active (per Notice 1)</v>
      </c>
      <c r="O8" s="10" t="s">
        <v>295</v>
      </c>
      <c r="P8" s="8" t="s">
        <v>296</v>
      </c>
      <c r="Q8" s="8" t="n">
        <v>3.74</v>
      </c>
      <c r="R8" s="8" t="n">
        <v>4</v>
      </c>
      <c r="S8" s="11" t="n">
        <v>45239</v>
      </c>
      <c r="T8" s="8" t="str">
        <f aca="true">IF(S8="","",IF(EDATE(S8,60)&lt;TODAY(),"Expired",IF(EDATE(S8,60)&lt;TODAY()+180,"Expiring Soon","Valid")))</f>
        <v>Valid</v>
      </c>
      <c r="U8" s="8" t="str">
        <f aca="false">IF(P8="","",IF(P8="A++","Top Tier",IF(P8="A+","High",IF(P8="A","Strong",IF(LEFT(P8,1)="B","Acceptable",IF(LEFT(P8,1)="C","Below Avg","-"))))))</f>
        <v>Top Tier</v>
      </c>
      <c r="AC8" s="8" t="n">
        <v>41</v>
      </c>
      <c r="AD8" s="8" t="n">
        <v>23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 t="n">
        <v>4</v>
      </c>
      <c r="AP8" s="8"/>
      <c r="AQ8" s="8"/>
      <c r="AR8" s="8"/>
      <c r="AS8" s="8"/>
      <c r="AT8" s="8"/>
      <c r="AU8" s="8"/>
    </row>
    <row r="9" customFormat="false" ht="15" hidden="false" customHeight="true" outlineLevel="0" collapsed="false">
      <c r="A9" s="8" t="n">
        <v>8</v>
      </c>
      <c r="B9" s="8" t="n">
        <v>1</v>
      </c>
      <c r="C9" s="8" t="s">
        <v>285</v>
      </c>
      <c r="D9" s="8" t="s">
        <v>286</v>
      </c>
      <c r="E9" s="9" t="s">
        <v>287</v>
      </c>
      <c r="F9" s="9" t="s">
        <v>310</v>
      </c>
      <c r="G9" s="8" t="s">
        <v>301</v>
      </c>
      <c r="H9" s="8" t="s">
        <v>302</v>
      </c>
      <c r="I9" s="8" t="s">
        <v>291</v>
      </c>
      <c r="J9" s="8" t="s">
        <v>292</v>
      </c>
      <c r="K9" s="8" t="s">
        <v>293</v>
      </c>
      <c r="L9" s="9" t="s">
        <v>294</v>
      </c>
      <c r="M9" s="8"/>
      <c r="N9" s="8" t="str">
        <f aca="true">IF(M9="","Active (per Notice 1)",IF(M9&lt;TODAY(),"Expired",IF(M9&lt;TODAY()+180,"Expiring Soon","Active")))</f>
        <v>Active (per Notice 1)</v>
      </c>
      <c r="O9" s="10" t="s">
        <v>295</v>
      </c>
      <c r="P9" s="8" t="s">
        <v>296</v>
      </c>
      <c r="Q9" s="8" t="n">
        <v>3.74</v>
      </c>
      <c r="R9" s="8" t="n">
        <v>4</v>
      </c>
      <c r="S9" s="11" t="n">
        <v>45239</v>
      </c>
      <c r="T9" s="8" t="str">
        <f aca="true">IF(S9="","",IF(EDATE(S9,60)&lt;TODAY(),"Expired",IF(EDATE(S9,60)&lt;TODAY()+180,"Expiring Soon","Valid")))</f>
        <v>Valid</v>
      </c>
      <c r="U9" s="8" t="str">
        <f aca="false">IF(P9="","",IF(P9="A++","Top Tier",IF(P9="A+","High",IF(P9="A","Strong",IF(LEFT(P9,1)="B","Acceptable",IF(LEFT(P9,1)="C","Below Avg","-"))))))</f>
        <v>Top Tier</v>
      </c>
      <c r="AC9" s="8" t="n">
        <v>41</v>
      </c>
      <c r="AD9" s="8" t="n">
        <v>23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 t="n">
        <v>4</v>
      </c>
      <c r="AP9" s="8"/>
      <c r="AQ9" s="8"/>
      <c r="AR9" s="8"/>
      <c r="AS9" s="8"/>
      <c r="AT9" s="8"/>
      <c r="AU9" s="8"/>
    </row>
    <row r="10" customFormat="false" ht="15" hidden="false" customHeight="true" outlineLevel="0" collapsed="false">
      <c r="A10" s="8" t="n">
        <v>9</v>
      </c>
      <c r="B10" s="8" t="n">
        <v>1</v>
      </c>
      <c r="C10" s="8" t="s">
        <v>285</v>
      </c>
      <c r="D10" s="8" t="s">
        <v>286</v>
      </c>
      <c r="E10" s="9" t="s">
        <v>287</v>
      </c>
      <c r="F10" s="9" t="s">
        <v>311</v>
      </c>
      <c r="G10" s="8" t="s">
        <v>301</v>
      </c>
      <c r="H10" s="8" t="s">
        <v>302</v>
      </c>
      <c r="I10" s="8" t="s">
        <v>291</v>
      </c>
      <c r="J10" s="8" t="s">
        <v>292</v>
      </c>
      <c r="K10" s="8" t="s">
        <v>293</v>
      </c>
      <c r="L10" s="9" t="s">
        <v>294</v>
      </c>
      <c r="M10" s="8"/>
      <c r="N10" s="8" t="str">
        <f aca="true">IF(M10="","Active (per Notice 1)",IF(M10&lt;TODAY(),"Expired",IF(M10&lt;TODAY()+180,"Expiring Soon","Active")))</f>
        <v>Active (per Notice 1)</v>
      </c>
      <c r="O10" s="10" t="s">
        <v>295</v>
      </c>
      <c r="P10" s="8" t="s">
        <v>296</v>
      </c>
      <c r="Q10" s="8" t="n">
        <v>3.74</v>
      </c>
      <c r="R10" s="8" t="n">
        <v>4</v>
      </c>
      <c r="S10" s="11" t="n">
        <v>45239</v>
      </c>
      <c r="T10" s="8" t="str">
        <f aca="true">IF(S10="","",IF(EDATE(S10,60)&lt;TODAY(),"Expired",IF(EDATE(S10,60)&lt;TODAY()+180,"Expiring Soon","Valid")))</f>
        <v>Valid</v>
      </c>
      <c r="U10" s="8" t="str">
        <f aca="false">IF(P10="","",IF(P10="A++","Top Tier",IF(P10="A+","High",IF(P10="A","Strong",IF(LEFT(P10,1)="B","Acceptable",IF(LEFT(P10,1)="C","Below Avg","-"))))))</f>
        <v>Top Tier</v>
      </c>
      <c r="AC10" s="8" t="n">
        <v>41</v>
      </c>
      <c r="AD10" s="8" t="n">
        <v>23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 t="n">
        <v>4</v>
      </c>
      <c r="AP10" s="8"/>
      <c r="AQ10" s="8"/>
      <c r="AR10" s="8"/>
      <c r="AS10" s="8"/>
      <c r="AT10" s="8"/>
      <c r="AU10" s="8"/>
    </row>
    <row r="11" customFormat="false" ht="15" hidden="false" customHeight="true" outlineLevel="0" collapsed="false">
      <c r="A11" s="8" t="n">
        <v>10</v>
      </c>
      <c r="B11" s="8" t="n">
        <v>1</v>
      </c>
      <c r="C11" s="8" t="s">
        <v>285</v>
      </c>
      <c r="D11" s="8" t="s">
        <v>286</v>
      </c>
      <c r="E11" s="9" t="s">
        <v>287</v>
      </c>
      <c r="F11" s="9" t="s">
        <v>312</v>
      </c>
      <c r="G11" s="8" t="s">
        <v>301</v>
      </c>
      <c r="H11" s="8" t="s">
        <v>302</v>
      </c>
      <c r="I11" s="8" t="s">
        <v>291</v>
      </c>
      <c r="J11" s="8" t="s">
        <v>292</v>
      </c>
      <c r="K11" s="8" t="s">
        <v>293</v>
      </c>
      <c r="L11" s="9" t="s">
        <v>294</v>
      </c>
      <c r="M11" s="8"/>
      <c r="N11" s="8" t="str">
        <f aca="true">IF(M11="","Active (per Notice 1)",IF(M11&lt;TODAY(),"Expired",IF(M11&lt;TODAY()+180,"Expiring Soon","Active")))</f>
        <v>Active (per Notice 1)</v>
      </c>
      <c r="O11" s="10" t="s">
        <v>295</v>
      </c>
      <c r="P11" s="8" t="s">
        <v>296</v>
      </c>
      <c r="Q11" s="8" t="n">
        <v>3.74</v>
      </c>
      <c r="R11" s="8" t="n">
        <v>4</v>
      </c>
      <c r="S11" s="11" t="n">
        <v>45239</v>
      </c>
      <c r="T11" s="8" t="str">
        <f aca="true">IF(S11="","",IF(EDATE(S11,60)&lt;TODAY(),"Expired",IF(EDATE(S11,60)&lt;TODAY()+180,"Expiring Soon","Valid")))</f>
        <v>Valid</v>
      </c>
      <c r="U11" s="8" t="str">
        <f aca="false">IF(P11="","",IF(P11="A++","Top Tier",IF(P11="A+","High",IF(P11="A","Strong",IF(LEFT(P11,1)="B","Acceptable",IF(LEFT(P11,1)="C","Below Avg","-"))))))</f>
        <v>Top Tier</v>
      </c>
      <c r="AC11" s="8" t="n">
        <v>41</v>
      </c>
      <c r="AD11" s="8" t="n">
        <v>23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 t="n">
        <v>4</v>
      </c>
      <c r="AP11" s="8"/>
      <c r="AQ11" s="8"/>
      <c r="AR11" s="8"/>
      <c r="AS11" s="8"/>
      <c r="AT11" s="8"/>
      <c r="AU11" s="8"/>
    </row>
    <row r="12" customFormat="false" ht="15" hidden="false" customHeight="true" outlineLevel="0" collapsed="false">
      <c r="A12" s="8" t="n">
        <v>11</v>
      </c>
      <c r="B12" s="8" t="n">
        <v>1</v>
      </c>
      <c r="C12" s="8" t="s">
        <v>285</v>
      </c>
      <c r="D12" s="8" t="s">
        <v>286</v>
      </c>
      <c r="E12" s="9" t="s">
        <v>287</v>
      </c>
      <c r="F12" s="9" t="s">
        <v>313</v>
      </c>
      <c r="G12" s="8" t="s">
        <v>301</v>
      </c>
      <c r="H12" s="8" t="s">
        <v>302</v>
      </c>
      <c r="I12" s="8" t="s">
        <v>291</v>
      </c>
      <c r="J12" s="8" t="s">
        <v>292</v>
      </c>
      <c r="K12" s="8" t="s">
        <v>293</v>
      </c>
      <c r="L12" s="9" t="s">
        <v>294</v>
      </c>
      <c r="M12" s="8"/>
      <c r="N12" s="8" t="str">
        <f aca="true">IF(M12="","Active (per Notice 1)",IF(M12&lt;TODAY(),"Expired",IF(M12&lt;TODAY()+180,"Expiring Soon","Active")))</f>
        <v>Active (per Notice 1)</v>
      </c>
      <c r="O12" s="10" t="s">
        <v>295</v>
      </c>
      <c r="P12" s="8" t="s">
        <v>296</v>
      </c>
      <c r="Q12" s="8" t="n">
        <v>3.74</v>
      </c>
      <c r="R12" s="8" t="n">
        <v>4</v>
      </c>
      <c r="S12" s="11" t="n">
        <v>45239</v>
      </c>
      <c r="T12" s="8" t="str">
        <f aca="true">IF(S12="","",IF(EDATE(S12,60)&lt;TODAY(),"Expired",IF(EDATE(S12,60)&lt;TODAY()+180,"Expiring Soon","Valid")))</f>
        <v>Valid</v>
      </c>
      <c r="U12" s="8" t="str">
        <f aca="false">IF(P12="","",IF(P12="A++","Top Tier",IF(P12="A+","High",IF(P12="A","Strong",IF(LEFT(P12,1)="B","Acceptable",IF(LEFT(P12,1)="C","Below Avg","-"))))))</f>
        <v>Top Tier</v>
      </c>
      <c r="AC12" s="8" t="n">
        <v>41</v>
      </c>
      <c r="AD12" s="8" t="n">
        <v>23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 t="n">
        <v>4</v>
      </c>
      <c r="AP12" s="8"/>
      <c r="AQ12" s="8"/>
      <c r="AR12" s="8"/>
      <c r="AS12" s="8"/>
      <c r="AT12" s="8"/>
      <c r="AU12" s="8"/>
    </row>
    <row r="13" customFormat="false" ht="15" hidden="false" customHeight="true" outlineLevel="0" collapsed="false">
      <c r="A13" s="8" t="n">
        <v>12</v>
      </c>
      <c r="B13" s="8" t="n">
        <v>1</v>
      </c>
      <c r="C13" s="8" t="s">
        <v>285</v>
      </c>
      <c r="D13" s="8" t="s">
        <v>286</v>
      </c>
      <c r="E13" s="9" t="s">
        <v>287</v>
      </c>
      <c r="F13" s="9" t="s">
        <v>314</v>
      </c>
      <c r="G13" s="8" t="s">
        <v>301</v>
      </c>
      <c r="H13" s="8" t="s">
        <v>302</v>
      </c>
      <c r="I13" s="8" t="s">
        <v>291</v>
      </c>
      <c r="J13" s="8" t="s">
        <v>292</v>
      </c>
      <c r="K13" s="8" t="s">
        <v>293</v>
      </c>
      <c r="L13" s="9" t="s">
        <v>294</v>
      </c>
      <c r="M13" s="8"/>
      <c r="N13" s="8" t="str">
        <f aca="true">IF(M13="","Active (per Notice 1)",IF(M13&lt;TODAY(),"Expired",IF(M13&lt;TODAY()+180,"Expiring Soon","Active")))</f>
        <v>Active (per Notice 1)</v>
      </c>
      <c r="O13" s="10" t="s">
        <v>295</v>
      </c>
      <c r="P13" s="8" t="s">
        <v>296</v>
      </c>
      <c r="Q13" s="8" t="n">
        <v>3.74</v>
      </c>
      <c r="R13" s="8" t="n">
        <v>4</v>
      </c>
      <c r="S13" s="11" t="n">
        <v>45239</v>
      </c>
      <c r="T13" s="8" t="str">
        <f aca="true">IF(S13="","",IF(EDATE(S13,60)&lt;TODAY(),"Expired",IF(EDATE(S13,60)&lt;TODAY()+180,"Expiring Soon","Valid")))</f>
        <v>Valid</v>
      </c>
      <c r="U13" s="8" t="str">
        <f aca="false">IF(P13="","",IF(P13="A++","Top Tier",IF(P13="A+","High",IF(P13="A","Strong",IF(LEFT(P13,1)="B","Acceptable",IF(LEFT(P13,1)="C","Below Avg","-"))))))</f>
        <v>Top Tier</v>
      </c>
      <c r="AC13" s="8" t="n">
        <v>41</v>
      </c>
      <c r="AD13" s="8" t="n">
        <v>23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 t="n">
        <v>4</v>
      </c>
      <c r="AP13" s="8"/>
      <c r="AQ13" s="8"/>
      <c r="AR13" s="8"/>
      <c r="AS13" s="8"/>
      <c r="AT13" s="8"/>
      <c r="AU13" s="8"/>
    </row>
    <row r="14" customFormat="false" ht="15" hidden="false" customHeight="true" outlineLevel="0" collapsed="false">
      <c r="A14" s="8" t="n">
        <v>13</v>
      </c>
      <c r="B14" s="8" t="n">
        <v>2</v>
      </c>
      <c r="C14" s="8" t="s">
        <v>285</v>
      </c>
      <c r="D14" s="8" t="s">
        <v>315</v>
      </c>
      <c r="E14" s="9" t="s">
        <v>316</v>
      </c>
      <c r="F14" s="9" t="s">
        <v>317</v>
      </c>
      <c r="G14" s="8" t="s">
        <v>318</v>
      </c>
      <c r="H14" s="8" t="s">
        <v>290</v>
      </c>
      <c r="I14" s="8" t="s">
        <v>291</v>
      </c>
      <c r="J14" s="8" t="s">
        <v>292</v>
      </c>
      <c r="K14" s="8" t="s">
        <v>293</v>
      </c>
      <c r="L14" s="9" t="s">
        <v>294</v>
      </c>
      <c r="M14" s="8"/>
      <c r="N14" s="8" t="str">
        <f aca="true">IF(M14="","Active (per Notice 1)",IF(M14&lt;TODAY(),"Expired",IF(M14&lt;TODAY()+180,"Expiring Soon","Active")))</f>
        <v>Active (per Notice 1)</v>
      </c>
      <c r="O14" s="13" t="s">
        <v>292</v>
      </c>
      <c r="P14" s="8"/>
      <c r="Q14" s="8"/>
      <c r="AC14" s="8" t="n">
        <v>46</v>
      </c>
      <c r="AD14" s="8" t="n">
        <v>26</v>
      </c>
      <c r="AE14" s="8"/>
      <c r="AF14" s="8" t="n">
        <v>35</v>
      </c>
      <c r="AG14" s="8" t="n">
        <v>70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customFormat="false" ht="15" hidden="false" customHeight="true" outlineLevel="0" collapsed="false">
      <c r="A15" s="8" t="n">
        <v>14</v>
      </c>
      <c r="B15" s="8" t="n">
        <v>2</v>
      </c>
      <c r="C15" s="8" t="s">
        <v>285</v>
      </c>
      <c r="D15" s="8" t="s">
        <v>315</v>
      </c>
      <c r="E15" s="9" t="s">
        <v>316</v>
      </c>
      <c r="F15" s="9" t="s">
        <v>319</v>
      </c>
      <c r="G15" s="8" t="s">
        <v>320</v>
      </c>
      <c r="H15" s="8" t="s">
        <v>290</v>
      </c>
      <c r="I15" s="8" t="s">
        <v>291</v>
      </c>
      <c r="J15" s="8" t="s">
        <v>292</v>
      </c>
      <c r="K15" s="8" t="s">
        <v>293</v>
      </c>
      <c r="L15" s="9" t="s">
        <v>294</v>
      </c>
      <c r="M15" s="8"/>
      <c r="N15" s="8" t="str">
        <f aca="true">IF(M15="","Active (per Notice 1)",IF(M15&lt;TODAY(),"Expired",IF(M15&lt;TODAY()+180,"Expiring Soon","Active")))</f>
        <v>Active (per Notice 1)</v>
      </c>
      <c r="O15" s="13" t="s">
        <v>292</v>
      </c>
      <c r="P15" s="8"/>
      <c r="Q15" s="8"/>
      <c r="AC15" s="8" t="n">
        <v>46</v>
      </c>
      <c r="AD15" s="8" t="n">
        <v>26</v>
      </c>
      <c r="AE15" s="8"/>
      <c r="AF15" s="8" t="n">
        <v>35</v>
      </c>
      <c r="AG15" s="8" t="n">
        <v>70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customFormat="false" ht="15" hidden="false" customHeight="true" outlineLevel="0" collapsed="false">
      <c r="A16" s="8" t="n">
        <v>15</v>
      </c>
      <c r="B16" s="8" t="n">
        <v>2</v>
      </c>
      <c r="C16" s="8" t="s">
        <v>285</v>
      </c>
      <c r="D16" s="8" t="s">
        <v>315</v>
      </c>
      <c r="E16" s="9" t="s">
        <v>316</v>
      </c>
      <c r="F16" s="9" t="s">
        <v>321</v>
      </c>
      <c r="G16" s="8" t="s">
        <v>304</v>
      </c>
      <c r="H16" s="8" t="s">
        <v>302</v>
      </c>
      <c r="I16" s="8" t="s">
        <v>291</v>
      </c>
      <c r="J16" s="8" t="s">
        <v>292</v>
      </c>
      <c r="K16" s="8" t="s">
        <v>293</v>
      </c>
      <c r="L16" s="9" t="s">
        <v>294</v>
      </c>
      <c r="M16" s="8"/>
      <c r="N16" s="8" t="str">
        <f aca="true">IF(M16="","Active (per Notice 1)",IF(M16&lt;TODAY(),"Expired",IF(M16&lt;TODAY()+180,"Expiring Soon","Active")))</f>
        <v>Active (per Notice 1)</v>
      </c>
      <c r="O16" s="13" t="s">
        <v>292</v>
      </c>
      <c r="P16" s="8"/>
      <c r="Q16" s="8"/>
      <c r="AC16" s="8" t="n">
        <v>46</v>
      </c>
      <c r="AD16" s="8" t="n">
        <v>26</v>
      </c>
      <c r="AE16" s="8"/>
      <c r="AF16" s="8" t="n">
        <v>35</v>
      </c>
      <c r="AG16" s="8" t="n">
        <v>70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customFormat="false" ht="15" hidden="false" customHeight="true" outlineLevel="0" collapsed="false">
      <c r="A17" s="8" t="n">
        <v>16</v>
      </c>
      <c r="B17" s="8" t="n">
        <v>2</v>
      </c>
      <c r="C17" s="8" t="s">
        <v>285</v>
      </c>
      <c r="D17" s="8" t="s">
        <v>315</v>
      </c>
      <c r="E17" s="9" t="s">
        <v>316</v>
      </c>
      <c r="F17" s="9" t="s">
        <v>322</v>
      </c>
      <c r="G17" s="8" t="s">
        <v>304</v>
      </c>
      <c r="H17" s="8" t="s">
        <v>302</v>
      </c>
      <c r="I17" s="8" t="s">
        <v>291</v>
      </c>
      <c r="J17" s="8" t="s">
        <v>292</v>
      </c>
      <c r="K17" s="8" t="s">
        <v>293</v>
      </c>
      <c r="L17" s="9" t="s">
        <v>294</v>
      </c>
      <c r="M17" s="8"/>
      <c r="N17" s="8" t="str">
        <f aca="true">IF(M17="","Active (per Notice 1)",IF(M17&lt;TODAY(),"Expired",IF(M17&lt;TODAY()+180,"Expiring Soon","Active")))</f>
        <v>Active (per Notice 1)</v>
      </c>
      <c r="O17" s="13" t="s">
        <v>292</v>
      </c>
      <c r="P17" s="8"/>
      <c r="Q17" s="8"/>
      <c r="AC17" s="8" t="n">
        <v>46</v>
      </c>
      <c r="AD17" s="8" t="n">
        <v>26</v>
      </c>
      <c r="AE17" s="8"/>
      <c r="AF17" s="8" t="n">
        <v>35</v>
      </c>
      <c r="AG17" s="8" t="n">
        <v>70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customFormat="false" ht="15" hidden="false" customHeight="true" outlineLevel="0" collapsed="false">
      <c r="A18" s="8" t="n">
        <v>17</v>
      </c>
      <c r="B18" s="8" t="n">
        <v>2</v>
      </c>
      <c r="C18" s="8" t="s">
        <v>285</v>
      </c>
      <c r="D18" s="8" t="s">
        <v>315</v>
      </c>
      <c r="E18" s="9" t="s">
        <v>316</v>
      </c>
      <c r="F18" s="9" t="s">
        <v>323</v>
      </c>
      <c r="G18" s="8" t="s">
        <v>304</v>
      </c>
      <c r="H18" s="8" t="s">
        <v>302</v>
      </c>
      <c r="I18" s="8" t="s">
        <v>291</v>
      </c>
      <c r="J18" s="8" t="s">
        <v>292</v>
      </c>
      <c r="K18" s="8" t="s">
        <v>293</v>
      </c>
      <c r="L18" s="9" t="s">
        <v>294</v>
      </c>
      <c r="M18" s="8"/>
      <c r="N18" s="8" t="str">
        <f aca="true">IF(M18="","Active (per Notice 1)",IF(M18&lt;TODAY(),"Expired",IF(M18&lt;TODAY()+180,"Expiring Soon","Active")))</f>
        <v>Active (per Notice 1)</v>
      </c>
      <c r="O18" s="13" t="s">
        <v>292</v>
      </c>
      <c r="P18" s="8"/>
      <c r="Q18" s="8"/>
      <c r="AC18" s="8" t="n">
        <v>46</v>
      </c>
      <c r="AD18" s="8" t="n">
        <v>26</v>
      </c>
      <c r="AE18" s="8"/>
      <c r="AF18" s="8" t="n">
        <v>35</v>
      </c>
      <c r="AG18" s="8" t="n">
        <v>70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customFormat="false" ht="23.25" hidden="false" customHeight="true" outlineLevel="0" collapsed="false">
      <c r="A19" s="8" t="n">
        <v>18</v>
      </c>
      <c r="B19" s="8" t="n">
        <v>2</v>
      </c>
      <c r="C19" s="8" t="s">
        <v>285</v>
      </c>
      <c r="D19" s="8" t="s">
        <v>315</v>
      </c>
      <c r="E19" s="9" t="s">
        <v>316</v>
      </c>
      <c r="F19" s="9" t="s">
        <v>324</v>
      </c>
      <c r="G19" s="8" t="s">
        <v>304</v>
      </c>
      <c r="H19" s="8" t="s">
        <v>302</v>
      </c>
      <c r="I19" s="8" t="s">
        <v>291</v>
      </c>
      <c r="J19" s="8" t="s">
        <v>292</v>
      </c>
      <c r="K19" s="8" t="s">
        <v>293</v>
      </c>
      <c r="L19" s="9" t="s">
        <v>294</v>
      </c>
      <c r="M19" s="8"/>
      <c r="N19" s="8" t="str">
        <f aca="true">IF(M19="","Active (per Notice 1)",IF(M19&lt;TODAY(),"Expired",IF(M19&lt;TODAY()+180,"Expiring Soon","Active")))</f>
        <v>Active (per Notice 1)</v>
      </c>
      <c r="O19" s="13" t="s">
        <v>292</v>
      </c>
      <c r="P19" s="8"/>
      <c r="Q19" s="8"/>
      <c r="AC19" s="8" t="n">
        <v>46</v>
      </c>
      <c r="AD19" s="8" t="n">
        <v>26</v>
      </c>
      <c r="AE19" s="8"/>
      <c r="AF19" s="8" t="n">
        <v>35</v>
      </c>
      <c r="AG19" s="8" t="n">
        <v>70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customFormat="false" ht="15" hidden="false" customHeight="true" outlineLevel="0" collapsed="false">
      <c r="A20" s="8" t="n">
        <v>19</v>
      </c>
      <c r="B20" s="8" t="n">
        <v>2</v>
      </c>
      <c r="C20" s="8" t="s">
        <v>285</v>
      </c>
      <c r="D20" s="8" t="s">
        <v>315</v>
      </c>
      <c r="E20" s="9" t="s">
        <v>316</v>
      </c>
      <c r="F20" s="9" t="s">
        <v>303</v>
      </c>
      <c r="G20" s="8" t="s">
        <v>304</v>
      </c>
      <c r="H20" s="8" t="s">
        <v>302</v>
      </c>
      <c r="I20" s="8" t="s">
        <v>291</v>
      </c>
      <c r="J20" s="8" t="s">
        <v>292</v>
      </c>
      <c r="K20" s="8" t="s">
        <v>293</v>
      </c>
      <c r="L20" s="9" t="s">
        <v>294</v>
      </c>
      <c r="M20" s="8"/>
      <c r="N20" s="8" t="str">
        <f aca="true">IF(M20="","Active (per Notice 1)",IF(M20&lt;TODAY(),"Expired",IF(M20&lt;TODAY()+180,"Expiring Soon","Active")))</f>
        <v>Active (per Notice 1)</v>
      </c>
      <c r="O20" s="13" t="s">
        <v>292</v>
      </c>
      <c r="P20" s="8"/>
      <c r="Q20" s="8"/>
      <c r="AC20" s="8" t="n">
        <v>46</v>
      </c>
      <c r="AD20" s="8" t="n">
        <v>26</v>
      </c>
      <c r="AE20" s="8"/>
      <c r="AF20" s="8" t="n">
        <v>35</v>
      </c>
      <c r="AG20" s="8" t="n">
        <v>70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customFormat="false" ht="15" hidden="false" customHeight="true" outlineLevel="0" collapsed="false">
      <c r="A21" s="8" t="n">
        <v>20</v>
      </c>
      <c r="B21" s="8" t="n">
        <v>2</v>
      </c>
      <c r="C21" s="8" t="s">
        <v>285</v>
      </c>
      <c r="D21" s="8" t="s">
        <v>315</v>
      </c>
      <c r="E21" s="9" t="s">
        <v>316</v>
      </c>
      <c r="F21" s="9" t="s">
        <v>306</v>
      </c>
      <c r="G21" s="8" t="s">
        <v>307</v>
      </c>
      <c r="H21" s="8" t="s">
        <v>302</v>
      </c>
      <c r="I21" s="8" t="s">
        <v>291</v>
      </c>
      <c r="J21" s="8" t="s">
        <v>292</v>
      </c>
      <c r="K21" s="8" t="s">
        <v>293</v>
      </c>
      <c r="L21" s="9" t="s">
        <v>294</v>
      </c>
      <c r="M21" s="8"/>
      <c r="N21" s="8" t="str">
        <f aca="true">IF(M21="","Active (per Notice 1)",IF(M21&lt;TODAY(),"Expired",IF(M21&lt;TODAY()+180,"Expiring Soon","Active")))</f>
        <v>Active (per Notice 1)</v>
      </c>
      <c r="O21" s="13" t="s">
        <v>292</v>
      </c>
      <c r="P21" s="8"/>
      <c r="Q21" s="8"/>
      <c r="AC21" s="8" t="n">
        <v>46</v>
      </c>
      <c r="AD21" s="8" t="n">
        <v>26</v>
      </c>
      <c r="AE21" s="8"/>
      <c r="AF21" s="8" t="n">
        <v>35</v>
      </c>
      <c r="AG21" s="8" t="n">
        <v>70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customFormat="false" ht="23.25" hidden="false" customHeight="true" outlineLevel="0" collapsed="false">
      <c r="A22" s="8" t="n">
        <v>21</v>
      </c>
      <c r="B22" s="8" t="n">
        <v>3</v>
      </c>
      <c r="C22" s="8" t="s">
        <v>285</v>
      </c>
      <c r="D22" s="8" t="s">
        <v>315</v>
      </c>
      <c r="E22" s="9" t="s">
        <v>325</v>
      </c>
      <c r="F22" s="9" t="s">
        <v>326</v>
      </c>
      <c r="G22" s="8" t="s">
        <v>318</v>
      </c>
      <c r="H22" s="8" t="s">
        <v>290</v>
      </c>
      <c r="I22" s="8" t="s">
        <v>291</v>
      </c>
      <c r="J22" s="8" t="s">
        <v>292</v>
      </c>
      <c r="K22" s="8" t="s">
        <v>293</v>
      </c>
      <c r="L22" s="9" t="s">
        <v>294</v>
      </c>
      <c r="M22" s="8"/>
      <c r="N22" s="8" t="str">
        <f aca="true">IF(M22="","Active (per Notice 1)",IF(M22&lt;TODAY(),"Expired",IF(M22&lt;TODAY()+180,"Expiring Soon","Active")))</f>
        <v>Active (per Notice 1)</v>
      </c>
      <c r="O22" s="13" t="s">
        <v>292</v>
      </c>
      <c r="P22" s="8" t="s">
        <v>327</v>
      </c>
      <c r="Q22" s="8" t="n">
        <v>3.49</v>
      </c>
      <c r="R22" s="8" t="n">
        <v>2</v>
      </c>
      <c r="S22" s="11" t="n">
        <v>44495</v>
      </c>
      <c r="T22" s="8" t="str">
        <f aca="true">IF(S22="","",IF(EDATE(S22,60)&lt;TODAY(),"Expired",IF(EDATE(S22,60)&lt;TODAY()+180,"Expiring Soon","Valid")))</f>
        <v>Valid</v>
      </c>
      <c r="U22" s="8" t="str">
        <f aca="false">IF(P22="","",IF(P22="A++","Top Tier",IF(P22="A+","High",IF(P22="A","Strong",IF(LEFT(P22,1)="B","Acceptable",IF(LEFT(P22,1)="C","Below Avg","-"))))))</f>
        <v>High</v>
      </c>
      <c r="Y22" s="8" t="n">
        <v>4</v>
      </c>
      <c r="Z22" s="11" t="n">
        <v>46203</v>
      </c>
      <c r="AA22" s="8" t="s">
        <v>328</v>
      </c>
      <c r="AB22" s="8" t="s">
        <v>329</v>
      </c>
      <c r="AC22" s="8"/>
      <c r="AD22" s="8" t="n">
        <v>70</v>
      </c>
      <c r="AE22" s="8"/>
      <c r="AF22" s="8" t="n">
        <v>80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customFormat="false" ht="23.25" hidden="false" customHeight="true" outlineLevel="0" collapsed="false">
      <c r="A23" s="8" t="n">
        <v>22</v>
      </c>
      <c r="B23" s="8" t="n">
        <v>3</v>
      </c>
      <c r="C23" s="8" t="s">
        <v>285</v>
      </c>
      <c r="D23" s="8" t="s">
        <v>315</v>
      </c>
      <c r="E23" s="9" t="s">
        <v>325</v>
      </c>
      <c r="F23" s="9" t="s">
        <v>319</v>
      </c>
      <c r="G23" s="8" t="s">
        <v>320</v>
      </c>
      <c r="H23" s="8" t="s">
        <v>290</v>
      </c>
      <c r="I23" s="8" t="s">
        <v>291</v>
      </c>
      <c r="J23" s="8" t="s">
        <v>292</v>
      </c>
      <c r="K23" s="8" t="s">
        <v>293</v>
      </c>
      <c r="L23" s="9" t="s">
        <v>294</v>
      </c>
      <c r="M23" s="8"/>
      <c r="N23" s="8" t="str">
        <f aca="true">IF(M23="","Active (per Notice 1)",IF(M23&lt;TODAY(),"Expired",IF(M23&lt;TODAY()+180,"Expiring Soon","Active")))</f>
        <v>Active (per Notice 1)</v>
      </c>
      <c r="O23" s="13" t="s">
        <v>292</v>
      </c>
      <c r="P23" s="8" t="s">
        <v>327</v>
      </c>
      <c r="Q23" s="8" t="n">
        <v>3.49</v>
      </c>
      <c r="R23" s="8" t="n">
        <v>2</v>
      </c>
      <c r="S23" s="11" t="n">
        <v>44495</v>
      </c>
      <c r="T23" s="8" t="str">
        <f aca="true">IF(S23="","",IF(EDATE(S23,60)&lt;TODAY(),"Expired",IF(EDATE(S23,60)&lt;TODAY()+180,"Expiring Soon","Valid")))</f>
        <v>Valid</v>
      </c>
      <c r="U23" s="8" t="str">
        <f aca="false">IF(P23="","",IF(P23="A++","Top Tier",IF(P23="A+","High",IF(P23="A","Strong",IF(LEFT(P23,1)="B","Acceptable",IF(LEFT(P23,1)="C","Below Avg","-"))))))</f>
        <v>High</v>
      </c>
      <c r="Y23" s="8" t="n">
        <v>4</v>
      </c>
      <c r="Z23" s="11" t="n">
        <v>46203</v>
      </c>
      <c r="AA23" s="8" t="s">
        <v>328</v>
      </c>
      <c r="AB23" s="8" t="s">
        <v>329</v>
      </c>
      <c r="AC23" s="8"/>
      <c r="AD23" s="8" t="n">
        <v>70</v>
      </c>
      <c r="AE23" s="8"/>
      <c r="AF23" s="8" t="n">
        <v>80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customFormat="false" ht="23.25" hidden="false" customHeight="true" outlineLevel="0" collapsed="false">
      <c r="A24" s="8" t="n">
        <v>23</v>
      </c>
      <c r="B24" s="8" t="n">
        <v>3</v>
      </c>
      <c r="C24" s="8" t="s">
        <v>285</v>
      </c>
      <c r="D24" s="8" t="s">
        <v>315</v>
      </c>
      <c r="E24" s="9" t="s">
        <v>325</v>
      </c>
      <c r="F24" s="9" t="s">
        <v>330</v>
      </c>
      <c r="G24" s="8" t="s">
        <v>304</v>
      </c>
      <c r="H24" s="8" t="s">
        <v>302</v>
      </c>
      <c r="I24" s="8" t="s">
        <v>291</v>
      </c>
      <c r="J24" s="8" t="s">
        <v>292</v>
      </c>
      <c r="K24" s="8" t="s">
        <v>293</v>
      </c>
      <c r="L24" s="9" t="s">
        <v>294</v>
      </c>
      <c r="M24" s="8"/>
      <c r="N24" s="8" t="str">
        <f aca="true">IF(M24="","Active (per Notice 1)",IF(M24&lt;TODAY(),"Expired",IF(M24&lt;TODAY()+180,"Expiring Soon","Active")))</f>
        <v>Active (per Notice 1)</v>
      </c>
      <c r="O24" s="13" t="s">
        <v>292</v>
      </c>
      <c r="P24" s="8" t="s">
        <v>327</v>
      </c>
      <c r="Q24" s="8" t="n">
        <v>3.49</v>
      </c>
      <c r="R24" s="8" t="n">
        <v>2</v>
      </c>
      <c r="S24" s="11" t="n">
        <v>44495</v>
      </c>
      <c r="T24" s="8" t="str">
        <f aca="true">IF(S24="","",IF(EDATE(S24,60)&lt;TODAY(),"Expired",IF(EDATE(S24,60)&lt;TODAY()+180,"Expiring Soon","Valid")))</f>
        <v>Valid</v>
      </c>
      <c r="U24" s="8" t="str">
        <f aca="false">IF(P24="","",IF(P24="A++","Top Tier",IF(P24="A+","High",IF(P24="A","Strong",IF(LEFT(P24,1)="B","Acceptable",IF(LEFT(P24,1)="C","Below Avg","-"))))))</f>
        <v>High</v>
      </c>
      <c r="Y24" s="8" t="n">
        <v>4</v>
      </c>
      <c r="Z24" s="11" t="n">
        <v>46203</v>
      </c>
      <c r="AA24" s="8" t="s">
        <v>328</v>
      </c>
      <c r="AB24" s="8" t="s">
        <v>329</v>
      </c>
      <c r="AC24" s="8"/>
      <c r="AD24" s="8" t="n">
        <v>70</v>
      </c>
      <c r="AE24" s="8"/>
      <c r="AF24" s="8" t="n">
        <v>80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customFormat="false" ht="23.25" hidden="false" customHeight="true" outlineLevel="0" collapsed="false">
      <c r="A25" s="8" t="n">
        <v>24</v>
      </c>
      <c r="B25" s="8" t="n">
        <v>3</v>
      </c>
      <c r="C25" s="8" t="s">
        <v>285</v>
      </c>
      <c r="D25" s="8" t="s">
        <v>315</v>
      </c>
      <c r="E25" s="9" t="s">
        <v>325</v>
      </c>
      <c r="F25" s="9" t="s">
        <v>331</v>
      </c>
      <c r="G25" s="8" t="s">
        <v>304</v>
      </c>
      <c r="H25" s="8" t="s">
        <v>302</v>
      </c>
      <c r="I25" s="8" t="s">
        <v>291</v>
      </c>
      <c r="J25" s="8" t="s">
        <v>292</v>
      </c>
      <c r="K25" s="8" t="s">
        <v>293</v>
      </c>
      <c r="L25" s="9" t="s">
        <v>294</v>
      </c>
      <c r="M25" s="8"/>
      <c r="N25" s="8" t="str">
        <f aca="true">IF(M25="","Active (per Notice 1)",IF(M25&lt;TODAY(),"Expired",IF(M25&lt;TODAY()+180,"Expiring Soon","Active")))</f>
        <v>Active (per Notice 1)</v>
      </c>
      <c r="O25" s="13" t="s">
        <v>292</v>
      </c>
      <c r="P25" s="8" t="s">
        <v>327</v>
      </c>
      <c r="Q25" s="8" t="n">
        <v>3.49</v>
      </c>
      <c r="R25" s="8" t="n">
        <v>2</v>
      </c>
      <c r="S25" s="11" t="n">
        <v>44495</v>
      </c>
      <c r="T25" s="8" t="str">
        <f aca="true">IF(S25="","",IF(EDATE(S25,60)&lt;TODAY(),"Expired",IF(EDATE(S25,60)&lt;TODAY()+180,"Expiring Soon","Valid")))</f>
        <v>Valid</v>
      </c>
      <c r="U25" s="8" t="str">
        <f aca="false">IF(P25="","",IF(P25="A++","Top Tier",IF(P25="A+","High",IF(P25="A","Strong",IF(LEFT(P25,1)="B","Acceptable",IF(LEFT(P25,1)="C","Below Avg","-"))))))</f>
        <v>High</v>
      </c>
      <c r="Y25" s="8" t="n">
        <v>4</v>
      </c>
      <c r="Z25" s="11" t="n">
        <v>46203</v>
      </c>
      <c r="AA25" s="8" t="s">
        <v>328</v>
      </c>
      <c r="AB25" s="8" t="s">
        <v>329</v>
      </c>
      <c r="AC25" s="8"/>
      <c r="AD25" s="8" t="n">
        <v>70</v>
      </c>
      <c r="AE25" s="8"/>
      <c r="AF25" s="8" t="n">
        <v>80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customFormat="false" ht="23.25" hidden="false" customHeight="true" outlineLevel="0" collapsed="false">
      <c r="A26" s="8" t="n">
        <v>25</v>
      </c>
      <c r="B26" s="8" t="n">
        <v>3</v>
      </c>
      <c r="C26" s="8" t="s">
        <v>285</v>
      </c>
      <c r="D26" s="8" t="s">
        <v>315</v>
      </c>
      <c r="E26" s="9" t="s">
        <v>325</v>
      </c>
      <c r="F26" s="9" t="s">
        <v>332</v>
      </c>
      <c r="G26" s="8" t="s">
        <v>304</v>
      </c>
      <c r="H26" s="8" t="s">
        <v>302</v>
      </c>
      <c r="I26" s="8" t="s">
        <v>291</v>
      </c>
      <c r="J26" s="8" t="s">
        <v>292</v>
      </c>
      <c r="K26" s="8" t="s">
        <v>293</v>
      </c>
      <c r="L26" s="9" t="s">
        <v>294</v>
      </c>
      <c r="M26" s="8"/>
      <c r="N26" s="8" t="str">
        <f aca="true">IF(M26="","Active (per Notice 1)",IF(M26&lt;TODAY(),"Expired",IF(M26&lt;TODAY()+180,"Expiring Soon","Active")))</f>
        <v>Active (per Notice 1)</v>
      </c>
      <c r="O26" s="13" t="s">
        <v>292</v>
      </c>
      <c r="P26" s="8" t="s">
        <v>327</v>
      </c>
      <c r="Q26" s="8" t="n">
        <v>3.49</v>
      </c>
      <c r="R26" s="8" t="n">
        <v>2</v>
      </c>
      <c r="S26" s="11" t="n">
        <v>44495</v>
      </c>
      <c r="T26" s="8" t="str">
        <f aca="true">IF(S26="","",IF(EDATE(S26,60)&lt;TODAY(),"Expired",IF(EDATE(S26,60)&lt;TODAY()+180,"Expiring Soon","Valid")))</f>
        <v>Valid</v>
      </c>
      <c r="U26" s="8" t="str">
        <f aca="false">IF(P26="","",IF(P26="A++","Top Tier",IF(P26="A+","High",IF(P26="A","Strong",IF(LEFT(P26,1)="B","Acceptable",IF(LEFT(P26,1)="C","Below Avg","-"))))))</f>
        <v>High</v>
      </c>
      <c r="Y26" s="8" t="n">
        <v>4</v>
      </c>
      <c r="Z26" s="11" t="n">
        <v>46203</v>
      </c>
      <c r="AA26" s="8" t="s">
        <v>328</v>
      </c>
      <c r="AB26" s="8" t="s">
        <v>329</v>
      </c>
      <c r="AC26" s="8"/>
      <c r="AD26" s="8" t="n">
        <v>70</v>
      </c>
      <c r="AE26" s="8"/>
      <c r="AF26" s="8" t="n">
        <v>80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customFormat="false" ht="23.25" hidden="false" customHeight="true" outlineLevel="0" collapsed="false">
      <c r="A27" s="8" t="n">
        <v>26</v>
      </c>
      <c r="B27" s="8" t="n">
        <v>3</v>
      </c>
      <c r="C27" s="8" t="s">
        <v>285</v>
      </c>
      <c r="D27" s="8" t="s">
        <v>315</v>
      </c>
      <c r="E27" s="9" t="s">
        <v>325</v>
      </c>
      <c r="F27" s="9" t="s">
        <v>306</v>
      </c>
      <c r="G27" s="8" t="s">
        <v>307</v>
      </c>
      <c r="H27" s="8" t="s">
        <v>302</v>
      </c>
      <c r="I27" s="8" t="s">
        <v>291</v>
      </c>
      <c r="J27" s="8" t="s">
        <v>292</v>
      </c>
      <c r="K27" s="8" t="s">
        <v>293</v>
      </c>
      <c r="L27" s="9" t="s">
        <v>294</v>
      </c>
      <c r="M27" s="8"/>
      <c r="N27" s="8" t="str">
        <f aca="true">IF(M27="","Active (per Notice 1)",IF(M27&lt;TODAY(),"Expired",IF(M27&lt;TODAY()+180,"Expiring Soon","Active")))</f>
        <v>Active (per Notice 1)</v>
      </c>
      <c r="O27" s="13" t="s">
        <v>292</v>
      </c>
      <c r="P27" s="8" t="s">
        <v>327</v>
      </c>
      <c r="Q27" s="8" t="n">
        <v>3.49</v>
      </c>
      <c r="R27" s="8" t="n">
        <v>2</v>
      </c>
      <c r="S27" s="11" t="n">
        <v>44495</v>
      </c>
      <c r="T27" s="8" t="str">
        <f aca="true">IF(S27="","",IF(EDATE(S27,60)&lt;TODAY(),"Expired",IF(EDATE(S27,60)&lt;TODAY()+180,"Expiring Soon","Valid")))</f>
        <v>Valid</v>
      </c>
      <c r="U27" s="8" t="str">
        <f aca="false">IF(P27="","",IF(P27="A++","Top Tier",IF(P27="A+","High",IF(P27="A","Strong",IF(LEFT(P27,1)="B","Acceptable",IF(LEFT(P27,1)="C","Below Avg","-"))))))</f>
        <v>High</v>
      </c>
      <c r="Y27" s="8" t="n">
        <v>4</v>
      </c>
      <c r="Z27" s="11" t="n">
        <v>46203</v>
      </c>
      <c r="AA27" s="8" t="s">
        <v>328</v>
      </c>
      <c r="AB27" s="8" t="s">
        <v>329</v>
      </c>
      <c r="AC27" s="8"/>
      <c r="AD27" s="8" t="n">
        <v>70</v>
      </c>
      <c r="AE27" s="8"/>
      <c r="AF27" s="8" t="n">
        <v>80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customFormat="false" ht="15" hidden="false" customHeight="true" outlineLevel="0" collapsed="false">
      <c r="A28" s="8" t="n">
        <v>27</v>
      </c>
      <c r="B28" s="8" t="n">
        <v>4</v>
      </c>
      <c r="C28" s="8" t="s">
        <v>285</v>
      </c>
      <c r="D28" s="8" t="s">
        <v>333</v>
      </c>
      <c r="E28" s="9" t="s">
        <v>334</v>
      </c>
      <c r="F28" s="9" t="s">
        <v>299</v>
      </c>
      <c r="G28" s="8" t="s">
        <v>289</v>
      </c>
      <c r="H28" s="8" t="s">
        <v>290</v>
      </c>
      <c r="I28" s="8" t="s">
        <v>291</v>
      </c>
      <c r="J28" s="8" t="s">
        <v>292</v>
      </c>
      <c r="K28" s="8" t="s">
        <v>293</v>
      </c>
      <c r="L28" s="9" t="s">
        <v>294</v>
      </c>
      <c r="M28" s="8"/>
      <c r="N28" s="8" t="str">
        <f aca="true">IF(M28="","Active (per Notice 1)",IF(M28&lt;TODAY(),"Expired",IF(M28&lt;TODAY()+180,"Expiring Soon","Active")))</f>
        <v>Active (per Notice 1)</v>
      </c>
      <c r="O28" s="10" t="s">
        <v>295</v>
      </c>
      <c r="P28" s="8"/>
      <c r="Q28" s="8"/>
      <c r="AT28" s="8"/>
      <c r="AU28" s="8"/>
    </row>
    <row r="29" customFormat="false" ht="15" hidden="false" customHeight="true" outlineLevel="0" collapsed="false">
      <c r="A29" s="8" t="n">
        <v>28</v>
      </c>
      <c r="B29" s="8" t="n">
        <v>4</v>
      </c>
      <c r="C29" s="8" t="s">
        <v>285</v>
      </c>
      <c r="D29" s="8" t="s">
        <v>333</v>
      </c>
      <c r="E29" s="9" t="s">
        <v>334</v>
      </c>
      <c r="F29" s="9" t="s">
        <v>317</v>
      </c>
      <c r="G29" s="8" t="s">
        <v>318</v>
      </c>
      <c r="H29" s="8" t="s">
        <v>290</v>
      </c>
      <c r="I29" s="8" t="s">
        <v>291</v>
      </c>
      <c r="J29" s="8" t="s">
        <v>292</v>
      </c>
      <c r="K29" s="8" t="s">
        <v>293</v>
      </c>
      <c r="L29" s="9" t="s">
        <v>294</v>
      </c>
      <c r="M29" s="8"/>
      <c r="N29" s="8" t="str">
        <f aca="true">IF(M29="","Active (per Notice 1)",IF(M29&lt;TODAY(),"Expired",IF(M29&lt;TODAY()+180,"Expiring Soon","Active")))</f>
        <v>Active (per Notice 1)</v>
      </c>
      <c r="O29" s="12" t="s">
        <v>305</v>
      </c>
      <c r="P29" s="8"/>
      <c r="Q29" s="8"/>
      <c r="AT29" s="8"/>
      <c r="AU29" s="8"/>
    </row>
    <row r="30" customFormat="false" ht="15" hidden="false" customHeight="true" outlineLevel="0" collapsed="false">
      <c r="A30" s="8" t="n">
        <v>29</v>
      </c>
      <c r="B30" s="8" t="n">
        <v>4</v>
      </c>
      <c r="C30" s="8" t="s">
        <v>285</v>
      </c>
      <c r="D30" s="8" t="s">
        <v>333</v>
      </c>
      <c r="E30" s="9" t="s">
        <v>334</v>
      </c>
      <c r="F30" s="9" t="s">
        <v>319</v>
      </c>
      <c r="G30" s="8" t="s">
        <v>320</v>
      </c>
      <c r="H30" s="8" t="s">
        <v>290</v>
      </c>
      <c r="I30" s="8" t="s">
        <v>291</v>
      </c>
      <c r="J30" s="8" t="s">
        <v>292</v>
      </c>
      <c r="K30" s="8" t="s">
        <v>293</v>
      </c>
      <c r="L30" s="9" t="s">
        <v>294</v>
      </c>
      <c r="M30" s="8"/>
      <c r="N30" s="8" t="str">
        <f aca="true">IF(M30="","Active (per Notice 1)",IF(M30&lt;TODAY(),"Expired",IF(M30&lt;TODAY()+180,"Expiring Soon","Active")))</f>
        <v>Active (per Notice 1)</v>
      </c>
      <c r="O30" s="12" t="s">
        <v>305</v>
      </c>
      <c r="P30" s="8"/>
      <c r="Q30" s="8"/>
      <c r="AT30" s="8"/>
      <c r="AU30" s="8"/>
    </row>
    <row r="31" customFormat="false" ht="15" hidden="false" customHeight="true" outlineLevel="0" collapsed="false">
      <c r="A31" s="8" t="n">
        <v>30</v>
      </c>
      <c r="B31" s="8" t="n">
        <v>4</v>
      </c>
      <c r="C31" s="8" t="s">
        <v>285</v>
      </c>
      <c r="D31" s="8" t="s">
        <v>333</v>
      </c>
      <c r="E31" s="9" t="s">
        <v>334</v>
      </c>
      <c r="F31" s="9" t="s">
        <v>303</v>
      </c>
      <c r="G31" s="8" t="s">
        <v>304</v>
      </c>
      <c r="H31" s="8" t="s">
        <v>302</v>
      </c>
      <c r="I31" s="8" t="s">
        <v>291</v>
      </c>
      <c r="J31" s="8" t="s">
        <v>292</v>
      </c>
      <c r="K31" s="8" t="s">
        <v>293</v>
      </c>
      <c r="L31" s="9" t="s">
        <v>294</v>
      </c>
      <c r="M31" s="8"/>
      <c r="N31" s="8" t="str">
        <f aca="true">IF(M31="","Active (per Notice 1)",IF(M31&lt;TODAY(),"Expired",IF(M31&lt;TODAY()+180,"Expiring Soon","Active")))</f>
        <v>Active (per Notice 1)</v>
      </c>
      <c r="O31" s="12" t="s">
        <v>305</v>
      </c>
      <c r="P31" s="8"/>
      <c r="Q31" s="8"/>
      <c r="AT31" s="8"/>
      <c r="AU31" s="8"/>
    </row>
    <row r="32" customFormat="false" ht="15" hidden="false" customHeight="true" outlineLevel="0" collapsed="false">
      <c r="A32" s="8" t="n">
        <v>31</v>
      </c>
      <c r="B32" s="8" t="n">
        <v>4</v>
      </c>
      <c r="C32" s="8" t="s">
        <v>285</v>
      </c>
      <c r="D32" s="8" t="s">
        <v>333</v>
      </c>
      <c r="E32" s="9" t="s">
        <v>334</v>
      </c>
      <c r="F32" s="9" t="s">
        <v>306</v>
      </c>
      <c r="G32" s="8" t="s">
        <v>307</v>
      </c>
      <c r="H32" s="8" t="s">
        <v>302</v>
      </c>
      <c r="I32" s="8" t="s">
        <v>291</v>
      </c>
      <c r="J32" s="8" t="s">
        <v>292</v>
      </c>
      <c r="K32" s="8" t="s">
        <v>293</v>
      </c>
      <c r="L32" s="9" t="s">
        <v>294</v>
      </c>
      <c r="M32" s="8"/>
      <c r="N32" s="8" t="str">
        <f aca="true">IF(M32="","Active (per Notice 1)",IF(M32&lt;TODAY(),"Expired",IF(M32&lt;TODAY()+180,"Expiring Soon","Active")))</f>
        <v>Active (per Notice 1)</v>
      </c>
      <c r="O32" s="12" t="s">
        <v>305</v>
      </c>
      <c r="P32" s="8"/>
      <c r="Q32" s="8"/>
      <c r="AT32" s="8"/>
      <c r="AU32" s="8"/>
    </row>
    <row r="33" customFormat="false" ht="15" hidden="false" customHeight="true" outlineLevel="0" collapsed="false">
      <c r="A33" s="8" t="n">
        <v>32</v>
      </c>
      <c r="B33" s="8" t="n">
        <v>5</v>
      </c>
      <c r="C33" s="8" t="s">
        <v>335</v>
      </c>
      <c r="D33" s="8" t="s">
        <v>333</v>
      </c>
      <c r="E33" s="9" t="s">
        <v>336</v>
      </c>
      <c r="F33" s="9" t="s">
        <v>317</v>
      </c>
      <c r="G33" s="8" t="s">
        <v>318</v>
      </c>
      <c r="H33" s="8" t="s">
        <v>290</v>
      </c>
      <c r="I33" s="8" t="s">
        <v>291</v>
      </c>
      <c r="J33" s="8" t="s">
        <v>292</v>
      </c>
      <c r="K33" s="8" t="s">
        <v>293</v>
      </c>
      <c r="L33" s="9" t="s">
        <v>294</v>
      </c>
      <c r="M33" s="8"/>
      <c r="N33" s="8" t="str">
        <f aca="true">IF(M33="","Active (per Notice 1)",IF(M33&lt;TODAY(),"Expired",IF(M33&lt;TODAY()+180,"Expiring Soon","Active")))</f>
        <v>Active (per Notice 1)</v>
      </c>
      <c r="O33" s="12" t="s">
        <v>305</v>
      </c>
      <c r="P33" s="8" t="s">
        <v>327</v>
      </c>
      <c r="Q33" s="8" t="n">
        <v>3.34</v>
      </c>
      <c r="R33" s="8" t="n">
        <v>2</v>
      </c>
      <c r="S33" s="11" t="n">
        <v>45786</v>
      </c>
      <c r="T33" s="8" t="str">
        <f aca="true">IF(S33="","",IF(EDATE(S33,60)&lt;TODAY(),"Expired",IF(EDATE(S33,60)&lt;TODAY()+180,"Expiring Soon","Valid")))</f>
        <v>Valid</v>
      </c>
      <c r="U33" s="8" t="str">
        <f aca="false">IF(P33="","",IF(P33="A++","Top Tier",IF(P33="A+","High",IF(P33="A","Strong",IF(LEFT(P33,1)="B","Acceptable",IF(LEFT(P33,1)="C","Below Avg","-"))))))</f>
        <v>High</v>
      </c>
      <c r="AT33" s="8"/>
      <c r="AU33" s="8"/>
    </row>
    <row r="34" customFormat="false" ht="15" hidden="false" customHeight="true" outlineLevel="0" collapsed="false">
      <c r="A34" s="8" t="n">
        <v>33</v>
      </c>
      <c r="B34" s="8" t="n">
        <v>5</v>
      </c>
      <c r="C34" s="8" t="s">
        <v>335</v>
      </c>
      <c r="D34" s="8" t="s">
        <v>333</v>
      </c>
      <c r="E34" s="9" t="s">
        <v>336</v>
      </c>
      <c r="F34" s="9" t="s">
        <v>319</v>
      </c>
      <c r="G34" s="8" t="s">
        <v>320</v>
      </c>
      <c r="H34" s="8" t="s">
        <v>290</v>
      </c>
      <c r="I34" s="8" t="s">
        <v>291</v>
      </c>
      <c r="J34" s="8" t="s">
        <v>292</v>
      </c>
      <c r="K34" s="8" t="s">
        <v>293</v>
      </c>
      <c r="L34" s="9" t="s">
        <v>294</v>
      </c>
      <c r="M34" s="8"/>
      <c r="N34" s="8" t="str">
        <f aca="true">IF(M34="","Active (per Notice 1)",IF(M34&lt;TODAY(),"Expired",IF(M34&lt;TODAY()+180,"Expiring Soon","Active")))</f>
        <v>Active (per Notice 1)</v>
      </c>
      <c r="O34" s="12" t="s">
        <v>305</v>
      </c>
      <c r="P34" s="8" t="s">
        <v>327</v>
      </c>
      <c r="Q34" s="8" t="n">
        <v>3.34</v>
      </c>
      <c r="R34" s="8" t="n">
        <v>2</v>
      </c>
      <c r="S34" s="11" t="n">
        <v>45786</v>
      </c>
      <c r="T34" s="8" t="str">
        <f aca="true">IF(S34="","",IF(EDATE(S34,60)&lt;TODAY(),"Expired",IF(EDATE(S34,60)&lt;TODAY()+180,"Expiring Soon","Valid")))</f>
        <v>Valid</v>
      </c>
      <c r="U34" s="8" t="str">
        <f aca="false">IF(P34="","",IF(P34="A++","Top Tier",IF(P34="A+","High",IF(P34="A","Strong",IF(LEFT(P34,1)="B","Acceptable",IF(LEFT(P34,1)="C","Below Avg","-"))))))</f>
        <v>High</v>
      </c>
      <c r="AT34" s="8"/>
      <c r="AU34" s="8"/>
    </row>
    <row r="35" customFormat="false" ht="15" hidden="false" customHeight="true" outlineLevel="0" collapsed="false">
      <c r="A35" s="8" t="n">
        <v>34</v>
      </c>
      <c r="B35" s="8" t="n">
        <v>5</v>
      </c>
      <c r="C35" s="8" t="s">
        <v>335</v>
      </c>
      <c r="D35" s="8" t="s">
        <v>333</v>
      </c>
      <c r="E35" s="9" t="s">
        <v>336</v>
      </c>
      <c r="F35" s="9" t="s">
        <v>306</v>
      </c>
      <c r="G35" s="8" t="s">
        <v>307</v>
      </c>
      <c r="H35" s="8" t="s">
        <v>302</v>
      </c>
      <c r="I35" s="8" t="s">
        <v>291</v>
      </c>
      <c r="J35" s="8" t="s">
        <v>292</v>
      </c>
      <c r="K35" s="8" t="s">
        <v>293</v>
      </c>
      <c r="L35" s="9" t="s">
        <v>294</v>
      </c>
      <c r="M35" s="8"/>
      <c r="N35" s="8" t="str">
        <f aca="true">IF(M35="","Active (per Notice 1)",IF(M35&lt;TODAY(),"Expired",IF(M35&lt;TODAY()+180,"Expiring Soon","Active")))</f>
        <v>Active (per Notice 1)</v>
      </c>
      <c r="O35" s="12" t="s">
        <v>305</v>
      </c>
      <c r="P35" s="8" t="s">
        <v>327</v>
      </c>
      <c r="Q35" s="8" t="n">
        <v>3.34</v>
      </c>
      <c r="R35" s="8" t="n">
        <v>2</v>
      </c>
      <c r="S35" s="11" t="n">
        <v>45786</v>
      </c>
      <c r="T35" s="8" t="str">
        <f aca="true">IF(S35="","",IF(EDATE(S35,60)&lt;TODAY(),"Expired",IF(EDATE(S35,60)&lt;TODAY()+180,"Expiring Soon","Valid")))</f>
        <v>Valid</v>
      </c>
      <c r="U35" s="8" t="str">
        <f aca="false">IF(P35="","",IF(P35="A++","Top Tier",IF(P35="A+","High",IF(P35="A","Strong",IF(LEFT(P35,1)="B","Acceptable",IF(LEFT(P35,1)="C","Below Avg","-"))))))</f>
        <v>High</v>
      </c>
      <c r="AT35" s="8"/>
      <c r="AU35" s="8"/>
    </row>
    <row r="36" customFormat="false" ht="15" hidden="false" customHeight="true" outlineLevel="0" collapsed="false">
      <c r="A36" s="8" t="n">
        <v>35</v>
      </c>
      <c r="B36" s="8" t="n">
        <v>5</v>
      </c>
      <c r="C36" s="8" t="s">
        <v>335</v>
      </c>
      <c r="D36" s="8" t="s">
        <v>333</v>
      </c>
      <c r="E36" s="9" t="s">
        <v>336</v>
      </c>
      <c r="F36" s="9" t="s">
        <v>303</v>
      </c>
      <c r="G36" s="8" t="s">
        <v>304</v>
      </c>
      <c r="H36" s="8" t="s">
        <v>302</v>
      </c>
      <c r="I36" s="8" t="s">
        <v>291</v>
      </c>
      <c r="J36" s="8" t="s">
        <v>292</v>
      </c>
      <c r="K36" s="8" t="s">
        <v>293</v>
      </c>
      <c r="L36" s="9" t="s">
        <v>294</v>
      </c>
      <c r="M36" s="8"/>
      <c r="N36" s="8" t="str">
        <f aca="true">IF(M36="","Active (per Notice 1)",IF(M36&lt;TODAY(),"Expired",IF(M36&lt;TODAY()+180,"Expiring Soon","Active")))</f>
        <v>Active (per Notice 1)</v>
      </c>
      <c r="O36" s="12" t="s">
        <v>305</v>
      </c>
      <c r="P36" s="8" t="s">
        <v>327</v>
      </c>
      <c r="Q36" s="8" t="n">
        <v>3.34</v>
      </c>
      <c r="R36" s="8" t="n">
        <v>2</v>
      </c>
      <c r="S36" s="11" t="n">
        <v>45786</v>
      </c>
      <c r="T36" s="8" t="str">
        <f aca="true">IF(S36="","",IF(EDATE(S36,60)&lt;TODAY(),"Expired",IF(EDATE(S36,60)&lt;TODAY()+180,"Expiring Soon","Valid")))</f>
        <v>Valid</v>
      </c>
      <c r="U36" s="8" t="str">
        <f aca="false">IF(P36="","",IF(P36="A++","Top Tier",IF(P36="A+","High",IF(P36="A","Strong",IF(LEFT(P36,1)="B","Acceptable",IF(LEFT(P36,1)="C","Below Avg","-"))))))</f>
        <v>High</v>
      </c>
      <c r="AT36" s="8"/>
      <c r="AU36" s="8"/>
    </row>
    <row r="37" customFormat="false" ht="15" hidden="false" customHeight="true" outlineLevel="0" collapsed="false">
      <c r="A37" s="8" t="n">
        <v>36</v>
      </c>
      <c r="B37" s="8" t="n">
        <v>6</v>
      </c>
      <c r="C37" s="8" t="s">
        <v>337</v>
      </c>
      <c r="D37" s="8" t="s">
        <v>338</v>
      </c>
      <c r="E37" s="9" t="s">
        <v>339</v>
      </c>
      <c r="F37" s="9" t="s">
        <v>319</v>
      </c>
      <c r="G37" s="8" t="s">
        <v>320</v>
      </c>
      <c r="H37" s="8" t="s">
        <v>290</v>
      </c>
      <c r="I37" s="8" t="s">
        <v>291</v>
      </c>
      <c r="J37" s="8" t="s">
        <v>292</v>
      </c>
      <c r="K37" s="8" t="s">
        <v>293</v>
      </c>
      <c r="L37" s="9" t="s">
        <v>294</v>
      </c>
      <c r="M37" s="8"/>
      <c r="N37" s="8" t="str">
        <f aca="true">IF(M37="","Active (per Notice 1)",IF(M37&lt;TODAY(),"Expired",IF(M37&lt;TODAY()+180,"Expiring Soon","Active")))</f>
        <v>Active (per Notice 1)</v>
      </c>
      <c r="O37" s="12" t="s">
        <v>305</v>
      </c>
      <c r="P37" s="8" t="s">
        <v>296</v>
      </c>
      <c r="Q37" s="8" t="n">
        <v>3.62</v>
      </c>
      <c r="R37" s="8" t="n">
        <v>2</v>
      </c>
      <c r="S37" s="11" t="n">
        <v>45407</v>
      </c>
      <c r="T37" s="8" t="str">
        <f aca="true">IF(S37="","",IF(EDATE(S37,60)&lt;TODAY(),"Expired",IF(EDATE(S37,60)&lt;TODAY()+180,"Expiring Soon","Valid")))</f>
        <v>Valid</v>
      </c>
      <c r="U37" s="8" t="str">
        <f aca="false">IF(P37="","",IF(P37="A++","Top Tier",IF(P37="A+","High",IF(P37="A","Strong",IF(LEFT(P37,1)="B","Acceptable",IF(LEFT(P37,1)="C","Below Avg","-"))))))</f>
        <v>Top Tier</v>
      </c>
      <c r="AC37" s="8"/>
      <c r="AD37" s="8"/>
      <c r="AE37" s="8"/>
      <c r="AF37" s="8"/>
      <c r="AG37" s="8"/>
      <c r="AH37" s="8" t="n">
        <v>47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customFormat="false" ht="15" hidden="false" customHeight="true" outlineLevel="0" collapsed="false">
      <c r="A38" s="8" t="n">
        <v>37</v>
      </c>
      <c r="B38" s="8" t="n">
        <v>6</v>
      </c>
      <c r="C38" s="8" t="s">
        <v>337</v>
      </c>
      <c r="D38" s="8" t="s">
        <v>338</v>
      </c>
      <c r="E38" s="9" t="s">
        <v>339</v>
      </c>
      <c r="F38" s="9" t="s">
        <v>340</v>
      </c>
      <c r="G38" s="8" t="s">
        <v>289</v>
      </c>
      <c r="H38" s="8" t="s">
        <v>290</v>
      </c>
      <c r="I38" s="8" t="s">
        <v>291</v>
      </c>
      <c r="J38" s="8" t="s">
        <v>292</v>
      </c>
      <c r="K38" s="8" t="s">
        <v>293</v>
      </c>
      <c r="L38" s="9" t="s">
        <v>294</v>
      </c>
      <c r="M38" s="8"/>
      <c r="N38" s="8" t="str">
        <f aca="true">IF(M38="","Active (per Notice 1)",IF(M38&lt;TODAY(),"Expired",IF(M38&lt;TODAY()+180,"Expiring Soon","Active")))</f>
        <v>Active (per Notice 1)</v>
      </c>
      <c r="O38" s="10" t="s">
        <v>295</v>
      </c>
      <c r="P38" s="8" t="s">
        <v>296</v>
      </c>
      <c r="Q38" s="8" t="n">
        <v>3.62</v>
      </c>
      <c r="R38" s="8" t="n">
        <v>2</v>
      </c>
      <c r="S38" s="11" t="n">
        <v>45407</v>
      </c>
      <c r="T38" s="8" t="str">
        <f aca="true">IF(S38="","",IF(EDATE(S38,60)&lt;TODAY(),"Expired",IF(EDATE(S38,60)&lt;TODAY()+180,"Expiring Soon","Valid")))</f>
        <v>Valid</v>
      </c>
      <c r="U38" s="8" t="str">
        <f aca="false">IF(P38="","",IF(P38="A++","Top Tier",IF(P38="A+","High",IF(P38="A","Strong",IF(LEFT(P38,1)="B","Acceptable",IF(LEFT(P38,1)="C","Below Avg","-"))))))</f>
        <v>Top Tier</v>
      </c>
      <c r="AC38" s="8"/>
      <c r="AD38" s="8"/>
      <c r="AE38" s="8"/>
      <c r="AF38" s="8"/>
      <c r="AG38" s="8"/>
      <c r="AH38" s="8" t="n">
        <v>47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customFormat="false" ht="15" hidden="false" customHeight="true" outlineLevel="0" collapsed="false">
      <c r="A39" s="8" t="n">
        <v>38</v>
      </c>
      <c r="B39" s="8" t="n">
        <v>6</v>
      </c>
      <c r="C39" s="8" t="s">
        <v>337</v>
      </c>
      <c r="D39" s="8" t="s">
        <v>338</v>
      </c>
      <c r="E39" s="9" t="s">
        <v>339</v>
      </c>
      <c r="F39" s="9" t="s">
        <v>341</v>
      </c>
      <c r="G39" s="8" t="s">
        <v>342</v>
      </c>
      <c r="H39" s="8" t="s">
        <v>290</v>
      </c>
      <c r="I39" s="8" t="s">
        <v>291</v>
      </c>
      <c r="J39" s="8" t="s">
        <v>292</v>
      </c>
      <c r="K39" s="8" t="s">
        <v>293</v>
      </c>
      <c r="L39" s="9" t="s">
        <v>294</v>
      </c>
      <c r="M39" s="8"/>
      <c r="N39" s="8" t="str">
        <f aca="true">IF(M39="","Active (per Notice 1)",IF(M39&lt;TODAY(),"Expired",IF(M39&lt;TODAY()+180,"Expiring Soon","Active")))</f>
        <v>Active (per Notice 1)</v>
      </c>
      <c r="O39" s="10" t="s">
        <v>295</v>
      </c>
      <c r="P39" s="8" t="s">
        <v>296</v>
      </c>
      <c r="Q39" s="8" t="n">
        <v>3.62</v>
      </c>
      <c r="R39" s="8" t="n">
        <v>2</v>
      </c>
      <c r="S39" s="11" t="n">
        <v>45407</v>
      </c>
      <c r="T39" s="8" t="str">
        <f aca="true">IF(S39="","",IF(EDATE(S39,60)&lt;TODAY(),"Expired",IF(EDATE(S39,60)&lt;TODAY()+180,"Expiring Soon","Valid")))</f>
        <v>Valid</v>
      </c>
      <c r="U39" s="8" t="str">
        <f aca="false">IF(P39="","",IF(P39="A++","Top Tier",IF(P39="A+","High",IF(P39="A","Strong",IF(LEFT(P39,1)="B","Acceptable",IF(LEFT(P39,1)="C","Below Avg","-"))))))</f>
        <v>Top Tier</v>
      </c>
      <c r="AC39" s="8"/>
      <c r="AD39" s="8"/>
      <c r="AE39" s="8"/>
      <c r="AF39" s="8"/>
      <c r="AG39" s="8"/>
      <c r="AH39" s="8" t="n">
        <v>47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customFormat="false" ht="15" hidden="false" customHeight="true" outlineLevel="0" collapsed="false">
      <c r="A40" s="8" t="n">
        <v>39</v>
      </c>
      <c r="B40" s="8" t="n">
        <v>6</v>
      </c>
      <c r="C40" s="8" t="s">
        <v>337</v>
      </c>
      <c r="D40" s="8" t="s">
        <v>338</v>
      </c>
      <c r="E40" s="9" t="s">
        <v>339</v>
      </c>
      <c r="F40" s="9" t="s">
        <v>343</v>
      </c>
      <c r="G40" s="8" t="s">
        <v>344</v>
      </c>
      <c r="H40" s="8" t="s">
        <v>302</v>
      </c>
      <c r="I40" s="8" t="s">
        <v>291</v>
      </c>
      <c r="J40" s="8" t="s">
        <v>292</v>
      </c>
      <c r="K40" s="8" t="s">
        <v>293</v>
      </c>
      <c r="L40" s="9" t="s">
        <v>294</v>
      </c>
      <c r="M40" s="8"/>
      <c r="N40" s="8" t="str">
        <f aca="true">IF(M40="","Active (per Notice 1)",IF(M40&lt;TODAY(),"Expired",IF(M40&lt;TODAY()+180,"Expiring Soon","Active")))</f>
        <v>Active (per Notice 1)</v>
      </c>
      <c r="O40" s="10" t="s">
        <v>295</v>
      </c>
      <c r="P40" s="8" t="s">
        <v>296</v>
      </c>
      <c r="Q40" s="8" t="n">
        <v>3.62</v>
      </c>
      <c r="R40" s="8" t="n">
        <v>2</v>
      </c>
      <c r="S40" s="11" t="n">
        <v>45407</v>
      </c>
      <c r="T40" s="8" t="str">
        <f aca="true">IF(S40="","",IF(EDATE(S40,60)&lt;TODAY(),"Expired",IF(EDATE(S40,60)&lt;TODAY()+180,"Expiring Soon","Valid")))</f>
        <v>Valid</v>
      </c>
      <c r="U40" s="8" t="str">
        <f aca="false">IF(P40="","",IF(P40="A++","Top Tier",IF(P40="A+","High",IF(P40="A","Strong",IF(LEFT(P40,1)="B","Acceptable",IF(LEFT(P40,1)="C","Below Avg","-"))))))</f>
        <v>Top Tier</v>
      </c>
      <c r="AC40" s="8"/>
      <c r="AD40" s="8"/>
      <c r="AE40" s="8"/>
      <c r="AF40" s="8"/>
      <c r="AG40" s="8"/>
      <c r="AH40" s="8" t="n">
        <v>47</v>
      </c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customFormat="false" ht="15" hidden="false" customHeight="true" outlineLevel="0" collapsed="false">
      <c r="A41" s="8" t="n">
        <v>40</v>
      </c>
      <c r="B41" s="8" t="n">
        <v>6</v>
      </c>
      <c r="C41" s="8" t="s">
        <v>337</v>
      </c>
      <c r="D41" s="8" t="s">
        <v>338</v>
      </c>
      <c r="E41" s="9" t="s">
        <v>339</v>
      </c>
      <c r="F41" s="9" t="s">
        <v>345</v>
      </c>
      <c r="G41" s="8" t="s">
        <v>346</v>
      </c>
      <c r="H41" s="8" t="s">
        <v>302</v>
      </c>
      <c r="I41" s="8" t="s">
        <v>291</v>
      </c>
      <c r="J41" s="8" t="s">
        <v>292</v>
      </c>
      <c r="K41" s="8" t="s">
        <v>293</v>
      </c>
      <c r="L41" s="9" t="s">
        <v>294</v>
      </c>
      <c r="M41" s="8"/>
      <c r="N41" s="8" t="str">
        <f aca="true">IF(M41="","Active (per Notice 1)",IF(M41&lt;TODAY(),"Expired",IF(M41&lt;TODAY()+180,"Expiring Soon","Active")))</f>
        <v>Active (per Notice 1)</v>
      </c>
      <c r="O41" s="10" t="s">
        <v>295</v>
      </c>
      <c r="P41" s="8" t="s">
        <v>296</v>
      </c>
      <c r="Q41" s="8" t="n">
        <v>3.62</v>
      </c>
      <c r="R41" s="8" t="n">
        <v>2</v>
      </c>
      <c r="S41" s="11" t="n">
        <v>45407</v>
      </c>
      <c r="T41" s="8" t="str">
        <f aca="true">IF(S41="","",IF(EDATE(S41,60)&lt;TODAY(),"Expired",IF(EDATE(S41,60)&lt;TODAY()+180,"Expiring Soon","Valid")))</f>
        <v>Valid</v>
      </c>
      <c r="U41" s="8" t="str">
        <f aca="false">IF(P41="","",IF(P41="A++","Top Tier",IF(P41="A+","High",IF(P41="A","Strong",IF(LEFT(P41,1)="B","Acceptable",IF(LEFT(P41,1)="C","Below Avg","-"))))))</f>
        <v>Top Tier</v>
      </c>
      <c r="AC41" s="8"/>
      <c r="AD41" s="8"/>
      <c r="AE41" s="8"/>
      <c r="AF41" s="8"/>
      <c r="AG41" s="8"/>
      <c r="AH41" s="8" t="n">
        <v>47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customFormat="false" ht="15" hidden="false" customHeight="true" outlineLevel="0" collapsed="false">
      <c r="A42" s="8" t="n">
        <v>41</v>
      </c>
      <c r="B42" s="8" t="n">
        <v>6</v>
      </c>
      <c r="C42" s="8" t="s">
        <v>337</v>
      </c>
      <c r="D42" s="8" t="s">
        <v>338</v>
      </c>
      <c r="E42" s="9" t="s">
        <v>339</v>
      </c>
      <c r="F42" s="9" t="s">
        <v>308</v>
      </c>
      <c r="G42" s="8" t="s">
        <v>309</v>
      </c>
      <c r="H42" s="8" t="s">
        <v>302</v>
      </c>
      <c r="I42" s="8" t="s">
        <v>291</v>
      </c>
      <c r="J42" s="8" t="s">
        <v>292</v>
      </c>
      <c r="K42" s="8" t="s">
        <v>293</v>
      </c>
      <c r="L42" s="9" t="s">
        <v>294</v>
      </c>
      <c r="M42" s="8"/>
      <c r="N42" s="8" t="str">
        <f aca="true">IF(M42="","Active (per Notice 1)",IF(M42&lt;TODAY(),"Expired",IF(M42&lt;TODAY()+180,"Expiring Soon","Active")))</f>
        <v>Active (per Notice 1)</v>
      </c>
      <c r="O42" s="10" t="s">
        <v>295</v>
      </c>
      <c r="P42" s="8" t="s">
        <v>296</v>
      </c>
      <c r="Q42" s="8" t="n">
        <v>3.62</v>
      </c>
      <c r="R42" s="8" t="n">
        <v>2</v>
      </c>
      <c r="S42" s="11" t="n">
        <v>45407</v>
      </c>
      <c r="T42" s="8" t="str">
        <f aca="true">IF(S42="","",IF(EDATE(S42,60)&lt;TODAY(),"Expired",IF(EDATE(S42,60)&lt;TODAY()+180,"Expiring Soon","Valid")))</f>
        <v>Valid</v>
      </c>
      <c r="U42" s="8" t="str">
        <f aca="false">IF(P42="","",IF(P42="A++","Top Tier",IF(P42="A+","High",IF(P42="A","Strong",IF(LEFT(P42,1)="B","Acceptable",IF(LEFT(P42,1)="C","Below Avg","-"))))))</f>
        <v>Top Tier</v>
      </c>
      <c r="AC42" s="8"/>
      <c r="AD42" s="8"/>
      <c r="AE42" s="8"/>
      <c r="AF42" s="8"/>
      <c r="AG42" s="8"/>
      <c r="AH42" s="8" t="n">
        <v>47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customFormat="false" ht="15" hidden="false" customHeight="true" outlineLevel="0" collapsed="false">
      <c r="A43" s="8" t="n">
        <v>42</v>
      </c>
      <c r="B43" s="8" t="n">
        <v>6</v>
      </c>
      <c r="C43" s="8" t="s">
        <v>337</v>
      </c>
      <c r="D43" s="8" t="s">
        <v>338</v>
      </c>
      <c r="E43" s="9" t="s">
        <v>339</v>
      </c>
      <c r="F43" s="9" t="s">
        <v>310</v>
      </c>
      <c r="G43" s="8" t="s">
        <v>301</v>
      </c>
      <c r="H43" s="8" t="s">
        <v>302</v>
      </c>
      <c r="I43" s="8" t="s">
        <v>291</v>
      </c>
      <c r="J43" s="8" t="s">
        <v>292</v>
      </c>
      <c r="K43" s="8" t="s">
        <v>293</v>
      </c>
      <c r="L43" s="9" t="s">
        <v>294</v>
      </c>
      <c r="M43" s="8"/>
      <c r="N43" s="8" t="str">
        <f aca="true">IF(M43="","Active (per Notice 1)",IF(M43&lt;TODAY(),"Expired",IF(M43&lt;TODAY()+180,"Expiring Soon","Active")))</f>
        <v>Active (per Notice 1)</v>
      </c>
      <c r="O43" s="10" t="s">
        <v>295</v>
      </c>
      <c r="P43" s="8" t="s">
        <v>296</v>
      </c>
      <c r="Q43" s="8" t="n">
        <v>3.62</v>
      </c>
      <c r="R43" s="8" t="n">
        <v>2</v>
      </c>
      <c r="S43" s="11" t="n">
        <v>45407</v>
      </c>
      <c r="T43" s="8" t="str">
        <f aca="true">IF(S43="","",IF(EDATE(S43,60)&lt;TODAY(),"Expired",IF(EDATE(S43,60)&lt;TODAY()+180,"Expiring Soon","Valid")))</f>
        <v>Valid</v>
      </c>
      <c r="U43" s="8" t="str">
        <f aca="false">IF(P43="","",IF(P43="A++","Top Tier",IF(P43="A+","High",IF(P43="A","Strong",IF(LEFT(P43,1)="B","Acceptable",IF(LEFT(P43,1)="C","Below Avg","-"))))))</f>
        <v>Top Tier</v>
      </c>
      <c r="AC43" s="8"/>
      <c r="AD43" s="8"/>
      <c r="AE43" s="8"/>
      <c r="AF43" s="8"/>
      <c r="AG43" s="8"/>
      <c r="AH43" s="8" t="n">
        <v>47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customFormat="false" ht="15" hidden="false" customHeight="true" outlineLevel="0" collapsed="false">
      <c r="A44" s="8" t="n">
        <v>43</v>
      </c>
      <c r="B44" s="8" t="n">
        <v>6</v>
      </c>
      <c r="C44" s="8" t="s">
        <v>337</v>
      </c>
      <c r="D44" s="8" t="s">
        <v>338</v>
      </c>
      <c r="E44" s="9" t="s">
        <v>339</v>
      </c>
      <c r="F44" s="9" t="s">
        <v>311</v>
      </c>
      <c r="G44" s="8" t="s">
        <v>301</v>
      </c>
      <c r="H44" s="8" t="s">
        <v>302</v>
      </c>
      <c r="I44" s="8" t="s">
        <v>291</v>
      </c>
      <c r="J44" s="8" t="s">
        <v>292</v>
      </c>
      <c r="K44" s="8" t="s">
        <v>293</v>
      </c>
      <c r="L44" s="9" t="s">
        <v>294</v>
      </c>
      <c r="M44" s="8"/>
      <c r="N44" s="8" t="str">
        <f aca="true">IF(M44="","Active (per Notice 1)",IF(M44&lt;TODAY(),"Expired",IF(M44&lt;TODAY()+180,"Expiring Soon","Active")))</f>
        <v>Active (per Notice 1)</v>
      </c>
      <c r="O44" s="10" t="s">
        <v>295</v>
      </c>
      <c r="P44" s="8" t="s">
        <v>296</v>
      </c>
      <c r="Q44" s="8" t="n">
        <v>3.62</v>
      </c>
      <c r="R44" s="8" t="n">
        <v>2</v>
      </c>
      <c r="S44" s="11" t="n">
        <v>45407</v>
      </c>
      <c r="T44" s="8" t="str">
        <f aca="true">IF(S44="","",IF(EDATE(S44,60)&lt;TODAY(),"Expired",IF(EDATE(S44,60)&lt;TODAY()+180,"Expiring Soon","Valid")))</f>
        <v>Valid</v>
      </c>
      <c r="U44" s="8" t="str">
        <f aca="false">IF(P44="","",IF(P44="A++","Top Tier",IF(P44="A+","High",IF(P44="A","Strong",IF(LEFT(P44,1)="B","Acceptable",IF(LEFT(P44,1)="C","Below Avg","-"))))))</f>
        <v>Top Tier</v>
      </c>
      <c r="AC44" s="8"/>
      <c r="AD44" s="8"/>
      <c r="AE44" s="8"/>
      <c r="AF44" s="8"/>
      <c r="AG44" s="8"/>
      <c r="AH44" s="8" t="n">
        <v>47</v>
      </c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customFormat="false" ht="15" hidden="false" customHeight="true" outlineLevel="0" collapsed="false">
      <c r="A45" s="8" t="n">
        <v>44</v>
      </c>
      <c r="B45" s="8" t="n">
        <v>6</v>
      </c>
      <c r="C45" s="8" t="s">
        <v>337</v>
      </c>
      <c r="D45" s="8" t="s">
        <v>338</v>
      </c>
      <c r="E45" s="9" t="s">
        <v>339</v>
      </c>
      <c r="F45" s="9" t="s">
        <v>347</v>
      </c>
      <c r="G45" s="8" t="s">
        <v>301</v>
      </c>
      <c r="H45" s="8" t="s">
        <v>302</v>
      </c>
      <c r="I45" s="8" t="s">
        <v>291</v>
      </c>
      <c r="J45" s="8" t="s">
        <v>292</v>
      </c>
      <c r="K45" s="8" t="s">
        <v>293</v>
      </c>
      <c r="L45" s="9" t="s">
        <v>294</v>
      </c>
      <c r="M45" s="8"/>
      <c r="N45" s="8" t="str">
        <f aca="true">IF(M45="","Active (per Notice 1)",IF(M45&lt;TODAY(),"Expired",IF(M45&lt;TODAY()+180,"Expiring Soon","Active")))</f>
        <v>Active (per Notice 1)</v>
      </c>
      <c r="O45" s="10" t="s">
        <v>295</v>
      </c>
      <c r="P45" s="8" t="s">
        <v>296</v>
      </c>
      <c r="Q45" s="8" t="n">
        <v>3.62</v>
      </c>
      <c r="R45" s="8" t="n">
        <v>2</v>
      </c>
      <c r="S45" s="11" t="n">
        <v>45407</v>
      </c>
      <c r="T45" s="8" t="str">
        <f aca="true">IF(S45="","",IF(EDATE(S45,60)&lt;TODAY(),"Expired",IF(EDATE(S45,60)&lt;TODAY()+180,"Expiring Soon","Valid")))</f>
        <v>Valid</v>
      </c>
      <c r="U45" s="8" t="str">
        <f aca="false">IF(P45="","",IF(P45="A++","Top Tier",IF(P45="A+","High",IF(P45="A","Strong",IF(LEFT(P45,1)="B","Acceptable",IF(LEFT(P45,1)="C","Below Avg","-"))))))</f>
        <v>Top Tier</v>
      </c>
      <c r="AC45" s="8"/>
      <c r="AD45" s="8"/>
      <c r="AE45" s="8"/>
      <c r="AF45" s="8"/>
      <c r="AG45" s="8"/>
      <c r="AH45" s="8" t="n">
        <v>47</v>
      </c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customFormat="false" ht="15" hidden="false" customHeight="true" outlineLevel="0" collapsed="false">
      <c r="A46" s="8" t="n">
        <v>45</v>
      </c>
      <c r="B46" s="8" t="n">
        <v>6</v>
      </c>
      <c r="C46" s="8" t="s">
        <v>337</v>
      </c>
      <c r="D46" s="8" t="s">
        <v>338</v>
      </c>
      <c r="E46" s="9" t="s">
        <v>339</v>
      </c>
      <c r="F46" s="9" t="s">
        <v>314</v>
      </c>
      <c r="G46" s="8" t="s">
        <v>301</v>
      </c>
      <c r="H46" s="8" t="s">
        <v>302</v>
      </c>
      <c r="I46" s="8" t="s">
        <v>291</v>
      </c>
      <c r="J46" s="8" t="s">
        <v>292</v>
      </c>
      <c r="K46" s="8" t="s">
        <v>293</v>
      </c>
      <c r="L46" s="9" t="s">
        <v>294</v>
      </c>
      <c r="M46" s="8"/>
      <c r="N46" s="8" t="str">
        <f aca="true">IF(M46="","Active (per Notice 1)",IF(M46&lt;TODAY(),"Expired",IF(M46&lt;TODAY()+180,"Expiring Soon","Active")))</f>
        <v>Active (per Notice 1)</v>
      </c>
      <c r="O46" s="10" t="s">
        <v>295</v>
      </c>
      <c r="P46" s="8" t="s">
        <v>296</v>
      </c>
      <c r="Q46" s="8" t="n">
        <v>3.62</v>
      </c>
      <c r="R46" s="8" t="n">
        <v>2</v>
      </c>
      <c r="S46" s="11" t="n">
        <v>45407</v>
      </c>
      <c r="T46" s="8" t="str">
        <f aca="true">IF(S46="","",IF(EDATE(S46,60)&lt;TODAY(),"Expired",IF(EDATE(S46,60)&lt;TODAY()+180,"Expiring Soon","Valid")))</f>
        <v>Valid</v>
      </c>
      <c r="U46" s="8" t="str">
        <f aca="false">IF(P46="","",IF(P46="A++","Top Tier",IF(P46="A+","High",IF(P46="A","Strong",IF(LEFT(P46,1)="B","Acceptable",IF(LEFT(P46,1)="C","Below Avg","-"))))))</f>
        <v>Top Tier</v>
      </c>
      <c r="AC46" s="8"/>
      <c r="AD46" s="8"/>
      <c r="AE46" s="8"/>
      <c r="AF46" s="8"/>
      <c r="AG46" s="8"/>
      <c r="AH46" s="8" t="n">
        <v>47</v>
      </c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customFormat="false" ht="15" hidden="false" customHeight="true" outlineLevel="0" collapsed="false">
      <c r="A47" s="8" t="n">
        <v>46</v>
      </c>
      <c r="B47" s="8" t="n">
        <v>6</v>
      </c>
      <c r="C47" s="8" t="s">
        <v>337</v>
      </c>
      <c r="D47" s="8" t="s">
        <v>338</v>
      </c>
      <c r="E47" s="9" t="s">
        <v>339</v>
      </c>
      <c r="F47" s="9" t="s">
        <v>348</v>
      </c>
      <c r="G47" s="8" t="s">
        <v>301</v>
      </c>
      <c r="H47" s="8" t="s">
        <v>302</v>
      </c>
      <c r="I47" s="8" t="s">
        <v>291</v>
      </c>
      <c r="J47" s="8" t="s">
        <v>292</v>
      </c>
      <c r="K47" s="8" t="s">
        <v>293</v>
      </c>
      <c r="L47" s="9" t="s">
        <v>294</v>
      </c>
      <c r="M47" s="8"/>
      <c r="N47" s="8" t="str">
        <f aca="true">IF(M47="","Active (per Notice 1)",IF(M47&lt;TODAY(),"Expired",IF(M47&lt;TODAY()+180,"Expiring Soon","Active")))</f>
        <v>Active (per Notice 1)</v>
      </c>
      <c r="O47" s="10" t="s">
        <v>295</v>
      </c>
      <c r="P47" s="8" t="s">
        <v>296</v>
      </c>
      <c r="Q47" s="8" t="n">
        <v>3.62</v>
      </c>
      <c r="R47" s="8" t="n">
        <v>2</v>
      </c>
      <c r="S47" s="11" t="n">
        <v>45407</v>
      </c>
      <c r="T47" s="8" t="str">
        <f aca="true">IF(S47="","",IF(EDATE(S47,60)&lt;TODAY(),"Expired",IF(EDATE(S47,60)&lt;TODAY()+180,"Expiring Soon","Valid")))</f>
        <v>Valid</v>
      </c>
      <c r="U47" s="8" t="str">
        <f aca="false">IF(P47="","",IF(P47="A++","Top Tier",IF(P47="A+","High",IF(P47="A","Strong",IF(LEFT(P47,1)="B","Acceptable",IF(LEFT(P47,1)="C","Below Avg","-"))))))</f>
        <v>Top Tier</v>
      </c>
      <c r="AC47" s="8"/>
      <c r="AD47" s="8"/>
      <c r="AE47" s="8"/>
      <c r="AF47" s="8"/>
      <c r="AG47" s="8"/>
      <c r="AH47" s="8" t="n">
        <v>47</v>
      </c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 customFormat="false" ht="15" hidden="false" customHeight="true" outlineLevel="0" collapsed="false">
      <c r="A48" s="8" t="n">
        <v>47</v>
      </c>
      <c r="B48" s="8" t="n">
        <v>6</v>
      </c>
      <c r="C48" s="8" t="s">
        <v>337</v>
      </c>
      <c r="D48" s="8" t="s">
        <v>338</v>
      </c>
      <c r="E48" s="9" t="s">
        <v>339</v>
      </c>
      <c r="F48" s="9" t="s">
        <v>332</v>
      </c>
      <c r="G48" s="8" t="s">
        <v>304</v>
      </c>
      <c r="H48" s="8" t="s">
        <v>302</v>
      </c>
      <c r="I48" s="8" t="s">
        <v>291</v>
      </c>
      <c r="J48" s="8" t="s">
        <v>292</v>
      </c>
      <c r="K48" s="8" t="s">
        <v>293</v>
      </c>
      <c r="L48" s="9" t="s">
        <v>294</v>
      </c>
      <c r="M48" s="8"/>
      <c r="N48" s="8" t="str">
        <f aca="true">IF(M48="","Active (per Notice 1)",IF(M48&lt;TODAY(),"Expired",IF(M48&lt;TODAY()+180,"Expiring Soon","Active")))</f>
        <v>Active (per Notice 1)</v>
      </c>
      <c r="O48" s="12" t="s">
        <v>305</v>
      </c>
      <c r="P48" s="8" t="s">
        <v>296</v>
      </c>
      <c r="Q48" s="8" t="n">
        <v>3.62</v>
      </c>
      <c r="R48" s="8" t="n">
        <v>2</v>
      </c>
      <c r="S48" s="11" t="n">
        <v>45407</v>
      </c>
      <c r="T48" s="8" t="str">
        <f aca="true">IF(S48="","",IF(EDATE(S48,60)&lt;TODAY(),"Expired",IF(EDATE(S48,60)&lt;TODAY()+180,"Expiring Soon","Valid")))</f>
        <v>Valid</v>
      </c>
      <c r="U48" s="8" t="str">
        <f aca="false">IF(P48="","",IF(P48="A++","Top Tier",IF(P48="A+","High",IF(P48="A","Strong",IF(LEFT(P48,1)="B","Acceptable",IF(LEFT(P48,1)="C","Below Avg","-"))))))</f>
        <v>Top Tier</v>
      </c>
      <c r="AC48" s="8"/>
      <c r="AD48" s="8"/>
      <c r="AE48" s="8"/>
      <c r="AF48" s="8"/>
      <c r="AG48" s="8"/>
      <c r="AH48" s="8" t="n">
        <v>47</v>
      </c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 customFormat="false" ht="15" hidden="false" customHeight="true" outlineLevel="0" collapsed="false">
      <c r="A49" s="8" t="n">
        <v>48</v>
      </c>
      <c r="B49" s="8" t="n">
        <v>6</v>
      </c>
      <c r="C49" s="8" t="s">
        <v>337</v>
      </c>
      <c r="D49" s="8" t="s">
        <v>338</v>
      </c>
      <c r="E49" s="9" t="s">
        <v>339</v>
      </c>
      <c r="F49" s="9" t="s">
        <v>306</v>
      </c>
      <c r="G49" s="8" t="s">
        <v>307</v>
      </c>
      <c r="H49" s="8" t="s">
        <v>302</v>
      </c>
      <c r="I49" s="8" t="s">
        <v>291</v>
      </c>
      <c r="J49" s="8" t="s">
        <v>292</v>
      </c>
      <c r="K49" s="8" t="s">
        <v>293</v>
      </c>
      <c r="L49" s="9" t="s">
        <v>294</v>
      </c>
      <c r="M49" s="8"/>
      <c r="N49" s="8" t="str">
        <f aca="true">IF(M49="","Active (per Notice 1)",IF(M49&lt;TODAY(),"Expired",IF(M49&lt;TODAY()+180,"Expiring Soon","Active")))</f>
        <v>Active (per Notice 1)</v>
      </c>
      <c r="O49" s="12" t="s">
        <v>305</v>
      </c>
      <c r="P49" s="8" t="s">
        <v>296</v>
      </c>
      <c r="Q49" s="8" t="n">
        <v>3.62</v>
      </c>
      <c r="R49" s="8" t="n">
        <v>2</v>
      </c>
      <c r="S49" s="11" t="n">
        <v>45407</v>
      </c>
      <c r="T49" s="8" t="str">
        <f aca="true">IF(S49="","",IF(EDATE(S49,60)&lt;TODAY(),"Expired",IF(EDATE(S49,60)&lt;TODAY()+180,"Expiring Soon","Valid")))</f>
        <v>Valid</v>
      </c>
      <c r="U49" s="8" t="str">
        <f aca="false">IF(P49="","",IF(P49="A++","Top Tier",IF(P49="A+","High",IF(P49="A","Strong",IF(LEFT(P49,1)="B","Acceptable",IF(LEFT(P49,1)="C","Below Avg","-"))))))</f>
        <v>Top Tier</v>
      </c>
      <c r="AC49" s="8"/>
      <c r="AD49" s="8"/>
      <c r="AE49" s="8"/>
      <c r="AF49" s="8"/>
      <c r="AG49" s="8"/>
      <c r="AH49" s="8" t="n">
        <v>47</v>
      </c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 customFormat="false" ht="15" hidden="false" customHeight="true" outlineLevel="0" collapsed="false">
      <c r="A50" s="8" t="n">
        <v>49</v>
      </c>
      <c r="B50" s="8" t="n">
        <v>7</v>
      </c>
      <c r="C50" s="8" t="s">
        <v>337</v>
      </c>
      <c r="D50" s="8" t="s">
        <v>333</v>
      </c>
      <c r="E50" s="9" t="s">
        <v>349</v>
      </c>
      <c r="F50" s="9" t="s">
        <v>299</v>
      </c>
      <c r="G50" s="8" t="s">
        <v>289</v>
      </c>
      <c r="H50" s="8" t="s">
        <v>290</v>
      </c>
      <c r="I50" s="8" t="s">
        <v>291</v>
      </c>
      <c r="J50" s="8" t="s">
        <v>292</v>
      </c>
      <c r="K50" s="8" t="s">
        <v>293</v>
      </c>
      <c r="L50" s="9" t="s">
        <v>294</v>
      </c>
      <c r="M50" s="8"/>
      <c r="N50" s="8" t="str">
        <f aca="true">IF(M50="","Active (per Notice 1)",IF(M50&lt;TODAY(),"Expired",IF(M50&lt;TODAY()+180,"Expiring Soon","Active")))</f>
        <v>Active (per Notice 1)</v>
      </c>
      <c r="O50" s="10" t="s">
        <v>295</v>
      </c>
      <c r="P50" s="8" t="s">
        <v>327</v>
      </c>
      <c r="Q50" s="8" t="n">
        <v>3.3</v>
      </c>
      <c r="R50" s="8" t="n">
        <v>2</v>
      </c>
      <c r="S50" s="11" t="n">
        <v>45687</v>
      </c>
      <c r="T50" s="8" t="str">
        <f aca="true">IF(S50="","",IF(EDATE(S50,60)&lt;TODAY(),"Expired",IF(EDATE(S50,60)&lt;TODAY()+180,"Expiring Soon","Valid")))</f>
        <v>Valid</v>
      </c>
      <c r="U50" s="8" t="str">
        <f aca="false">IF(P50="","",IF(P50="A++","Top Tier",IF(P50="A+","High",IF(P50="A","Strong",IF(LEFT(P50,1)="B","Acceptable",IF(LEFT(P50,1)="C","Below Avg","-"))))))</f>
        <v>High</v>
      </c>
      <c r="AT50" s="8"/>
      <c r="AU50" s="8"/>
    </row>
    <row r="51" customFormat="false" ht="15" hidden="false" customHeight="true" outlineLevel="0" collapsed="false">
      <c r="A51" s="8" t="n">
        <v>50</v>
      </c>
      <c r="B51" s="8" t="n">
        <v>7</v>
      </c>
      <c r="C51" s="8" t="s">
        <v>337</v>
      </c>
      <c r="D51" s="8" t="s">
        <v>333</v>
      </c>
      <c r="E51" s="9" t="s">
        <v>349</v>
      </c>
      <c r="F51" s="9" t="s">
        <v>317</v>
      </c>
      <c r="G51" s="8" t="s">
        <v>318</v>
      </c>
      <c r="H51" s="8" t="s">
        <v>290</v>
      </c>
      <c r="I51" s="8" t="s">
        <v>291</v>
      </c>
      <c r="J51" s="8" t="s">
        <v>292</v>
      </c>
      <c r="K51" s="8" t="s">
        <v>293</v>
      </c>
      <c r="L51" s="9" t="s">
        <v>294</v>
      </c>
      <c r="M51" s="8"/>
      <c r="N51" s="8" t="str">
        <f aca="true">IF(M51="","Active (per Notice 1)",IF(M51&lt;TODAY(),"Expired",IF(M51&lt;TODAY()+180,"Expiring Soon","Active")))</f>
        <v>Active (per Notice 1)</v>
      </c>
      <c r="O51" s="12" t="s">
        <v>305</v>
      </c>
      <c r="P51" s="8" t="s">
        <v>327</v>
      </c>
      <c r="Q51" s="8" t="n">
        <v>3.3</v>
      </c>
      <c r="R51" s="8" t="n">
        <v>2</v>
      </c>
      <c r="S51" s="11" t="n">
        <v>45687</v>
      </c>
      <c r="T51" s="8" t="str">
        <f aca="true">IF(S51="","",IF(EDATE(S51,60)&lt;TODAY(),"Expired",IF(EDATE(S51,60)&lt;TODAY()+180,"Expiring Soon","Valid")))</f>
        <v>Valid</v>
      </c>
      <c r="U51" s="8" t="str">
        <f aca="false">IF(P51="","",IF(P51="A++","Top Tier",IF(P51="A+","High",IF(P51="A","Strong",IF(LEFT(P51,1)="B","Acceptable",IF(LEFT(P51,1)="C","Below Avg","-"))))))</f>
        <v>High</v>
      </c>
      <c r="AT51" s="8"/>
      <c r="AU51" s="8"/>
    </row>
    <row r="52" customFormat="false" ht="15" hidden="false" customHeight="true" outlineLevel="0" collapsed="false">
      <c r="A52" s="8" t="n">
        <v>51</v>
      </c>
      <c r="B52" s="8" t="n">
        <v>7</v>
      </c>
      <c r="C52" s="8" t="s">
        <v>337</v>
      </c>
      <c r="D52" s="8" t="s">
        <v>333</v>
      </c>
      <c r="E52" s="9" t="s">
        <v>349</v>
      </c>
      <c r="F52" s="9" t="s">
        <v>319</v>
      </c>
      <c r="G52" s="8" t="s">
        <v>320</v>
      </c>
      <c r="H52" s="8" t="s">
        <v>290</v>
      </c>
      <c r="I52" s="8" t="s">
        <v>291</v>
      </c>
      <c r="J52" s="8" t="s">
        <v>292</v>
      </c>
      <c r="K52" s="8" t="s">
        <v>293</v>
      </c>
      <c r="L52" s="9" t="s">
        <v>294</v>
      </c>
      <c r="M52" s="8"/>
      <c r="N52" s="8" t="str">
        <f aca="true">IF(M52="","Active (per Notice 1)",IF(M52&lt;TODAY(),"Expired",IF(M52&lt;TODAY()+180,"Expiring Soon","Active")))</f>
        <v>Active (per Notice 1)</v>
      </c>
      <c r="O52" s="12" t="s">
        <v>305</v>
      </c>
      <c r="P52" s="8" t="s">
        <v>327</v>
      </c>
      <c r="Q52" s="8" t="n">
        <v>3.3</v>
      </c>
      <c r="R52" s="8" t="n">
        <v>2</v>
      </c>
      <c r="S52" s="11" t="n">
        <v>45687</v>
      </c>
      <c r="T52" s="8" t="str">
        <f aca="true">IF(S52="","",IF(EDATE(S52,60)&lt;TODAY(),"Expired",IF(EDATE(S52,60)&lt;TODAY()+180,"Expiring Soon","Valid")))</f>
        <v>Valid</v>
      </c>
      <c r="U52" s="8" t="str">
        <f aca="false">IF(P52="","",IF(P52="A++","Top Tier",IF(P52="A+","High",IF(P52="A","Strong",IF(LEFT(P52,1)="B","Acceptable",IF(LEFT(P52,1)="C","Below Avg","-"))))))</f>
        <v>High</v>
      </c>
      <c r="AT52" s="8"/>
      <c r="AU52" s="8"/>
    </row>
    <row r="53" customFormat="false" ht="15" hidden="false" customHeight="true" outlineLevel="0" collapsed="false">
      <c r="A53" s="8" t="n">
        <v>52</v>
      </c>
      <c r="B53" s="8" t="n">
        <v>7</v>
      </c>
      <c r="C53" s="8" t="s">
        <v>337</v>
      </c>
      <c r="D53" s="8" t="s">
        <v>333</v>
      </c>
      <c r="E53" s="9" t="s">
        <v>349</v>
      </c>
      <c r="F53" s="9" t="s">
        <v>303</v>
      </c>
      <c r="G53" s="8" t="s">
        <v>304</v>
      </c>
      <c r="H53" s="8" t="s">
        <v>302</v>
      </c>
      <c r="I53" s="8" t="s">
        <v>291</v>
      </c>
      <c r="J53" s="8" t="s">
        <v>292</v>
      </c>
      <c r="K53" s="8" t="s">
        <v>293</v>
      </c>
      <c r="L53" s="9" t="s">
        <v>294</v>
      </c>
      <c r="M53" s="8"/>
      <c r="N53" s="8" t="str">
        <f aca="true">IF(M53="","Active (per Notice 1)",IF(M53&lt;TODAY(),"Expired",IF(M53&lt;TODAY()+180,"Expiring Soon","Active")))</f>
        <v>Active (per Notice 1)</v>
      </c>
      <c r="O53" s="12" t="s">
        <v>305</v>
      </c>
      <c r="P53" s="8" t="s">
        <v>327</v>
      </c>
      <c r="Q53" s="8" t="n">
        <v>3.3</v>
      </c>
      <c r="R53" s="8" t="n">
        <v>2</v>
      </c>
      <c r="S53" s="11" t="n">
        <v>45687</v>
      </c>
      <c r="T53" s="8" t="str">
        <f aca="true">IF(S53="","",IF(EDATE(S53,60)&lt;TODAY(),"Expired",IF(EDATE(S53,60)&lt;TODAY()+180,"Expiring Soon","Valid")))</f>
        <v>Valid</v>
      </c>
      <c r="U53" s="8" t="str">
        <f aca="false">IF(P53="","",IF(P53="A++","Top Tier",IF(P53="A+","High",IF(P53="A","Strong",IF(LEFT(P53,1)="B","Acceptable",IF(LEFT(P53,1)="C","Below Avg","-"))))))</f>
        <v>High</v>
      </c>
      <c r="AT53" s="8"/>
      <c r="AU53" s="8"/>
    </row>
    <row r="54" customFormat="false" ht="15" hidden="false" customHeight="true" outlineLevel="0" collapsed="false">
      <c r="A54" s="8" t="n">
        <v>53</v>
      </c>
      <c r="B54" s="8" t="n">
        <v>7</v>
      </c>
      <c r="C54" s="8" t="s">
        <v>337</v>
      </c>
      <c r="D54" s="8" t="s">
        <v>333</v>
      </c>
      <c r="E54" s="9" t="s">
        <v>349</v>
      </c>
      <c r="F54" s="9" t="s">
        <v>306</v>
      </c>
      <c r="G54" s="8" t="s">
        <v>307</v>
      </c>
      <c r="H54" s="8" t="s">
        <v>302</v>
      </c>
      <c r="I54" s="8" t="s">
        <v>291</v>
      </c>
      <c r="J54" s="8" t="s">
        <v>292</v>
      </c>
      <c r="K54" s="8" t="s">
        <v>293</v>
      </c>
      <c r="L54" s="9" t="s">
        <v>294</v>
      </c>
      <c r="M54" s="8"/>
      <c r="N54" s="8" t="str">
        <f aca="true">IF(M54="","Active (per Notice 1)",IF(M54&lt;TODAY(),"Expired",IF(M54&lt;TODAY()+180,"Expiring Soon","Active")))</f>
        <v>Active (per Notice 1)</v>
      </c>
      <c r="O54" s="12" t="s">
        <v>305</v>
      </c>
      <c r="P54" s="8" t="s">
        <v>327</v>
      </c>
      <c r="Q54" s="8" t="n">
        <v>3.3</v>
      </c>
      <c r="R54" s="8" t="n">
        <v>2</v>
      </c>
      <c r="S54" s="11" t="n">
        <v>45687</v>
      </c>
      <c r="T54" s="8" t="str">
        <f aca="true">IF(S54="","",IF(EDATE(S54,60)&lt;TODAY(),"Expired",IF(EDATE(S54,60)&lt;TODAY()+180,"Expiring Soon","Valid")))</f>
        <v>Valid</v>
      </c>
      <c r="U54" s="8" t="str">
        <f aca="false">IF(P54="","",IF(P54="A++","Top Tier",IF(P54="A+","High",IF(P54="A","Strong",IF(LEFT(P54,1)="B","Acceptable",IF(LEFT(P54,1)="C","Below Avg","-"))))))</f>
        <v>High</v>
      </c>
      <c r="AT54" s="8"/>
      <c r="AU54" s="8"/>
    </row>
    <row r="55" customFormat="false" ht="15" hidden="false" customHeight="true" outlineLevel="0" collapsed="false">
      <c r="A55" s="8" t="n">
        <v>54</v>
      </c>
      <c r="B55" s="8" t="n">
        <v>8</v>
      </c>
      <c r="C55" s="8" t="s">
        <v>350</v>
      </c>
      <c r="D55" s="8" t="s">
        <v>315</v>
      </c>
      <c r="E55" s="9" t="s">
        <v>351</v>
      </c>
      <c r="F55" s="9" t="s">
        <v>352</v>
      </c>
      <c r="G55" s="8" t="s">
        <v>289</v>
      </c>
      <c r="H55" s="8" t="s">
        <v>290</v>
      </c>
      <c r="I55" s="8" t="s">
        <v>291</v>
      </c>
      <c r="J55" s="8" t="s">
        <v>292</v>
      </c>
      <c r="K55" s="8" t="s">
        <v>293</v>
      </c>
      <c r="L55" s="9" t="s">
        <v>294</v>
      </c>
      <c r="M55" s="8"/>
      <c r="N55" s="8" t="str">
        <f aca="true">IF(M55="","Active (per Notice 1)",IF(M55&lt;TODAY(),"Expired",IF(M55&lt;TODAY()+180,"Expiring Soon","Active")))</f>
        <v>Active (per Notice 1)</v>
      </c>
      <c r="O55" s="10" t="s">
        <v>295</v>
      </c>
      <c r="P55" s="8" t="s">
        <v>327</v>
      </c>
      <c r="Q55" s="8" t="n">
        <v>3.41</v>
      </c>
      <c r="R55" s="8" t="n">
        <v>4</v>
      </c>
      <c r="S55" s="11" t="n">
        <v>45275</v>
      </c>
      <c r="T55" s="8" t="str">
        <f aca="true">IF(S55="","",IF(EDATE(S55,60)&lt;TODAY(),"Expired",IF(EDATE(S55,60)&lt;TODAY()+180,"Expiring Soon","Valid")))</f>
        <v>Valid</v>
      </c>
      <c r="U55" s="8" t="str">
        <f aca="false">IF(P55="","",IF(P55="A++","Top Tier",IF(P55="A+","High",IF(P55="A","Strong",IF(LEFT(P55,1)="B","Acceptable",IF(LEFT(P55,1)="C","Below Avg","-"))))))</f>
        <v>High</v>
      </c>
      <c r="AC55" s="8" t="n">
        <v>74</v>
      </c>
      <c r="AD55" s="8" t="n">
        <v>47</v>
      </c>
      <c r="AE55" s="8"/>
      <c r="AF55" s="8"/>
      <c r="AG55" s="8" t="n">
        <v>87</v>
      </c>
      <c r="AH55" s="8" t="n">
        <v>1</v>
      </c>
      <c r="AI55" s="8" t="n">
        <v>40</v>
      </c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 customFormat="false" ht="15" hidden="false" customHeight="true" outlineLevel="0" collapsed="false">
      <c r="A56" s="8" t="n">
        <v>55</v>
      </c>
      <c r="B56" s="8" t="n">
        <v>8</v>
      </c>
      <c r="C56" s="8" t="s">
        <v>350</v>
      </c>
      <c r="D56" s="8" t="s">
        <v>315</v>
      </c>
      <c r="E56" s="9" t="s">
        <v>351</v>
      </c>
      <c r="F56" s="9" t="s">
        <v>317</v>
      </c>
      <c r="G56" s="8" t="s">
        <v>318</v>
      </c>
      <c r="H56" s="8" t="s">
        <v>290</v>
      </c>
      <c r="I56" s="8" t="s">
        <v>291</v>
      </c>
      <c r="J56" s="8" t="s">
        <v>292</v>
      </c>
      <c r="K56" s="8" t="s">
        <v>293</v>
      </c>
      <c r="L56" s="9" t="s">
        <v>294</v>
      </c>
      <c r="M56" s="8"/>
      <c r="N56" s="8" t="str">
        <f aca="true">IF(M56="","Active (per Notice 1)",IF(M56&lt;TODAY(),"Expired",IF(M56&lt;TODAY()+180,"Expiring Soon","Active")))</f>
        <v>Active (per Notice 1)</v>
      </c>
      <c r="O56" s="13" t="s">
        <v>292</v>
      </c>
      <c r="P56" s="8" t="s">
        <v>327</v>
      </c>
      <c r="Q56" s="8" t="n">
        <v>3.41</v>
      </c>
      <c r="R56" s="8" t="n">
        <v>4</v>
      </c>
      <c r="S56" s="11" t="n">
        <v>45275</v>
      </c>
      <c r="T56" s="8" t="str">
        <f aca="true">IF(S56="","",IF(EDATE(S56,60)&lt;TODAY(),"Expired",IF(EDATE(S56,60)&lt;TODAY()+180,"Expiring Soon","Valid")))</f>
        <v>Valid</v>
      </c>
      <c r="U56" s="8" t="str">
        <f aca="false">IF(P56="","",IF(P56="A++","Top Tier",IF(P56="A+","High",IF(P56="A","Strong",IF(LEFT(P56,1)="B","Acceptable",IF(LEFT(P56,1)="C","Below Avg","-"))))))</f>
        <v>High</v>
      </c>
      <c r="AC56" s="8" t="n">
        <v>74</v>
      </c>
      <c r="AD56" s="8" t="n">
        <v>47</v>
      </c>
      <c r="AE56" s="8"/>
      <c r="AF56" s="8"/>
      <c r="AG56" s="8" t="n">
        <v>87</v>
      </c>
      <c r="AH56" s="8" t="n">
        <v>1</v>
      </c>
      <c r="AI56" s="8" t="n">
        <v>40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 customFormat="false" ht="15" hidden="false" customHeight="true" outlineLevel="0" collapsed="false">
      <c r="A57" s="8" t="n">
        <v>56</v>
      </c>
      <c r="B57" s="8" t="n">
        <v>8</v>
      </c>
      <c r="C57" s="8" t="s">
        <v>350</v>
      </c>
      <c r="D57" s="8" t="s">
        <v>315</v>
      </c>
      <c r="E57" s="9" t="s">
        <v>351</v>
      </c>
      <c r="F57" s="9" t="s">
        <v>319</v>
      </c>
      <c r="G57" s="8" t="s">
        <v>320</v>
      </c>
      <c r="H57" s="8" t="s">
        <v>290</v>
      </c>
      <c r="I57" s="8" t="s">
        <v>291</v>
      </c>
      <c r="J57" s="8" t="s">
        <v>292</v>
      </c>
      <c r="K57" s="8" t="s">
        <v>293</v>
      </c>
      <c r="L57" s="9" t="s">
        <v>294</v>
      </c>
      <c r="M57" s="8"/>
      <c r="N57" s="8" t="str">
        <f aca="true">IF(M57="","Active (per Notice 1)",IF(M57&lt;TODAY(),"Expired",IF(M57&lt;TODAY()+180,"Expiring Soon","Active")))</f>
        <v>Active (per Notice 1)</v>
      </c>
      <c r="O57" s="13" t="s">
        <v>292</v>
      </c>
      <c r="P57" s="8" t="s">
        <v>327</v>
      </c>
      <c r="Q57" s="8" t="n">
        <v>3.41</v>
      </c>
      <c r="R57" s="8" t="n">
        <v>4</v>
      </c>
      <c r="S57" s="11" t="n">
        <v>45275</v>
      </c>
      <c r="T57" s="8" t="str">
        <f aca="true">IF(S57="","",IF(EDATE(S57,60)&lt;TODAY(),"Expired",IF(EDATE(S57,60)&lt;TODAY()+180,"Expiring Soon","Valid")))</f>
        <v>Valid</v>
      </c>
      <c r="U57" s="8" t="str">
        <f aca="false">IF(P57="","",IF(P57="A++","Top Tier",IF(P57="A+","High",IF(P57="A","Strong",IF(LEFT(P57,1)="B","Acceptable",IF(LEFT(P57,1)="C","Below Avg","-"))))))</f>
        <v>High</v>
      </c>
      <c r="AC57" s="8" t="n">
        <v>74</v>
      </c>
      <c r="AD57" s="8" t="n">
        <v>47</v>
      </c>
      <c r="AE57" s="8"/>
      <c r="AF57" s="8"/>
      <c r="AG57" s="8" t="n">
        <v>87</v>
      </c>
      <c r="AH57" s="8" t="n">
        <v>1</v>
      </c>
      <c r="AI57" s="8" t="n">
        <v>40</v>
      </c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customFormat="false" ht="15" hidden="false" customHeight="true" outlineLevel="0" collapsed="false">
      <c r="A58" s="8" t="n">
        <v>57</v>
      </c>
      <c r="B58" s="8" t="n">
        <v>8</v>
      </c>
      <c r="C58" s="8" t="s">
        <v>350</v>
      </c>
      <c r="D58" s="8" t="s">
        <v>315</v>
      </c>
      <c r="E58" s="9" t="s">
        <v>351</v>
      </c>
      <c r="F58" s="9" t="s">
        <v>353</v>
      </c>
      <c r="G58" s="8" t="s">
        <v>301</v>
      </c>
      <c r="H58" s="8" t="s">
        <v>302</v>
      </c>
      <c r="I58" s="8" t="s">
        <v>291</v>
      </c>
      <c r="J58" s="8" t="s">
        <v>292</v>
      </c>
      <c r="K58" s="8" t="s">
        <v>293</v>
      </c>
      <c r="L58" s="9" t="s">
        <v>294</v>
      </c>
      <c r="M58" s="8"/>
      <c r="N58" s="8" t="str">
        <f aca="true">IF(M58="","Active (per Notice 1)",IF(M58&lt;TODAY(),"Expired",IF(M58&lt;TODAY()+180,"Expiring Soon","Active")))</f>
        <v>Active (per Notice 1)</v>
      </c>
      <c r="O58" s="10" t="s">
        <v>295</v>
      </c>
      <c r="P58" s="8" t="s">
        <v>327</v>
      </c>
      <c r="Q58" s="8" t="n">
        <v>3.41</v>
      </c>
      <c r="R58" s="8" t="n">
        <v>4</v>
      </c>
      <c r="S58" s="11" t="n">
        <v>45275</v>
      </c>
      <c r="T58" s="8" t="str">
        <f aca="true">IF(S58="","",IF(EDATE(S58,60)&lt;TODAY(),"Expired",IF(EDATE(S58,60)&lt;TODAY()+180,"Expiring Soon","Valid")))</f>
        <v>Valid</v>
      </c>
      <c r="U58" s="8" t="str">
        <f aca="false">IF(P58="","",IF(P58="A++","Top Tier",IF(P58="A+","High",IF(P58="A","Strong",IF(LEFT(P58,1)="B","Acceptable",IF(LEFT(P58,1)="C","Below Avg","-"))))))</f>
        <v>High</v>
      </c>
      <c r="AC58" s="8" t="n">
        <v>74</v>
      </c>
      <c r="AD58" s="8" t="n">
        <v>47</v>
      </c>
      <c r="AE58" s="8"/>
      <c r="AF58" s="8"/>
      <c r="AG58" s="8" t="n">
        <v>87</v>
      </c>
      <c r="AH58" s="8" t="n">
        <v>1</v>
      </c>
      <c r="AI58" s="8" t="n">
        <v>40</v>
      </c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</row>
    <row r="59" customFormat="false" ht="15" hidden="false" customHeight="true" outlineLevel="0" collapsed="false">
      <c r="A59" s="8" t="n">
        <v>58</v>
      </c>
      <c r="B59" s="8" t="n">
        <v>8</v>
      </c>
      <c r="C59" s="8" t="s">
        <v>350</v>
      </c>
      <c r="D59" s="8" t="s">
        <v>315</v>
      </c>
      <c r="E59" s="9" t="s">
        <v>351</v>
      </c>
      <c r="F59" s="9" t="s">
        <v>354</v>
      </c>
      <c r="G59" s="8" t="s">
        <v>301</v>
      </c>
      <c r="H59" s="8" t="s">
        <v>302</v>
      </c>
      <c r="I59" s="8" t="s">
        <v>291</v>
      </c>
      <c r="J59" s="8" t="s">
        <v>292</v>
      </c>
      <c r="K59" s="8" t="s">
        <v>293</v>
      </c>
      <c r="L59" s="9" t="s">
        <v>294</v>
      </c>
      <c r="M59" s="8"/>
      <c r="N59" s="8" t="str">
        <f aca="true">IF(M59="","Active (per Notice 1)",IF(M59&lt;TODAY(),"Expired",IF(M59&lt;TODAY()+180,"Expiring Soon","Active")))</f>
        <v>Active (per Notice 1)</v>
      </c>
      <c r="O59" s="10" t="s">
        <v>295</v>
      </c>
      <c r="P59" s="8" t="s">
        <v>327</v>
      </c>
      <c r="Q59" s="8" t="n">
        <v>3.41</v>
      </c>
      <c r="R59" s="8" t="n">
        <v>4</v>
      </c>
      <c r="S59" s="11" t="n">
        <v>45275</v>
      </c>
      <c r="T59" s="8" t="str">
        <f aca="true">IF(S59="","",IF(EDATE(S59,60)&lt;TODAY(),"Expired",IF(EDATE(S59,60)&lt;TODAY()+180,"Expiring Soon","Valid")))</f>
        <v>Valid</v>
      </c>
      <c r="U59" s="8" t="str">
        <f aca="false">IF(P59="","",IF(P59="A++","Top Tier",IF(P59="A+","High",IF(P59="A","Strong",IF(LEFT(P59,1)="B","Acceptable",IF(LEFT(P59,1)="C","Below Avg","-"))))))</f>
        <v>High</v>
      </c>
      <c r="AC59" s="8" t="n">
        <v>74</v>
      </c>
      <c r="AD59" s="8" t="n">
        <v>47</v>
      </c>
      <c r="AE59" s="8"/>
      <c r="AF59" s="8"/>
      <c r="AG59" s="8" t="n">
        <v>87</v>
      </c>
      <c r="AH59" s="8" t="n">
        <v>1</v>
      </c>
      <c r="AI59" s="8" t="n">
        <v>40</v>
      </c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</row>
    <row r="60" customFormat="false" ht="15" hidden="false" customHeight="true" outlineLevel="0" collapsed="false">
      <c r="A60" s="8" t="n">
        <v>59</v>
      </c>
      <c r="B60" s="8" t="n">
        <v>8</v>
      </c>
      <c r="C60" s="8" t="s">
        <v>350</v>
      </c>
      <c r="D60" s="8" t="s">
        <v>315</v>
      </c>
      <c r="E60" s="9" t="s">
        <v>351</v>
      </c>
      <c r="F60" s="9" t="s">
        <v>310</v>
      </c>
      <c r="G60" s="8" t="s">
        <v>301</v>
      </c>
      <c r="H60" s="8" t="s">
        <v>302</v>
      </c>
      <c r="I60" s="8" t="s">
        <v>291</v>
      </c>
      <c r="J60" s="8" t="s">
        <v>292</v>
      </c>
      <c r="K60" s="8" t="s">
        <v>293</v>
      </c>
      <c r="L60" s="9" t="s">
        <v>294</v>
      </c>
      <c r="M60" s="8"/>
      <c r="N60" s="8" t="str">
        <f aca="true">IF(M60="","Active (per Notice 1)",IF(M60&lt;TODAY(),"Expired",IF(M60&lt;TODAY()+180,"Expiring Soon","Active")))</f>
        <v>Active (per Notice 1)</v>
      </c>
      <c r="O60" s="10" t="s">
        <v>295</v>
      </c>
      <c r="P60" s="8" t="s">
        <v>327</v>
      </c>
      <c r="Q60" s="8" t="n">
        <v>3.41</v>
      </c>
      <c r="R60" s="8" t="n">
        <v>4</v>
      </c>
      <c r="S60" s="11" t="n">
        <v>45275</v>
      </c>
      <c r="T60" s="8" t="str">
        <f aca="true">IF(S60="","",IF(EDATE(S60,60)&lt;TODAY(),"Expired",IF(EDATE(S60,60)&lt;TODAY()+180,"Expiring Soon","Valid")))</f>
        <v>Valid</v>
      </c>
      <c r="U60" s="8" t="str">
        <f aca="false">IF(P60="","",IF(P60="A++","Top Tier",IF(P60="A+","High",IF(P60="A","Strong",IF(LEFT(P60,1)="B","Acceptable",IF(LEFT(P60,1)="C","Below Avg","-"))))))</f>
        <v>High</v>
      </c>
      <c r="AC60" s="8" t="n">
        <v>74</v>
      </c>
      <c r="AD60" s="8" t="n">
        <v>47</v>
      </c>
      <c r="AE60" s="8"/>
      <c r="AF60" s="8"/>
      <c r="AG60" s="8" t="n">
        <v>87</v>
      </c>
      <c r="AH60" s="8" t="n">
        <v>1</v>
      </c>
      <c r="AI60" s="8" t="n">
        <v>40</v>
      </c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 customFormat="false" ht="15" hidden="false" customHeight="true" outlineLevel="0" collapsed="false">
      <c r="A61" s="8" t="n">
        <v>60</v>
      </c>
      <c r="B61" s="8" t="n">
        <v>8</v>
      </c>
      <c r="C61" s="8" t="s">
        <v>350</v>
      </c>
      <c r="D61" s="8" t="s">
        <v>315</v>
      </c>
      <c r="E61" s="9" t="s">
        <v>351</v>
      </c>
      <c r="F61" s="9" t="s">
        <v>306</v>
      </c>
      <c r="G61" s="8" t="s">
        <v>307</v>
      </c>
      <c r="H61" s="8" t="s">
        <v>302</v>
      </c>
      <c r="I61" s="8" t="s">
        <v>291</v>
      </c>
      <c r="J61" s="8" t="s">
        <v>292</v>
      </c>
      <c r="K61" s="8" t="s">
        <v>293</v>
      </c>
      <c r="L61" s="9" t="s">
        <v>294</v>
      </c>
      <c r="M61" s="8"/>
      <c r="N61" s="8" t="str">
        <f aca="true">IF(M61="","Active (per Notice 1)",IF(M61&lt;TODAY(),"Expired",IF(M61&lt;TODAY()+180,"Expiring Soon","Active")))</f>
        <v>Active (per Notice 1)</v>
      </c>
      <c r="O61" s="13" t="s">
        <v>292</v>
      </c>
      <c r="P61" s="8" t="s">
        <v>327</v>
      </c>
      <c r="Q61" s="8" t="n">
        <v>3.41</v>
      </c>
      <c r="R61" s="8" t="n">
        <v>4</v>
      </c>
      <c r="S61" s="11" t="n">
        <v>45275</v>
      </c>
      <c r="T61" s="8" t="str">
        <f aca="true">IF(S61="","",IF(EDATE(S61,60)&lt;TODAY(),"Expired",IF(EDATE(S61,60)&lt;TODAY()+180,"Expiring Soon","Valid")))</f>
        <v>Valid</v>
      </c>
      <c r="U61" s="8" t="str">
        <f aca="false">IF(P61="","",IF(P61="A++","Top Tier",IF(P61="A+","High",IF(P61="A","Strong",IF(LEFT(P61,1)="B","Acceptable",IF(LEFT(P61,1)="C","Below Avg","-"))))))</f>
        <v>High</v>
      </c>
      <c r="AC61" s="8" t="n">
        <v>74</v>
      </c>
      <c r="AD61" s="8" t="n">
        <v>47</v>
      </c>
      <c r="AE61" s="8"/>
      <c r="AF61" s="8"/>
      <c r="AG61" s="8" t="n">
        <v>87</v>
      </c>
      <c r="AH61" s="8" t="n">
        <v>1</v>
      </c>
      <c r="AI61" s="8" t="n">
        <v>40</v>
      </c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</row>
    <row r="62" customFormat="false" ht="15" hidden="false" customHeight="true" outlineLevel="0" collapsed="false">
      <c r="A62" s="8" t="n">
        <v>61</v>
      </c>
      <c r="B62" s="8" t="n">
        <v>8</v>
      </c>
      <c r="C62" s="8" t="s">
        <v>350</v>
      </c>
      <c r="D62" s="8" t="s">
        <v>315</v>
      </c>
      <c r="E62" s="9" t="s">
        <v>351</v>
      </c>
      <c r="F62" s="9" t="s">
        <v>303</v>
      </c>
      <c r="G62" s="8" t="s">
        <v>304</v>
      </c>
      <c r="H62" s="8" t="s">
        <v>302</v>
      </c>
      <c r="I62" s="8" t="s">
        <v>291</v>
      </c>
      <c r="J62" s="8" t="s">
        <v>292</v>
      </c>
      <c r="K62" s="8" t="s">
        <v>293</v>
      </c>
      <c r="L62" s="9" t="s">
        <v>294</v>
      </c>
      <c r="M62" s="8"/>
      <c r="N62" s="8" t="str">
        <f aca="true">IF(M62="","Active (per Notice 1)",IF(M62&lt;TODAY(),"Expired",IF(M62&lt;TODAY()+180,"Expiring Soon","Active")))</f>
        <v>Active (per Notice 1)</v>
      </c>
      <c r="O62" s="13" t="s">
        <v>292</v>
      </c>
      <c r="P62" s="8" t="s">
        <v>327</v>
      </c>
      <c r="Q62" s="8" t="n">
        <v>3.41</v>
      </c>
      <c r="R62" s="8" t="n">
        <v>4</v>
      </c>
      <c r="S62" s="11" t="n">
        <v>45275</v>
      </c>
      <c r="T62" s="8" t="str">
        <f aca="true">IF(S62="","",IF(EDATE(S62,60)&lt;TODAY(),"Expired",IF(EDATE(S62,60)&lt;TODAY()+180,"Expiring Soon","Valid")))</f>
        <v>Valid</v>
      </c>
      <c r="U62" s="8" t="str">
        <f aca="false">IF(P62="","",IF(P62="A++","Top Tier",IF(P62="A+","High",IF(P62="A","Strong",IF(LEFT(P62,1)="B","Acceptable",IF(LEFT(P62,1)="C","Below Avg","-"))))))</f>
        <v>High</v>
      </c>
      <c r="AC62" s="8" t="n">
        <v>74</v>
      </c>
      <c r="AD62" s="8" t="n">
        <v>47</v>
      </c>
      <c r="AE62" s="8"/>
      <c r="AF62" s="8"/>
      <c r="AG62" s="8" t="n">
        <v>87</v>
      </c>
      <c r="AH62" s="8" t="n">
        <v>1</v>
      </c>
      <c r="AI62" s="8" t="n">
        <v>40</v>
      </c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</row>
    <row r="63" customFormat="false" ht="15" hidden="false" customHeight="true" outlineLevel="0" collapsed="false">
      <c r="A63" s="8" t="n">
        <v>62</v>
      </c>
      <c r="B63" s="8" t="n">
        <v>9</v>
      </c>
      <c r="C63" s="8" t="s">
        <v>350</v>
      </c>
      <c r="D63" s="8" t="s">
        <v>338</v>
      </c>
      <c r="E63" s="9" t="s">
        <v>355</v>
      </c>
      <c r="F63" s="9" t="s">
        <v>356</v>
      </c>
      <c r="G63" s="8" t="s">
        <v>318</v>
      </c>
      <c r="H63" s="8" t="s">
        <v>290</v>
      </c>
      <c r="I63" s="8" t="s">
        <v>291</v>
      </c>
      <c r="J63" s="8" t="s">
        <v>292</v>
      </c>
      <c r="K63" s="8" t="s">
        <v>293</v>
      </c>
      <c r="L63" s="9" t="s">
        <v>294</v>
      </c>
      <c r="M63" s="8"/>
      <c r="N63" s="8" t="str">
        <f aca="true">IF(M63="","Active (per Notice 1)",IF(M63&lt;TODAY(),"Expired",IF(M63&lt;TODAY()+180,"Expiring Soon","Active")))</f>
        <v>Active (per Notice 1)</v>
      </c>
      <c r="O63" s="12" t="s">
        <v>305</v>
      </c>
      <c r="P63" s="8" t="s">
        <v>296</v>
      </c>
      <c r="Q63" s="8" t="n">
        <v>3.61</v>
      </c>
      <c r="R63" s="8" t="n">
        <v>2</v>
      </c>
      <c r="S63" s="11" t="n">
        <v>44544</v>
      </c>
      <c r="T63" s="8" t="str">
        <f aca="true">IF(S63="","",IF(EDATE(S63,60)&lt;TODAY(),"Expired",IF(EDATE(S63,60)&lt;TODAY()+180,"Expiring Soon","Valid")))</f>
        <v>Valid</v>
      </c>
      <c r="U63" s="8" t="str">
        <f aca="false">IF(P63="","",IF(P63="A++","Top Tier",IF(P63="A+","High",IF(P63="A","Strong",IF(LEFT(P63,1)="B","Acceptable",IF(LEFT(P63,1)="C","Below Avg","-"))))))</f>
        <v>Top Tier</v>
      </c>
      <c r="Y63" s="8" t="n">
        <v>7</v>
      </c>
      <c r="Z63" s="11" t="n">
        <v>45838</v>
      </c>
      <c r="AA63" s="8" t="s">
        <v>357</v>
      </c>
      <c r="AB63" s="8" t="s">
        <v>329</v>
      </c>
      <c r="AC63" s="8" t="n">
        <v>13</v>
      </c>
      <c r="AD63" s="8" t="n">
        <v>4</v>
      </c>
      <c r="AE63" s="8" t="n">
        <v>20</v>
      </c>
      <c r="AF63" s="8" t="n">
        <v>24</v>
      </c>
      <c r="AG63" s="8" t="n">
        <v>28</v>
      </c>
      <c r="AH63" s="8"/>
      <c r="AI63" s="8"/>
      <c r="AJ63" s="8" t="n">
        <v>17</v>
      </c>
      <c r="AK63" s="8" t="n">
        <v>8</v>
      </c>
      <c r="AL63" s="8" t="n">
        <v>5</v>
      </c>
      <c r="AM63" s="8"/>
      <c r="AN63" s="8"/>
      <c r="AO63" s="8"/>
      <c r="AP63" s="8"/>
      <c r="AQ63" s="8"/>
      <c r="AR63" s="8" t="n">
        <v>3</v>
      </c>
      <c r="AS63" s="8"/>
      <c r="AT63" s="8"/>
      <c r="AU63" s="8"/>
    </row>
    <row r="64" customFormat="false" ht="15" hidden="false" customHeight="true" outlineLevel="0" collapsed="false">
      <c r="A64" s="8" t="n">
        <v>63</v>
      </c>
      <c r="B64" s="8" t="n">
        <v>9</v>
      </c>
      <c r="C64" s="8" t="s">
        <v>350</v>
      </c>
      <c r="D64" s="8" t="s">
        <v>338</v>
      </c>
      <c r="E64" s="9" t="s">
        <v>355</v>
      </c>
      <c r="F64" s="9" t="s">
        <v>358</v>
      </c>
      <c r="G64" s="8" t="s">
        <v>298</v>
      </c>
      <c r="H64" s="8" t="s">
        <v>290</v>
      </c>
      <c r="I64" s="8" t="s">
        <v>291</v>
      </c>
      <c r="J64" s="8" t="s">
        <v>292</v>
      </c>
      <c r="K64" s="8" t="s">
        <v>293</v>
      </c>
      <c r="L64" s="9" t="s">
        <v>294</v>
      </c>
      <c r="M64" s="8"/>
      <c r="N64" s="8" t="str">
        <f aca="true">IF(M64="","Active (per Notice 1)",IF(M64&lt;TODAY(),"Expired",IF(M64&lt;TODAY()+180,"Expiring Soon","Active")))</f>
        <v>Active (per Notice 1)</v>
      </c>
      <c r="O64" s="10" t="s">
        <v>295</v>
      </c>
      <c r="P64" s="8" t="s">
        <v>296</v>
      </c>
      <c r="Q64" s="8" t="n">
        <v>3.61</v>
      </c>
      <c r="R64" s="8" t="n">
        <v>2</v>
      </c>
      <c r="S64" s="11" t="n">
        <v>44544</v>
      </c>
      <c r="T64" s="8" t="str">
        <f aca="true">IF(S64="","",IF(EDATE(S64,60)&lt;TODAY(),"Expired",IF(EDATE(S64,60)&lt;TODAY()+180,"Expiring Soon","Valid")))</f>
        <v>Valid</v>
      </c>
      <c r="U64" s="8" t="str">
        <f aca="false">IF(P64="","",IF(P64="A++","Top Tier",IF(P64="A+","High",IF(P64="A","Strong",IF(LEFT(P64,1)="B","Acceptable",IF(LEFT(P64,1)="C","Below Avg","-"))))))</f>
        <v>Top Tier</v>
      </c>
      <c r="Y64" s="8" t="n">
        <v>7</v>
      </c>
      <c r="Z64" s="11" t="n">
        <v>45838</v>
      </c>
      <c r="AA64" s="8" t="s">
        <v>357</v>
      </c>
      <c r="AB64" s="8" t="s">
        <v>329</v>
      </c>
      <c r="AC64" s="8" t="n">
        <v>13</v>
      </c>
      <c r="AD64" s="8" t="n">
        <v>4</v>
      </c>
      <c r="AE64" s="8" t="n">
        <v>20</v>
      </c>
      <c r="AF64" s="8" t="n">
        <v>24</v>
      </c>
      <c r="AG64" s="8" t="n">
        <v>28</v>
      </c>
      <c r="AH64" s="8"/>
      <c r="AI64" s="8"/>
      <c r="AJ64" s="8" t="n">
        <v>17</v>
      </c>
      <c r="AK64" s="8" t="n">
        <v>8</v>
      </c>
      <c r="AL64" s="8" t="n">
        <v>5</v>
      </c>
      <c r="AM64" s="8"/>
      <c r="AN64" s="8"/>
      <c r="AO64" s="8"/>
      <c r="AP64" s="8"/>
      <c r="AQ64" s="8"/>
      <c r="AR64" s="8" t="n">
        <v>3</v>
      </c>
      <c r="AS64" s="8"/>
      <c r="AT64" s="8"/>
      <c r="AU64" s="8"/>
    </row>
    <row r="65" customFormat="false" ht="15" hidden="false" customHeight="true" outlineLevel="0" collapsed="false">
      <c r="A65" s="8" t="n">
        <v>64</v>
      </c>
      <c r="B65" s="8" t="n">
        <v>9</v>
      </c>
      <c r="C65" s="8" t="s">
        <v>350</v>
      </c>
      <c r="D65" s="8" t="s">
        <v>338</v>
      </c>
      <c r="E65" s="9" t="s">
        <v>355</v>
      </c>
      <c r="F65" s="9" t="s">
        <v>359</v>
      </c>
      <c r="G65" s="8" t="s">
        <v>289</v>
      </c>
      <c r="H65" s="8" t="s">
        <v>290</v>
      </c>
      <c r="I65" s="8" t="s">
        <v>291</v>
      </c>
      <c r="J65" s="8" t="s">
        <v>292</v>
      </c>
      <c r="K65" s="8" t="s">
        <v>293</v>
      </c>
      <c r="L65" s="9" t="s">
        <v>294</v>
      </c>
      <c r="M65" s="8"/>
      <c r="N65" s="8" t="str">
        <f aca="true">IF(M65="","Active (per Notice 1)",IF(M65&lt;TODAY(),"Expired",IF(M65&lt;TODAY()+180,"Expiring Soon","Active")))</f>
        <v>Active (per Notice 1)</v>
      </c>
      <c r="O65" s="10" t="s">
        <v>295</v>
      </c>
      <c r="P65" s="8" t="s">
        <v>296</v>
      </c>
      <c r="Q65" s="8" t="n">
        <v>3.61</v>
      </c>
      <c r="R65" s="8" t="n">
        <v>2</v>
      </c>
      <c r="S65" s="11" t="n">
        <v>44544</v>
      </c>
      <c r="T65" s="8" t="str">
        <f aca="true">IF(S65="","",IF(EDATE(S65,60)&lt;TODAY(),"Expired",IF(EDATE(S65,60)&lt;TODAY()+180,"Expiring Soon","Valid")))</f>
        <v>Valid</v>
      </c>
      <c r="U65" s="8" t="str">
        <f aca="false">IF(P65="","",IF(P65="A++","Top Tier",IF(P65="A+","High",IF(P65="A","Strong",IF(LEFT(P65,1)="B","Acceptable",IF(LEFT(P65,1)="C","Below Avg","-"))))))</f>
        <v>Top Tier</v>
      </c>
      <c r="Y65" s="8" t="n">
        <v>7</v>
      </c>
      <c r="Z65" s="11" t="n">
        <v>45838</v>
      </c>
      <c r="AA65" s="8" t="s">
        <v>357</v>
      </c>
      <c r="AB65" s="8" t="s">
        <v>329</v>
      </c>
      <c r="AC65" s="8" t="n">
        <v>13</v>
      </c>
      <c r="AD65" s="8" t="n">
        <v>4</v>
      </c>
      <c r="AE65" s="8" t="n">
        <v>20</v>
      </c>
      <c r="AF65" s="8" t="n">
        <v>24</v>
      </c>
      <c r="AG65" s="8" t="n">
        <v>28</v>
      </c>
      <c r="AH65" s="8"/>
      <c r="AI65" s="8"/>
      <c r="AJ65" s="8" t="n">
        <v>17</v>
      </c>
      <c r="AK65" s="8" t="n">
        <v>8</v>
      </c>
      <c r="AL65" s="8" t="n">
        <v>5</v>
      </c>
      <c r="AM65" s="8"/>
      <c r="AN65" s="8"/>
      <c r="AO65" s="8"/>
      <c r="AP65" s="8"/>
      <c r="AQ65" s="8"/>
      <c r="AR65" s="8" t="n">
        <v>3</v>
      </c>
      <c r="AS65" s="8"/>
      <c r="AT65" s="8"/>
      <c r="AU65" s="8"/>
    </row>
    <row r="66" customFormat="false" ht="15" hidden="false" customHeight="true" outlineLevel="0" collapsed="false">
      <c r="A66" s="8" t="n">
        <v>65</v>
      </c>
      <c r="B66" s="8" t="n">
        <v>9</v>
      </c>
      <c r="C66" s="8" t="s">
        <v>350</v>
      </c>
      <c r="D66" s="8" t="s">
        <v>338</v>
      </c>
      <c r="E66" s="9" t="s">
        <v>355</v>
      </c>
      <c r="F66" s="9" t="s">
        <v>360</v>
      </c>
      <c r="G66" s="8" t="s">
        <v>301</v>
      </c>
      <c r="H66" s="8" t="s">
        <v>302</v>
      </c>
      <c r="I66" s="8" t="s">
        <v>291</v>
      </c>
      <c r="J66" s="8" t="s">
        <v>292</v>
      </c>
      <c r="K66" s="8" t="s">
        <v>293</v>
      </c>
      <c r="L66" s="9" t="s">
        <v>294</v>
      </c>
      <c r="M66" s="8"/>
      <c r="N66" s="8" t="str">
        <f aca="true">IF(M66="","Active (per Notice 1)",IF(M66&lt;TODAY(),"Expired",IF(M66&lt;TODAY()+180,"Expiring Soon","Active")))</f>
        <v>Active (per Notice 1)</v>
      </c>
      <c r="O66" s="10" t="s">
        <v>295</v>
      </c>
      <c r="P66" s="8" t="s">
        <v>296</v>
      </c>
      <c r="Q66" s="8" t="n">
        <v>3.61</v>
      </c>
      <c r="R66" s="8" t="n">
        <v>2</v>
      </c>
      <c r="S66" s="11" t="n">
        <v>44544</v>
      </c>
      <c r="T66" s="8" t="str">
        <f aca="true">IF(S66="","",IF(EDATE(S66,60)&lt;TODAY(),"Expired",IF(EDATE(S66,60)&lt;TODAY()+180,"Expiring Soon","Valid")))</f>
        <v>Valid</v>
      </c>
      <c r="U66" s="8" t="str">
        <f aca="false">IF(P66="","",IF(P66="A++","Top Tier",IF(P66="A+","High",IF(P66="A","Strong",IF(LEFT(P66,1)="B","Acceptable",IF(LEFT(P66,1)="C","Below Avg","-"))))))</f>
        <v>Top Tier</v>
      </c>
      <c r="Y66" s="8" t="n">
        <v>7</v>
      </c>
      <c r="Z66" s="11" t="n">
        <v>45838</v>
      </c>
      <c r="AA66" s="8" t="s">
        <v>357</v>
      </c>
      <c r="AB66" s="8" t="s">
        <v>329</v>
      </c>
      <c r="AC66" s="8" t="n">
        <v>13</v>
      </c>
      <c r="AD66" s="8" t="n">
        <v>4</v>
      </c>
      <c r="AE66" s="8" t="n">
        <v>20</v>
      </c>
      <c r="AF66" s="8" t="n">
        <v>24</v>
      </c>
      <c r="AG66" s="8" t="n">
        <v>28</v>
      </c>
      <c r="AH66" s="8"/>
      <c r="AI66" s="8"/>
      <c r="AJ66" s="8" t="n">
        <v>17</v>
      </c>
      <c r="AK66" s="8" t="n">
        <v>8</v>
      </c>
      <c r="AL66" s="8" t="n">
        <v>5</v>
      </c>
      <c r="AM66" s="8"/>
      <c r="AN66" s="8"/>
      <c r="AO66" s="8"/>
      <c r="AP66" s="8"/>
      <c r="AQ66" s="8"/>
      <c r="AR66" s="8" t="n">
        <v>3</v>
      </c>
      <c r="AS66" s="8"/>
      <c r="AT66" s="8"/>
      <c r="AU66" s="8"/>
    </row>
    <row r="67" customFormat="false" ht="15" hidden="false" customHeight="true" outlineLevel="0" collapsed="false">
      <c r="A67" s="8" t="n">
        <v>66</v>
      </c>
      <c r="B67" s="8" t="n">
        <v>9</v>
      </c>
      <c r="C67" s="8" t="s">
        <v>350</v>
      </c>
      <c r="D67" s="8" t="s">
        <v>338</v>
      </c>
      <c r="E67" s="9" t="s">
        <v>355</v>
      </c>
      <c r="F67" s="9" t="s">
        <v>361</v>
      </c>
      <c r="G67" s="8" t="s">
        <v>301</v>
      </c>
      <c r="H67" s="8" t="s">
        <v>302</v>
      </c>
      <c r="I67" s="8" t="s">
        <v>291</v>
      </c>
      <c r="J67" s="8" t="s">
        <v>292</v>
      </c>
      <c r="K67" s="8" t="s">
        <v>293</v>
      </c>
      <c r="L67" s="9" t="s">
        <v>294</v>
      </c>
      <c r="M67" s="8"/>
      <c r="N67" s="8" t="str">
        <f aca="true">IF(M67="","Active (per Notice 1)",IF(M67&lt;TODAY(),"Expired",IF(M67&lt;TODAY()+180,"Expiring Soon","Active")))</f>
        <v>Active (per Notice 1)</v>
      </c>
      <c r="O67" s="10" t="s">
        <v>295</v>
      </c>
      <c r="P67" s="8" t="s">
        <v>296</v>
      </c>
      <c r="Q67" s="8" t="n">
        <v>3.61</v>
      </c>
      <c r="R67" s="8" t="n">
        <v>2</v>
      </c>
      <c r="S67" s="11" t="n">
        <v>44544</v>
      </c>
      <c r="T67" s="8" t="str">
        <f aca="true">IF(S67="","",IF(EDATE(S67,60)&lt;TODAY(),"Expired",IF(EDATE(S67,60)&lt;TODAY()+180,"Expiring Soon","Valid")))</f>
        <v>Valid</v>
      </c>
      <c r="U67" s="8" t="str">
        <f aca="false">IF(P67="","",IF(P67="A++","Top Tier",IF(P67="A+","High",IF(P67="A","Strong",IF(LEFT(P67,1)="B","Acceptable",IF(LEFT(P67,1)="C","Below Avg","-"))))))</f>
        <v>Top Tier</v>
      </c>
      <c r="Y67" s="8" t="n">
        <v>7</v>
      </c>
      <c r="Z67" s="11" t="n">
        <v>45838</v>
      </c>
      <c r="AA67" s="8" t="s">
        <v>357</v>
      </c>
      <c r="AB67" s="8" t="s">
        <v>329</v>
      </c>
      <c r="AC67" s="8" t="n">
        <v>13</v>
      </c>
      <c r="AD67" s="8" t="n">
        <v>4</v>
      </c>
      <c r="AE67" s="8" t="n">
        <v>20</v>
      </c>
      <c r="AF67" s="8" t="n">
        <v>24</v>
      </c>
      <c r="AG67" s="8" t="n">
        <v>28</v>
      </c>
      <c r="AH67" s="8"/>
      <c r="AI67" s="8"/>
      <c r="AJ67" s="8" t="n">
        <v>17</v>
      </c>
      <c r="AK67" s="8" t="n">
        <v>8</v>
      </c>
      <c r="AL67" s="8" t="n">
        <v>5</v>
      </c>
      <c r="AM67" s="8"/>
      <c r="AN67" s="8"/>
      <c r="AO67" s="8"/>
      <c r="AP67" s="8"/>
      <c r="AQ67" s="8"/>
      <c r="AR67" s="8" t="n">
        <v>3</v>
      </c>
      <c r="AS67" s="8"/>
      <c r="AT67" s="8"/>
      <c r="AU67" s="8"/>
    </row>
    <row r="68" customFormat="false" ht="15" hidden="false" customHeight="true" outlineLevel="0" collapsed="false">
      <c r="A68" s="8" t="n">
        <v>67</v>
      </c>
      <c r="B68" s="8" t="n">
        <v>9</v>
      </c>
      <c r="C68" s="8" t="s">
        <v>350</v>
      </c>
      <c r="D68" s="8" t="s">
        <v>338</v>
      </c>
      <c r="E68" s="9" t="s">
        <v>355</v>
      </c>
      <c r="F68" s="9" t="s">
        <v>312</v>
      </c>
      <c r="G68" s="8" t="s">
        <v>301</v>
      </c>
      <c r="H68" s="8" t="s">
        <v>302</v>
      </c>
      <c r="I68" s="8" t="s">
        <v>291</v>
      </c>
      <c r="J68" s="8" t="s">
        <v>292</v>
      </c>
      <c r="K68" s="8" t="s">
        <v>293</v>
      </c>
      <c r="L68" s="9" t="s">
        <v>294</v>
      </c>
      <c r="M68" s="8"/>
      <c r="N68" s="8" t="str">
        <f aca="true">IF(M68="","Active (per Notice 1)",IF(M68&lt;TODAY(),"Expired",IF(M68&lt;TODAY()+180,"Expiring Soon","Active")))</f>
        <v>Active (per Notice 1)</v>
      </c>
      <c r="O68" s="10" t="s">
        <v>295</v>
      </c>
      <c r="P68" s="8" t="s">
        <v>296</v>
      </c>
      <c r="Q68" s="8" t="n">
        <v>3.61</v>
      </c>
      <c r="R68" s="8" t="n">
        <v>2</v>
      </c>
      <c r="S68" s="11" t="n">
        <v>44544</v>
      </c>
      <c r="T68" s="8" t="str">
        <f aca="true">IF(S68="","",IF(EDATE(S68,60)&lt;TODAY(),"Expired",IF(EDATE(S68,60)&lt;TODAY()+180,"Expiring Soon","Valid")))</f>
        <v>Valid</v>
      </c>
      <c r="U68" s="8" t="str">
        <f aca="false">IF(P68="","",IF(P68="A++","Top Tier",IF(P68="A+","High",IF(P68="A","Strong",IF(LEFT(P68,1)="B","Acceptable",IF(LEFT(P68,1)="C","Below Avg","-"))))))</f>
        <v>Top Tier</v>
      </c>
      <c r="Y68" s="8" t="n">
        <v>7</v>
      </c>
      <c r="Z68" s="11" t="n">
        <v>45838</v>
      </c>
      <c r="AA68" s="8" t="s">
        <v>357</v>
      </c>
      <c r="AB68" s="8" t="s">
        <v>329</v>
      </c>
      <c r="AC68" s="8" t="n">
        <v>13</v>
      </c>
      <c r="AD68" s="8" t="n">
        <v>4</v>
      </c>
      <c r="AE68" s="8" t="n">
        <v>20</v>
      </c>
      <c r="AF68" s="8" t="n">
        <v>24</v>
      </c>
      <c r="AG68" s="8" t="n">
        <v>28</v>
      </c>
      <c r="AH68" s="8"/>
      <c r="AI68" s="8"/>
      <c r="AJ68" s="8" t="n">
        <v>17</v>
      </c>
      <c r="AK68" s="8" t="n">
        <v>8</v>
      </c>
      <c r="AL68" s="8" t="n">
        <v>5</v>
      </c>
      <c r="AM68" s="8"/>
      <c r="AN68" s="8"/>
      <c r="AO68" s="8"/>
      <c r="AP68" s="8"/>
      <c r="AQ68" s="8"/>
      <c r="AR68" s="8" t="n">
        <v>3</v>
      </c>
      <c r="AS68" s="8"/>
      <c r="AT68" s="8"/>
      <c r="AU68" s="8"/>
    </row>
    <row r="69" customFormat="false" ht="15" hidden="false" customHeight="true" outlineLevel="0" collapsed="false">
      <c r="A69" s="8" t="n">
        <v>68</v>
      </c>
      <c r="B69" s="8" t="n">
        <v>9</v>
      </c>
      <c r="C69" s="8" t="s">
        <v>350</v>
      </c>
      <c r="D69" s="8" t="s">
        <v>338</v>
      </c>
      <c r="E69" s="9" t="s">
        <v>355</v>
      </c>
      <c r="F69" s="9" t="s">
        <v>362</v>
      </c>
      <c r="G69" s="8" t="s">
        <v>301</v>
      </c>
      <c r="H69" s="8" t="s">
        <v>302</v>
      </c>
      <c r="I69" s="8" t="s">
        <v>291</v>
      </c>
      <c r="J69" s="8" t="s">
        <v>292</v>
      </c>
      <c r="K69" s="8" t="s">
        <v>293</v>
      </c>
      <c r="L69" s="9" t="s">
        <v>294</v>
      </c>
      <c r="M69" s="8"/>
      <c r="N69" s="8" t="str">
        <f aca="true">IF(M69="","Active (per Notice 1)",IF(M69&lt;TODAY(),"Expired",IF(M69&lt;TODAY()+180,"Expiring Soon","Active")))</f>
        <v>Active (per Notice 1)</v>
      </c>
      <c r="O69" s="10" t="s">
        <v>295</v>
      </c>
      <c r="P69" s="8" t="s">
        <v>296</v>
      </c>
      <c r="Q69" s="8" t="n">
        <v>3.61</v>
      </c>
      <c r="R69" s="8" t="n">
        <v>2</v>
      </c>
      <c r="S69" s="11" t="n">
        <v>44544</v>
      </c>
      <c r="T69" s="8" t="str">
        <f aca="true">IF(S69="","",IF(EDATE(S69,60)&lt;TODAY(),"Expired",IF(EDATE(S69,60)&lt;TODAY()+180,"Expiring Soon","Valid")))</f>
        <v>Valid</v>
      </c>
      <c r="U69" s="8" t="str">
        <f aca="false">IF(P69="","",IF(P69="A++","Top Tier",IF(P69="A+","High",IF(P69="A","Strong",IF(LEFT(P69,1)="B","Acceptable",IF(LEFT(P69,1)="C","Below Avg","-"))))))</f>
        <v>Top Tier</v>
      </c>
      <c r="Y69" s="8" t="n">
        <v>7</v>
      </c>
      <c r="Z69" s="11" t="n">
        <v>45838</v>
      </c>
      <c r="AA69" s="8" t="s">
        <v>357</v>
      </c>
      <c r="AB69" s="8" t="s">
        <v>329</v>
      </c>
      <c r="AC69" s="8" t="n">
        <v>13</v>
      </c>
      <c r="AD69" s="8" t="n">
        <v>4</v>
      </c>
      <c r="AE69" s="8" t="n">
        <v>20</v>
      </c>
      <c r="AF69" s="8" t="n">
        <v>24</v>
      </c>
      <c r="AG69" s="8" t="n">
        <v>28</v>
      </c>
      <c r="AH69" s="8"/>
      <c r="AI69" s="8"/>
      <c r="AJ69" s="8" t="n">
        <v>17</v>
      </c>
      <c r="AK69" s="8" t="n">
        <v>8</v>
      </c>
      <c r="AL69" s="8" t="n">
        <v>5</v>
      </c>
      <c r="AM69" s="8"/>
      <c r="AN69" s="8"/>
      <c r="AO69" s="8"/>
      <c r="AP69" s="8"/>
      <c r="AQ69" s="8"/>
      <c r="AR69" s="8" t="n">
        <v>3</v>
      </c>
      <c r="AS69" s="8"/>
      <c r="AT69" s="8"/>
      <c r="AU69" s="8"/>
    </row>
    <row r="70" customFormat="false" ht="15" hidden="false" customHeight="true" outlineLevel="0" collapsed="false">
      <c r="A70" s="8" t="n">
        <v>69</v>
      </c>
      <c r="B70" s="8" t="n">
        <v>9</v>
      </c>
      <c r="C70" s="8" t="s">
        <v>350</v>
      </c>
      <c r="D70" s="8" t="s">
        <v>338</v>
      </c>
      <c r="E70" s="9" t="s">
        <v>355</v>
      </c>
      <c r="F70" s="9" t="s">
        <v>347</v>
      </c>
      <c r="G70" s="8" t="s">
        <v>301</v>
      </c>
      <c r="H70" s="8" t="s">
        <v>302</v>
      </c>
      <c r="I70" s="8" t="s">
        <v>291</v>
      </c>
      <c r="J70" s="8" t="s">
        <v>292</v>
      </c>
      <c r="K70" s="8" t="s">
        <v>293</v>
      </c>
      <c r="L70" s="9" t="s">
        <v>294</v>
      </c>
      <c r="M70" s="8"/>
      <c r="N70" s="8" t="str">
        <f aca="true">IF(M70="","Active (per Notice 1)",IF(M70&lt;TODAY(),"Expired",IF(M70&lt;TODAY()+180,"Expiring Soon","Active")))</f>
        <v>Active (per Notice 1)</v>
      </c>
      <c r="O70" s="10" t="s">
        <v>295</v>
      </c>
      <c r="P70" s="8" t="s">
        <v>296</v>
      </c>
      <c r="Q70" s="8" t="n">
        <v>3.61</v>
      </c>
      <c r="R70" s="8" t="n">
        <v>2</v>
      </c>
      <c r="S70" s="11" t="n">
        <v>44544</v>
      </c>
      <c r="T70" s="8" t="str">
        <f aca="true">IF(S70="","",IF(EDATE(S70,60)&lt;TODAY(),"Expired",IF(EDATE(S70,60)&lt;TODAY()+180,"Expiring Soon","Valid")))</f>
        <v>Valid</v>
      </c>
      <c r="U70" s="8" t="str">
        <f aca="false">IF(P70="","",IF(P70="A++","Top Tier",IF(P70="A+","High",IF(P70="A","Strong",IF(LEFT(P70,1)="B","Acceptable",IF(LEFT(P70,1)="C","Below Avg","-"))))))</f>
        <v>Top Tier</v>
      </c>
      <c r="Y70" s="8" t="n">
        <v>7</v>
      </c>
      <c r="Z70" s="11" t="n">
        <v>45838</v>
      </c>
      <c r="AA70" s="8" t="s">
        <v>357</v>
      </c>
      <c r="AB70" s="8" t="s">
        <v>329</v>
      </c>
      <c r="AC70" s="8" t="n">
        <v>13</v>
      </c>
      <c r="AD70" s="8" t="n">
        <v>4</v>
      </c>
      <c r="AE70" s="8" t="n">
        <v>20</v>
      </c>
      <c r="AF70" s="8" t="n">
        <v>24</v>
      </c>
      <c r="AG70" s="8" t="n">
        <v>28</v>
      </c>
      <c r="AH70" s="8"/>
      <c r="AI70" s="8"/>
      <c r="AJ70" s="8" t="n">
        <v>17</v>
      </c>
      <c r="AK70" s="8" t="n">
        <v>8</v>
      </c>
      <c r="AL70" s="8" t="n">
        <v>5</v>
      </c>
      <c r="AM70" s="8"/>
      <c r="AN70" s="8"/>
      <c r="AO70" s="8"/>
      <c r="AP70" s="8"/>
      <c r="AQ70" s="8"/>
      <c r="AR70" s="8" t="n">
        <v>3</v>
      </c>
      <c r="AS70" s="8"/>
      <c r="AT70" s="8"/>
      <c r="AU70" s="8"/>
    </row>
    <row r="71" customFormat="false" ht="15" hidden="false" customHeight="true" outlineLevel="0" collapsed="false">
      <c r="A71" s="8" t="n">
        <v>70</v>
      </c>
      <c r="B71" s="8" t="n">
        <v>9</v>
      </c>
      <c r="C71" s="8" t="s">
        <v>350</v>
      </c>
      <c r="D71" s="8" t="s">
        <v>338</v>
      </c>
      <c r="E71" s="9" t="s">
        <v>355</v>
      </c>
      <c r="F71" s="9" t="s">
        <v>363</v>
      </c>
      <c r="G71" s="8" t="s">
        <v>301</v>
      </c>
      <c r="H71" s="8" t="s">
        <v>302</v>
      </c>
      <c r="I71" s="8" t="s">
        <v>291</v>
      </c>
      <c r="J71" s="8" t="s">
        <v>292</v>
      </c>
      <c r="K71" s="8" t="s">
        <v>293</v>
      </c>
      <c r="L71" s="9" t="s">
        <v>294</v>
      </c>
      <c r="M71" s="8"/>
      <c r="N71" s="8" t="str">
        <f aca="true">IF(M71="","Active (per Notice 1)",IF(M71&lt;TODAY(),"Expired",IF(M71&lt;TODAY()+180,"Expiring Soon","Active")))</f>
        <v>Active (per Notice 1)</v>
      </c>
      <c r="O71" s="10" t="s">
        <v>295</v>
      </c>
      <c r="P71" s="8" t="s">
        <v>296</v>
      </c>
      <c r="Q71" s="8" t="n">
        <v>3.61</v>
      </c>
      <c r="R71" s="8" t="n">
        <v>2</v>
      </c>
      <c r="S71" s="11" t="n">
        <v>44544</v>
      </c>
      <c r="T71" s="8" t="str">
        <f aca="true">IF(S71="","",IF(EDATE(S71,60)&lt;TODAY(),"Expired",IF(EDATE(S71,60)&lt;TODAY()+180,"Expiring Soon","Valid")))</f>
        <v>Valid</v>
      </c>
      <c r="U71" s="8" t="str">
        <f aca="false">IF(P71="","",IF(P71="A++","Top Tier",IF(P71="A+","High",IF(P71="A","Strong",IF(LEFT(P71,1)="B","Acceptable",IF(LEFT(P71,1)="C","Below Avg","-"))))))</f>
        <v>Top Tier</v>
      </c>
      <c r="Y71" s="8" t="n">
        <v>7</v>
      </c>
      <c r="Z71" s="11" t="n">
        <v>45838</v>
      </c>
      <c r="AA71" s="8" t="s">
        <v>357</v>
      </c>
      <c r="AB71" s="8" t="s">
        <v>329</v>
      </c>
      <c r="AC71" s="8" t="n">
        <v>13</v>
      </c>
      <c r="AD71" s="8" t="n">
        <v>4</v>
      </c>
      <c r="AE71" s="8" t="n">
        <v>20</v>
      </c>
      <c r="AF71" s="8" t="n">
        <v>24</v>
      </c>
      <c r="AG71" s="8" t="n">
        <v>28</v>
      </c>
      <c r="AH71" s="8"/>
      <c r="AI71" s="8"/>
      <c r="AJ71" s="8" t="n">
        <v>17</v>
      </c>
      <c r="AK71" s="8" t="n">
        <v>8</v>
      </c>
      <c r="AL71" s="8" t="n">
        <v>5</v>
      </c>
      <c r="AM71" s="8"/>
      <c r="AN71" s="8"/>
      <c r="AO71" s="8"/>
      <c r="AP71" s="8"/>
      <c r="AQ71" s="8"/>
      <c r="AR71" s="8" t="n">
        <v>3</v>
      </c>
      <c r="AS71" s="8"/>
      <c r="AT71" s="8"/>
      <c r="AU71" s="8"/>
    </row>
    <row r="72" customFormat="false" ht="15" hidden="false" customHeight="true" outlineLevel="0" collapsed="false">
      <c r="A72" s="8" t="n">
        <v>71</v>
      </c>
      <c r="B72" s="8" t="n">
        <v>9</v>
      </c>
      <c r="C72" s="8" t="s">
        <v>350</v>
      </c>
      <c r="D72" s="8" t="s">
        <v>338</v>
      </c>
      <c r="E72" s="9" t="s">
        <v>355</v>
      </c>
      <c r="F72" s="9" t="s">
        <v>310</v>
      </c>
      <c r="G72" s="8" t="s">
        <v>301</v>
      </c>
      <c r="H72" s="8" t="s">
        <v>302</v>
      </c>
      <c r="I72" s="8" t="s">
        <v>291</v>
      </c>
      <c r="J72" s="8" t="s">
        <v>292</v>
      </c>
      <c r="K72" s="8" t="s">
        <v>293</v>
      </c>
      <c r="L72" s="9" t="s">
        <v>294</v>
      </c>
      <c r="M72" s="8"/>
      <c r="N72" s="8" t="str">
        <f aca="true">IF(M72="","Active (per Notice 1)",IF(M72&lt;TODAY(),"Expired",IF(M72&lt;TODAY()+180,"Expiring Soon","Active")))</f>
        <v>Active (per Notice 1)</v>
      </c>
      <c r="O72" s="10" t="s">
        <v>295</v>
      </c>
      <c r="P72" s="8" t="s">
        <v>296</v>
      </c>
      <c r="Q72" s="8" t="n">
        <v>3.61</v>
      </c>
      <c r="R72" s="8" t="n">
        <v>2</v>
      </c>
      <c r="S72" s="11" t="n">
        <v>44544</v>
      </c>
      <c r="T72" s="8" t="str">
        <f aca="true">IF(S72="","",IF(EDATE(S72,60)&lt;TODAY(),"Expired",IF(EDATE(S72,60)&lt;TODAY()+180,"Expiring Soon","Valid")))</f>
        <v>Valid</v>
      </c>
      <c r="U72" s="8" t="str">
        <f aca="false">IF(P72="","",IF(P72="A++","Top Tier",IF(P72="A+","High",IF(P72="A","Strong",IF(LEFT(P72,1)="B","Acceptable",IF(LEFT(P72,1)="C","Below Avg","-"))))))</f>
        <v>Top Tier</v>
      </c>
      <c r="Y72" s="8" t="n">
        <v>7</v>
      </c>
      <c r="Z72" s="11" t="n">
        <v>45838</v>
      </c>
      <c r="AA72" s="8" t="s">
        <v>357</v>
      </c>
      <c r="AB72" s="8" t="s">
        <v>329</v>
      </c>
      <c r="AC72" s="8" t="n">
        <v>13</v>
      </c>
      <c r="AD72" s="8" t="n">
        <v>4</v>
      </c>
      <c r="AE72" s="8" t="n">
        <v>20</v>
      </c>
      <c r="AF72" s="8" t="n">
        <v>24</v>
      </c>
      <c r="AG72" s="8" t="n">
        <v>28</v>
      </c>
      <c r="AH72" s="8"/>
      <c r="AI72" s="8"/>
      <c r="AJ72" s="8" t="n">
        <v>17</v>
      </c>
      <c r="AK72" s="8" t="n">
        <v>8</v>
      </c>
      <c r="AL72" s="8" t="n">
        <v>5</v>
      </c>
      <c r="AM72" s="8"/>
      <c r="AN72" s="8"/>
      <c r="AO72" s="8"/>
      <c r="AP72" s="8"/>
      <c r="AQ72" s="8"/>
      <c r="AR72" s="8" t="n">
        <v>3</v>
      </c>
      <c r="AS72" s="8"/>
      <c r="AT72" s="8"/>
      <c r="AU72" s="8"/>
    </row>
    <row r="73" customFormat="false" ht="15" hidden="false" customHeight="true" outlineLevel="0" collapsed="false">
      <c r="A73" s="8" t="n">
        <v>72</v>
      </c>
      <c r="B73" s="8" t="n">
        <v>9</v>
      </c>
      <c r="C73" s="8" t="s">
        <v>350</v>
      </c>
      <c r="D73" s="8" t="s">
        <v>338</v>
      </c>
      <c r="E73" s="9" t="s">
        <v>355</v>
      </c>
      <c r="F73" s="9" t="s">
        <v>300</v>
      </c>
      <c r="G73" s="8" t="s">
        <v>301</v>
      </c>
      <c r="H73" s="8" t="s">
        <v>302</v>
      </c>
      <c r="I73" s="8" t="s">
        <v>291</v>
      </c>
      <c r="J73" s="8" t="s">
        <v>292</v>
      </c>
      <c r="K73" s="8" t="s">
        <v>293</v>
      </c>
      <c r="L73" s="9" t="s">
        <v>294</v>
      </c>
      <c r="M73" s="8"/>
      <c r="N73" s="8" t="str">
        <f aca="true">IF(M73="","Active (per Notice 1)",IF(M73&lt;TODAY(),"Expired",IF(M73&lt;TODAY()+180,"Expiring Soon","Active")))</f>
        <v>Active (per Notice 1)</v>
      </c>
      <c r="O73" s="10" t="s">
        <v>295</v>
      </c>
      <c r="P73" s="8" t="s">
        <v>296</v>
      </c>
      <c r="Q73" s="8" t="n">
        <v>3.61</v>
      </c>
      <c r="R73" s="8" t="n">
        <v>2</v>
      </c>
      <c r="S73" s="11" t="n">
        <v>44544</v>
      </c>
      <c r="T73" s="8" t="str">
        <f aca="true">IF(S73="","",IF(EDATE(S73,60)&lt;TODAY(),"Expired",IF(EDATE(S73,60)&lt;TODAY()+180,"Expiring Soon","Valid")))</f>
        <v>Valid</v>
      </c>
      <c r="U73" s="8" t="str">
        <f aca="false">IF(P73="","",IF(P73="A++","Top Tier",IF(P73="A+","High",IF(P73="A","Strong",IF(LEFT(P73,1)="B","Acceptable",IF(LEFT(P73,1)="C","Below Avg","-"))))))</f>
        <v>Top Tier</v>
      </c>
      <c r="Y73" s="8" t="n">
        <v>7</v>
      </c>
      <c r="Z73" s="11" t="n">
        <v>45838</v>
      </c>
      <c r="AA73" s="8" t="s">
        <v>357</v>
      </c>
      <c r="AB73" s="8" t="s">
        <v>329</v>
      </c>
      <c r="AC73" s="8" t="n">
        <v>13</v>
      </c>
      <c r="AD73" s="8" t="n">
        <v>4</v>
      </c>
      <c r="AE73" s="8" t="n">
        <v>20</v>
      </c>
      <c r="AF73" s="8" t="n">
        <v>24</v>
      </c>
      <c r="AG73" s="8" t="n">
        <v>28</v>
      </c>
      <c r="AH73" s="8"/>
      <c r="AI73" s="8"/>
      <c r="AJ73" s="8" t="n">
        <v>17</v>
      </c>
      <c r="AK73" s="8" t="n">
        <v>8</v>
      </c>
      <c r="AL73" s="8" t="n">
        <v>5</v>
      </c>
      <c r="AM73" s="8"/>
      <c r="AN73" s="8"/>
      <c r="AO73" s="8"/>
      <c r="AP73" s="8"/>
      <c r="AQ73" s="8"/>
      <c r="AR73" s="8" t="n">
        <v>3</v>
      </c>
      <c r="AS73" s="8"/>
      <c r="AT73" s="8"/>
      <c r="AU73" s="8"/>
    </row>
    <row r="74" customFormat="false" ht="15" hidden="false" customHeight="true" outlineLevel="0" collapsed="false">
      <c r="A74" s="8" t="n">
        <v>73</v>
      </c>
      <c r="B74" s="8" t="n">
        <v>9</v>
      </c>
      <c r="C74" s="8" t="s">
        <v>350</v>
      </c>
      <c r="D74" s="8" t="s">
        <v>338</v>
      </c>
      <c r="E74" s="9" t="s">
        <v>355</v>
      </c>
      <c r="F74" s="9" t="s">
        <v>364</v>
      </c>
      <c r="G74" s="8" t="s">
        <v>309</v>
      </c>
      <c r="H74" s="8" t="s">
        <v>302</v>
      </c>
      <c r="I74" s="8" t="s">
        <v>291</v>
      </c>
      <c r="J74" s="8" t="s">
        <v>292</v>
      </c>
      <c r="K74" s="8" t="s">
        <v>293</v>
      </c>
      <c r="L74" s="9" t="s">
        <v>294</v>
      </c>
      <c r="M74" s="8"/>
      <c r="N74" s="8" t="str">
        <f aca="true">IF(M74="","Active (per Notice 1)",IF(M74&lt;TODAY(),"Expired",IF(M74&lt;TODAY()+180,"Expiring Soon","Active")))</f>
        <v>Active (per Notice 1)</v>
      </c>
      <c r="O74" s="10" t="s">
        <v>295</v>
      </c>
      <c r="P74" s="8" t="s">
        <v>296</v>
      </c>
      <c r="Q74" s="8" t="n">
        <v>3.61</v>
      </c>
      <c r="R74" s="8" t="n">
        <v>2</v>
      </c>
      <c r="S74" s="11" t="n">
        <v>44544</v>
      </c>
      <c r="T74" s="8" t="str">
        <f aca="true">IF(S74="","",IF(EDATE(S74,60)&lt;TODAY(),"Expired",IF(EDATE(S74,60)&lt;TODAY()+180,"Expiring Soon","Valid")))</f>
        <v>Valid</v>
      </c>
      <c r="U74" s="8" t="str">
        <f aca="false">IF(P74="","",IF(P74="A++","Top Tier",IF(P74="A+","High",IF(P74="A","Strong",IF(LEFT(P74,1)="B","Acceptable",IF(LEFT(P74,1)="C","Below Avg","-"))))))</f>
        <v>Top Tier</v>
      </c>
      <c r="Y74" s="8" t="n">
        <v>7</v>
      </c>
      <c r="Z74" s="11" t="n">
        <v>45838</v>
      </c>
      <c r="AA74" s="8" t="s">
        <v>357</v>
      </c>
      <c r="AB74" s="8" t="s">
        <v>329</v>
      </c>
      <c r="AC74" s="8" t="n">
        <v>13</v>
      </c>
      <c r="AD74" s="8" t="n">
        <v>4</v>
      </c>
      <c r="AE74" s="8" t="n">
        <v>20</v>
      </c>
      <c r="AF74" s="8" t="n">
        <v>24</v>
      </c>
      <c r="AG74" s="8" t="n">
        <v>28</v>
      </c>
      <c r="AH74" s="8"/>
      <c r="AI74" s="8"/>
      <c r="AJ74" s="8" t="n">
        <v>17</v>
      </c>
      <c r="AK74" s="8" t="n">
        <v>8</v>
      </c>
      <c r="AL74" s="8" t="n">
        <v>5</v>
      </c>
      <c r="AM74" s="8"/>
      <c r="AN74" s="8"/>
      <c r="AO74" s="8"/>
      <c r="AP74" s="8"/>
      <c r="AQ74" s="8"/>
      <c r="AR74" s="8" t="n">
        <v>3</v>
      </c>
      <c r="AS74" s="8"/>
      <c r="AT74" s="8"/>
      <c r="AU74" s="8"/>
    </row>
    <row r="75" customFormat="false" ht="15" hidden="false" customHeight="true" outlineLevel="0" collapsed="false">
      <c r="A75" s="8" t="n">
        <v>74</v>
      </c>
      <c r="B75" s="8" t="n">
        <v>10</v>
      </c>
      <c r="C75" s="8" t="s">
        <v>350</v>
      </c>
      <c r="D75" s="8" t="s">
        <v>338</v>
      </c>
      <c r="E75" s="9" t="s">
        <v>365</v>
      </c>
      <c r="F75" s="9" t="s">
        <v>366</v>
      </c>
      <c r="G75" s="8" t="s">
        <v>301</v>
      </c>
      <c r="H75" s="8" t="s">
        <v>302</v>
      </c>
      <c r="I75" s="8" t="s">
        <v>291</v>
      </c>
      <c r="J75" s="8" t="s">
        <v>292</v>
      </c>
      <c r="K75" s="8" t="s">
        <v>293</v>
      </c>
      <c r="L75" s="9" t="s">
        <v>294</v>
      </c>
      <c r="M75" s="8"/>
      <c r="N75" s="8" t="str">
        <f aca="true">IF(M75="","Active (per Notice 1)",IF(M75&lt;TODAY(),"Expired",IF(M75&lt;TODAY()+180,"Expiring Soon","Active")))</f>
        <v>Active (per Notice 1)</v>
      </c>
      <c r="O75" s="10" t="s">
        <v>295</v>
      </c>
      <c r="P75" s="8" t="s">
        <v>296</v>
      </c>
      <c r="Q75" s="8" t="n">
        <v>3.62</v>
      </c>
      <c r="R75" s="8" t="n">
        <v>3</v>
      </c>
      <c r="S75" s="11" t="n">
        <v>45540</v>
      </c>
      <c r="T75" s="8" t="str">
        <f aca="true">IF(S75="","",IF(EDATE(S75,60)&lt;TODAY(),"Expired",IF(EDATE(S75,60)&lt;TODAY()+180,"Expiring Soon","Valid")))</f>
        <v>Valid</v>
      </c>
      <c r="U75" s="8" t="str">
        <f aca="false">IF(P75="","",IF(P75="A++","Top Tier",IF(P75="A+","High",IF(P75="A","Strong",IF(LEFT(P75,1)="B","Acceptable",IF(LEFT(P75,1)="C","Below Avg","-"))))))</f>
        <v>Top Tier</v>
      </c>
      <c r="AC75" s="8" t="n">
        <v>9</v>
      </c>
      <c r="AD75" s="8" t="n">
        <v>2</v>
      </c>
      <c r="AE75" s="8" t="n">
        <v>21</v>
      </c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 t="n">
        <v>7</v>
      </c>
      <c r="AS75" s="8"/>
      <c r="AT75" s="8"/>
      <c r="AU75" s="8"/>
    </row>
    <row r="76" customFormat="false" ht="15" hidden="false" customHeight="true" outlineLevel="0" collapsed="false">
      <c r="A76" s="8" t="n">
        <v>75</v>
      </c>
      <c r="B76" s="8" t="n">
        <v>11</v>
      </c>
      <c r="C76" s="8" t="s">
        <v>350</v>
      </c>
      <c r="D76" s="8" t="s">
        <v>338</v>
      </c>
      <c r="E76" s="9" t="s">
        <v>367</v>
      </c>
      <c r="F76" s="9" t="s">
        <v>368</v>
      </c>
      <c r="G76" s="8" t="s">
        <v>369</v>
      </c>
      <c r="H76" s="8" t="s">
        <v>290</v>
      </c>
      <c r="I76" s="8" t="s">
        <v>291</v>
      </c>
      <c r="J76" s="8" t="s">
        <v>292</v>
      </c>
      <c r="K76" s="8" t="s">
        <v>293</v>
      </c>
      <c r="L76" s="9" t="s">
        <v>294</v>
      </c>
      <c r="M76" s="8"/>
      <c r="N76" s="8" t="str">
        <f aca="true">IF(M76="","Active (per Notice 1)",IF(M76&lt;TODAY(),"Expired",IF(M76&lt;TODAY()+180,"Expiring Soon","Active")))</f>
        <v>Active (per Notice 1)</v>
      </c>
      <c r="O76" s="10" t="s">
        <v>295</v>
      </c>
      <c r="P76" s="8" t="s">
        <v>296</v>
      </c>
      <c r="Q76" s="8" t="n">
        <v>3.6</v>
      </c>
      <c r="R76" s="8" t="n">
        <v>2</v>
      </c>
      <c r="S76" s="11" t="n">
        <v>45065</v>
      </c>
      <c r="T76" s="8" t="str">
        <f aca="true">IF(S76="","",IF(EDATE(S76,60)&lt;TODAY(),"Expired",IF(EDATE(S76,60)&lt;TODAY()+180,"Expiring Soon","Valid")))</f>
        <v>Valid</v>
      </c>
      <c r="U76" s="8" t="str">
        <f aca="false">IF(P76="","",IF(P76="A++","Top Tier",IF(P76="A+","High",IF(P76="A","Strong",IF(LEFT(P76,1)="B","Acceptable",IF(LEFT(P76,1)="C","Below Avg","-"))))))</f>
        <v>Top Tier</v>
      </c>
      <c r="AT76" s="8"/>
      <c r="AU76" s="8"/>
    </row>
    <row r="77" customFormat="false" ht="15" hidden="false" customHeight="true" outlineLevel="0" collapsed="false">
      <c r="A77" s="8" t="n">
        <v>76</v>
      </c>
      <c r="B77" s="8" t="n">
        <v>11</v>
      </c>
      <c r="C77" s="8" t="s">
        <v>350</v>
      </c>
      <c r="D77" s="8" t="s">
        <v>338</v>
      </c>
      <c r="E77" s="9" t="s">
        <v>367</v>
      </c>
      <c r="F77" s="9" t="s">
        <v>370</v>
      </c>
      <c r="G77" s="8" t="s">
        <v>369</v>
      </c>
      <c r="H77" s="8" t="s">
        <v>290</v>
      </c>
      <c r="I77" s="8" t="s">
        <v>291</v>
      </c>
      <c r="J77" s="8" t="s">
        <v>292</v>
      </c>
      <c r="K77" s="8" t="s">
        <v>293</v>
      </c>
      <c r="L77" s="9" t="s">
        <v>294</v>
      </c>
      <c r="M77" s="8"/>
      <c r="N77" s="8" t="str">
        <f aca="true">IF(M77="","Active (per Notice 1)",IF(M77&lt;TODAY(),"Expired",IF(M77&lt;TODAY()+180,"Expiring Soon","Active")))</f>
        <v>Active (per Notice 1)</v>
      </c>
      <c r="O77" s="10" t="s">
        <v>295</v>
      </c>
      <c r="P77" s="8" t="s">
        <v>296</v>
      </c>
      <c r="Q77" s="8" t="n">
        <v>3.6</v>
      </c>
      <c r="R77" s="8" t="n">
        <v>2</v>
      </c>
      <c r="S77" s="11" t="n">
        <v>45065</v>
      </c>
      <c r="T77" s="8" t="str">
        <f aca="true">IF(S77="","",IF(EDATE(S77,60)&lt;TODAY(),"Expired",IF(EDATE(S77,60)&lt;TODAY()+180,"Expiring Soon","Valid")))</f>
        <v>Valid</v>
      </c>
      <c r="U77" s="8" t="str">
        <f aca="false">IF(P77="","",IF(P77="A++","Top Tier",IF(P77="A+","High",IF(P77="A","Strong",IF(LEFT(P77,1)="B","Acceptable",IF(LEFT(P77,1)="C","Below Avg","-"))))))</f>
        <v>Top Tier</v>
      </c>
      <c r="AT77" s="8"/>
      <c r="AU77" s="8"/>
    </row>
    <row r="78" customFormat="false" ht="15" hidden="false" customHeight="true" outlineLevel="0" collapsed="false">
      <c r="A78" s="8" t="n">
        <v>77</v>
      </c>
      <c r="B78" s="8" t="n">
        <v>11</v>
      </c>
      <c r="C78" s="8" t="s">
        <v>350</v>
      </c>
      <c r="D78" s="8" t="s">
        <v>338</v>
      </c>
      <c r="E78" s="9" t="s">
        <v>367</v>
      </c>
      <c r="F78" s="9" t="s">
        <v>371</v>
      </c>
      <c r="G78" s="8" t="s">
        <v>372</v>
      </c>
      <c r="H78" s="8" t="s">
        <v>302</v>
      </c>
      <c r="I78" s="8" t="s">
        <v>291</v>
      </c>
      <c r="J78" s="8" t="s">
        <v>292</v>
      </c>
      <c r="K78" s="8" t="s">
        <v>293</v>
      </c>
      <c r="L78" s="9" t="s">
        <v>294</v>
      </c>
      <c r="M78" s="8"/>
      <c r="N78" s="8" t="str">
        <f aca="true">IF(M78="","Active (per Notice 1)",IF(M78&lt;TODAY(),"Expired",IF(M78&lt;TODAY()+180,"Expiring Soon","Active")))</f>
        <v>Active (per Notice 1)</v>
      </c>
      <c r="O78" s="10" t="s">
        <v>295</v>
      </c>
      <c r="P78" s="8" t="s">
        <v>296</v>
      </c>
      <c r="Q78" s="8" t="n">
        <v>3.6</v>
      </c>
      <c r="R78" s="8" t="n">
        <v>2</v>
      </c>
      <c r="S78" s="11" t="n">
        <v>45065</v>
      </c>
      <c r="T78" s="8" t="str">
        <f aca="true">IF(S78="","",IF(EDATE(S78,60)&lt;TODAY(),"Expired",IF(EDATE(S78,60)&lt;TODAY()+180,"Expiring Soon","Valid")))</f>
        <v>Valid</v>
      </c>
      <c r="U78" s="8" t="str">
        <f aca="false">IF(P78="","",IF(P78="A++","Top Tier",IF(P78="A+","High",IF(P78="A","Strong",IF(LEFT(P78,1)="B","Acceptable",IF(LEFT(P78,1)="C","Below Avg","-"))))))</f>
        <v>Top Tier</v>
      </c>
      <c r="AT78" s="8"/>
      <c r="AU78" s="8"/>
    </row>
    <row r="79" customFormat="false" ht="15" hidden="false" customHeight="true" outlineLevel="0" collapsed="false">
      <c r="A79" s="8" t="n">
        <v>78</v>
      </c>
      <c r="B79" s="8" t="n">
        <v>11</v>
      </c>
      <c r="C79" s="8" t="s">
        <v>350</v>
      </c>
      <c r="D79" s="8" t="s">
        <v>338</v>
      </c>
      <c r="E79" s="9" t="s">
        <v>367</v>
      </c>
      <c r="F79" s="9" t="s">
        <v>373</v>
      </c>
      <c r="G79" s="8" t="s">
        <v>372</v>
      </c>
      <c r="H79" s="8" t="s">
        <v>302</v>
      </c>
      <c r="I79" s="8" t="s">
        <v>291</v>
      </c>
      <c r="J79" s="8" t="s">
        <v>292</v>
      </c>
      <c r="K79" s="8" t="s">
        <v>293</v>
      </c>
      <c r="L79" s="9" t="s">
        <v>294</v>
      </c>
      <c r="M79" s="8"/>
      <c r="N79" s="8" t="str">
        <f aca="true">IF(M79="","Active (per Notice 1)",IF(M79&lt;TODAY(),"Expired",IF(M79&lt;TODAY()+180,"Expiring Soon","Active")))</f>
        <v>Active (per Notice 1)</v>
      </c>
      <c r="O79" s="10" t="s">
        <v>295</v>
      </c>
      <c r="P79" s="8" t="s">
        <v>296</v>
      </c>
      <c r="Q79" s="8" t="n">
        <v>3.6</v>
      </c>
      <c r="R79" s="8" t="n">
        <v>2</v>
      </c>
      <c r="S79" s="11" t="n">
        <v>45065</v>
      </c>
      <c r="T79" s="8" t="str">
        <f aca="true">IF(S79="","",IF(EDATE(S79,60)&lt;TODAY(),"Expired",IF(EDATE(S79,60)&lt;TODAY()+180,"Expiring Soon","Valid")))</f>
        <v>Valid</v>
      </c>
      <c r="U79" s="8" t="str">
        <f aca="false">IF(P79="","",IF(P79="A++","Top Tier",IF(P79="A+","High",IF(P79="A","Strong",IF(LEFT(P79,1)="B","Acceptable",IF(LEFT(P79,1)="C","Below Avg","-"))))))</f>
        <v>Top Tier</v>
      </c>
      <c r="AT79" s="8"/>
      <c r="AU79" s="8"/>
    </row>
    <row r="80" customFormat="false" ht="15" hidden="false" customHeight="true" outlineLevel="0" collapsed="false">
      <c r="A80" s="8" t="n">
        <v>79</v>
      </c>
      <c r="B80" s="8" t="n">
        <v>11</v>
      </c>
      <c r="C80" s="8" t="s">
        <v>350</v>
      </c>
      <c r="D80" s="8" t="s">
        <v>338</v>
      </c>
      <c r="E80" s="9" t="s">
        <v>367</v>
      </c>
      <c r="F80" s="9" t="s">
        <v>374</v>
      </c>
      <c r="G80" s="8" t="s">
        <v>372</v>
      </c>
      <c r="H80" s="8" t="s">
        <v>302</v>
      </c>
      <c r="I80" s="8" t="s">
        <v>291</v>
      </c>
      <c r="J80" s="8" t="s">
        <v>292</v>
      </c>
      <c r="K80" s="8" t="s">
        <v>293</v>
      </c>
      <c r="L80" s="9" t="s">
        <v>294</v>
      </c>
      <c r="M80" s="8"/>
      <c r="N80" s="8" t="str">
        <f aca="true">IF(M80="","Active (per Notice 1)",IF(M80&lt;TODAY(),"Expired",IF(M80&lt;TODAY()+180,"Expiring Soon","Active")))</f>
        <v>Active (per Notice 1)</v>
      </c>
      <c r="O80" s="10" t="s">
        <v>295</v>
      </c>
      <c r="P80" s="8" t="s">
        <v>296</v>
      </c>
      <c r="Q80" s="8" t="n">
        <v>3.6</v>
      </c>
      <c r="R80" s="8" t="n">
        <v>2</v>
      </c>
      <c r="S80" s="11" t="n">
        <v>45065</v>
      </c>
      <c r="T80" s="8" t="str">
        <f aca="true">IF(S80="","",IF(EDATE(S80,60)&lt;TODAY(),"Expired",IF(EDATE(S80,60)&lt;TODAY()+180,"Expiring Soon","Valid")))</f>
        <v>Valid</v>
      </c>
      <c r="U80" s="8" t="str">
        <f aca="false">IF(P80="","",IF(P80="A++","Top Tier",IF(P80="A+","High",IF(P80="A","Strong",IF(LEFT(P80,1)="B","Acceptable",IF(LEFT(P80,1)="C","Below Avg","-"))))))</f>
        <v>Top Tier</v>
      </c>
      <c r="AT80" s="8"/>
      <c r="AU80" s="8"/>
    </row>
    <row r="81" customFormat="false" ht="15" hidden="false" customHeight="true" outlineLevel="0" collapsed="false">
      <c r="A81" s="8" t="n">
        <v>80</v>
      </c>
      <c r="B81" s="8" t="n">
        <v>11</v>
      </c>
      <c r="C81" s="8" t="s">
        <v>350</v>
      </c>
      <c r="D81" s="8" t="s">
        <v>338</v>
      </c>
      <c r="E81" s="9" t="s">
        <v>367</v>
      </c>
      <c r="F81" s="9" t="s">
        <v>375</v>
      </c>
      <c r="G81" s="8" t="s">
        <v>369</v>
      </c>
      <c r="H81" s="8" t="s">
        <v>290</v>
      </c>
      <c r="I81" s="8" t="s">
        <v>291</v>
      </c>
      <c r="J81" s="8" t="s">
        <v>292</v>
      </c>
      <c r="K81" s="8" t="s">
        <v>293</v>
      </c>
      <c r="L81" s="9" t="s">
        <v>294</v>
      </c>
      <c r="M81" s="8"/>
      <c r="N81" s="8" t="str">
        <f aca="true">IF(M81="","Active (per Notice 1)",IF(M81&lt;TODAY(),"Expired",IF(M81&lt;TODAY()+180,"Expiring Soon","Active")))</f>
        <v>Active (per Notice 1)</v>
      </c>
      <c r="O81" s="10" t="s">
        <v>295</v>
      </c>
      <c r="P81" s="8" t="s">
        <v>296</v>
      </c>
      <c r="Q81" s="8" t="n">
        <v>3.6</v>
      </c>
      <c r="R81" s="8" t="n">
        <v>2</v>
      </c>
      <c r="S81" s="11" t="n">
        <v>45065</v>
      </c>
      <c r="T81" s="8" t="str">
        <f aca="true">IF(S81="","",IF(EDATE(S81,60)&lt;TODAY(),"Expired",IF(EDATE(S81,60)&lt;TODAY()+180,"Expiring Soon","Valid")))</f>
        <v>Valid</v>
      </c>
      <c r="U81" s="8" t="str">
        <f aca="false">IF(P81="","",IF(P81="A++","Top Tier",IF(P81="A+","High",IF(P81="A","Strong",IF(LEFT(P81,1)="B","Acceptable",IF(LEFT(P81,1)="C","Below Avg","-"))))))</f>
        <v>Top Tier</v>
      </c>
      <c r="AT81" s="8"/>
      <c r="AU81" s="8"/>
    </row>
    <row r="82" customFormat="false" ht="23.25" hidden="false" customHeight="true" outlineLevel="0" collapsed="false">
      <c r="A82" s="8" t="n">
        <v>81</v>
      </c>
      <c r="B82" s="8" t="n">
        <v>12</v>
      </c>
      <c r="C82" s="8" t="s">
        <v>350</v>
      </c>
      <c r="D82" s="8" t="s">
        <v>286</v>
      </c>
      <c r="E82" s="9" t="s">
        <v>376</v>
      </c>
      <c r="F82" s="9" t="s">
        <v>317</v>
      </c>
      <c r="G82" s="8" t="s">
        <v>318</v>
      </c>
      <c r="H82" s="8" t="s">
        <v>290</v>
      </c>
      <c r="I82" s="8" t="s">
        <v>291</v>
      </c>
      <c r="J82" s="8" t="s">
        <v>292</v>
      </c>
      <c r="K82" s="8" t="s">
        <v>293</v>
      </c>
      <c r="L82" s="9" t="s">
        <v>294</v>
      </c>
      <c r="M82" s="8"/>
      <c r="N82" s="8" t="str">
        <f aca="true">IF(M82="","Active (per Notice 1)",IF(M82&lt;TODAY(),"Expired",IF(M82&lt;TODAY()+180,"Expiring Soon","Active")))</f>
        <v>Active (per Notice 1)</v>
      </c>
      <c r="O82" s="12" t="s">
        <v>305</v>
      </c>
      <c r="P82" s="8" t="s">
        <v>296</v>
      </c>
      <c r="Q82" s="8" t="n">
        <v>3.56</v>
      </c>
      <c r="R82" s="8" t="n">
        <v>3</v>
      </c>
      <c r="S82" s="11" t="n">
        <v>44971</v>
      </c>
      <c r="T82" s="8" t="str">
        <f aca="true">IF(S82="","",IF(EDATE(S82,60)&lt;TODAY(),"Expired",IF(EDATE(S82,60)&lt;TODAY()+180,"Expiring Soon","Valid")))</f>
        <v>Valid</v>
      </c>
      <c r="U82" s="8" t="str">
        <f aca="false">IF(P82="","",IF(P82="A++","Top Tier",IF(P82="A+","High",IF(P82="A","Strong",IF(LEFT(P82,1)="B","Acceptable",IF(LEFT(P82,1)="C","Below Avg","-"))))))</f>
        <v>Top Tier</v>
      </c>
      <c r="AC82" s="8"/>
      <c r="AD82" s="8" t="n">
        <v>93</v>
      </c>
      <c r="AE82" s="8"/>
      <c r="AF82" s="8"/>
      <c r="AG82" s="8" t="n">
        <v>76</v>
      </c>
      <c r="AH82" s="8"/>
      <c r="AI82" s="8"/>
      <c r="AJ82" s="8"/>
      <c r="AK82" s="8" t="n">
        <v>22</v>
      </c>
      <c r="AL82" s="8" t="n">
        <v>36</v>
      </c>
      <c r="AM82" s="8"/>
      <c r="AN82" s="8"/>
      <c r="AO82" s="8" t="n">
        <v>22</v>
      </c>
      <c r="AP82" s="8"/>
      <c r="AQ82" s="8"/>
      <c r="AR82" s="8"/>
      <c r="AS82" s="8"/>
      <c r="AT82" s="8"/>
      <c r="AU82" s="8"/>
    </row>
    <row r="83" customFormat="false" ht="23.25" hidden="false" customHeight="true" outlineLevel="0" collapsed="false">
      <c r="A83" s="8" t="n">
        <v>82</v>
      </c>
      <c r="B83" s="8" t="n">
        <v>12</v>
      </c>
      <c r="C83" s="8" t="s">
        <v>350</v>
      </c>
      <c r="D83" s="8" t="s">
        <v>286</v>
      </c>
      <c r="E83" s="9" t="s">
        <v>376</v>
      </c>
      <c r="F83" s="9" t="s">
        <v>299</v>
      </c>
      <c r="G83" s="8" t="s">
        <v>289</v>
      </c>
      <c r="H83" s="8" t="s">
        <v>290</v>
      </c>
      <c r="I83" s="8" t="s">
        <v>291</v>
      </c>
      <c r="J83" s="8" t="s">
        <v>292</v>
      </c>
      <c r="K83" s="8" t="s">
        <v>293</v>
      </c>
      <c r="L83" s="9" t="s">
        <v>294</v>
      </c>
      <c r="M83" s="8"/>
      <c r="N83" s="8" t="str">
        <f aca="true">IF(M83="","Active (per Notice 1)",IF(M83&lt;TODAY(),"Expired",IF(M83&lt;TODAY()+180,"Expiring Soon","Active")))</f>
        <v>Active (per Notice 1)</v>
      </c>
      <c r="O83" s="10" t="s">
        <v>295</v>
      </c>
      <c r="P83" s="8" t="s">
        <v>296</v>
      </c>
      <c r="Q83" s="8" t="n">
        <v>3.56</v>
      </c>
      <c r="R83" s="8" t="n">
        <v>3</v>
      </c>
      <c r="S83" s="11" t="n">
        <v>44971</v>
      </c>
      <c r="T83" s="8" t="str">
        <f aca="true">IF(S83="","",IF(EDATE(S83,60)&lt;TODAY(),"Expired",IF(EDATE(S83,60)&lt;TODAY()+180,"Expiring Soon","Valid")))</f>
        <v>Valid</v>
      </c>
      <c r="U83" s="8" t="str">
        <f aca="false">IF(P83="","",IF(P83="A++","Top Tier",IF(P83="A+","High",IF(P83="A","Strong",IF(LEFT(P83,1)="B","Acceptable",IF(LEFT(P83,1)="C","Below Avg","-"))))))</f>
        <v>Top Tier</v>
      </c>
      <c r="AC83" s="8"/>
      <c r="AD83" s="8" t="n">
        <v>93</v>
      </c>
      <c r="AE83" s="8"/>
      <c r="AF83" s="8"/>
      <c r="AG83" s="8" t="n">
        <v>76</v>
      </c>
      <c r="AH83" s="8"/>
      <c r="AI83" s="8"/>
      <c r="AJ83" s="8"/>
      <c r="AK83" s="8" t="n">
        <v>22</v>
      </c>
      <c r="AL83" s="8" t="n">
        <v>36</v>
      </c>
      <c r="AM83" s="8"/>
      <c r="AN83" s="8"/>
      <c r="AO83" s="8" t="n">
        <v>22</v>
      </c>
      <c r="AP83" s="8"/>
      <c r="AQ83" s="8"/>
      <c r="AR83" s="8"/>
      <c r="AS83" s="8"/>
      <c r="AT83" s="8"/>
      <c r="AU83" s="8"/>
    </row>
    <row r="84" customFormat="false" ht="23.25" hidden="false" customHeight="true" outlineLevel="0" collapsed="false">
      <c r="A84" s="8" t="n">
        <v>83</v>
      </c>
      <c r="B84" s="8" t="n">
        <v>12</v>
      </c>
      <c r="C84" s="8" t="s">
        <v>350</v>
      </c>
      <c r="D84" s="8" t="s">
        <v>286</v>
      </c>
      <c r="E84" s="9" t="s">
        <v>376</v>
      </c>
      <c r="F84" s="9" t="s">
        <v>377</v>
      </c>
      <c r="G84" s="8" t="s">
        <v>301</v>
      </c>
      <c r="H84" s="8" t="s">
        <v>302</v>
      </c>
      <c r="I84" s="8" t="s">
        <v>291</v>
      </c>
      <c r="J84" s="8" t="s">
        <v>292</v>
      </c>
      <c r="K84" s="8" t="s">
        <v>293</v>
      </c>
      <c r="L84" s="9" t="s">
        <v>294</v>
      </c>
      <c r="M84" s="8"/>
      <c r="N84" s="8" t="str">
        <f aca="true">IF(M84="","Active (per Notice 1)",IF(M84&lt;TODAY(),"Expired",IF(M84&lt;TODAY()+180,"Expiring Soon","Active")))</f>
        <v>Active (per Notice 1)</v>
      </c>
      <c r="O84" s="10" t="s">
        <v>295</v>
      </c>
      <c r="P84" s="8" t="s">
        <v>296</v>
      </c>
      <c r="Q84" s="8" t="n">
        <v>3.56</v>
      </c>
      <c r="R84" s="8" t="n">
        <v>3</v>
      </c>
      <c r="S84" s="11" t="n">
        <v>44971</v>
      </c>
      <c r="T84" s="8" t="str">
        <f aca="true">IF(S84="","",IF(EDATE(S84,60)&lt;TODAY(),"Expired",IF(EDATE(S84,60)&lt;TODAY()+180,"Expiring Soon","Valid")))</f>
        <v>Valid</v>
      </c>
      <c r="U84" s="8" t="str">
        <f aca="false">IF(P84="","",IF(P84="A++","Top Tier",IF(P84="A+","High",IF(P84="A","Strong",IF(LEFT(P84,1)="B","Acceptable",IF(LEFT(P84,1)="C","Below Avg","-"))))))</f>
        <v>Top Tier</v>
      </c>
      <c r="AC84" s="8"/>
      <c r="AD84" s="8" t="n">
        <v>93</v>
      </c>
      <c r="AE84" s="8"/>
      <c r="AF84" s="8"/>
      <c r="AG84" s="8" t="n">
        <v>76</v>
      </c>
      <c r="AH84" s="8"/>
      <c r="AI84" s="8"/>
      <c r="AJ84" s="8"/>
      <c r="AK84" s="8" t="n">
        <v>22</v>
      </c>
      <c r="AL84" s="8" t="n">
        <v>36</v>
      </c>
      <c r="AM84" s="8"/>
      <c r="AN84" s="8"/>
      <c r="AO84" s="8" t="n">
        <v>22</v>
      </c>
      <c r="AP84" s="8"/>
      <c r="AQ84" s="8"/>
      <c r="AR84" s="8"/>
      <c r="AS84" s="8"/>
      <c r="AT84" s="8"/>
      <c r="AU84" s="8"/>
    </row>
    <row r="85" customFormat="false" ht="23.25" hidden="false" customHeight="true" outlineLevel="0" collapsed="false">
      <c r="A85" s="8" t="n">
        <v>84</v>
      </c>
      <c r="B85" s="8" t="n">
        <v>12</v>
      </c>
      <c r="C85" s="8" t="s">
        <v>350</v>
      </c>
      <c r="D85" s="8" t="s">
        <v>286</v>
      </c>
      <c r="E85" s="9" t="s">
        <v>376</v>
      </c>
      <c r="F85" s="9" t="s">
        <v>306</v>
      </c>
      <c r="G85" s="8" t="s">
        <v>307</v>
      </c>
      <c r="H85" s="8" t="s">
        <v>302</v>
      </c>
      <c r="I85" s="8" t="s">
        <v>291</v>
      </c>
      <c r="J85" s="8" t="s">
        <v>292</v>
      </c>
      <c r="K85" s="8" t="s">
        <v>293</v>
      </c>
      <c r="L85" s="9" t="s">
        <v>294</v>
      </c>
      <c r="M85" s="8"/>
      <c r="N85" s="8" t="str">
        <f aca="true">IF(M85="","Active (per Notice 1)",IF(M85&lt;TODAY(),"Expired",IF(M85&lt;TODAY()+180,"Expiring Soon","Active")))</f>
        <v>Active (per Notice 1)</v>
      </c>
      <c r="O85" s="12" t="s">
        <v>305</v>
      </c>
      <c r="P85" s="8" t="s">
        <v>296</v>
      </c>
      <c r="Q85" s="8" t="n">
        <v>3.56</v>
      </c>
      <c r="R85" s="8" t="n">
        <v>3</v>
      </c>
      <c r="S85" s="11" t="n">
        <v>44971</v>
      </c>
      <c r="T85" s="8" t="str">
        <f aca="true">IF(S85="","",IF(EDATE(S85,60)&lt;TODAY(),"Expired",IF(EDATE(S85,60)&lt;TODAY()+180,"Expiring Soon","Valid")))</f>
        <v>Valid</v>
      </c>
      <c r="U85" s="8" t="str">
        <f aca="false">IF(P85="","",IF(P85="A++","Top Tier",IF(P85="A+","High",IF(P85="A","Strong",IF(LEFT(P85,1)="B","Acceptable",IF(LEFT(P85,1)="C","Below Avg","-"))))))</f>
        <v>Top Tier</v>
      </c>
      <c r="AC85" s="8"/>
      <c r="AD85" s="8" t="n">
        <v>93</v>
      </c>
      <c r="AE85" s="8"/>
      <c r="AF85" s="8"/>
      <c r="AG85" s="8" t="n">
        <v>76</v>
      </c>
      <c r="AH85" s="8"/>
      <c r="AI85" s="8"/>
      <c r="AJ85" s="8"/>
      <c r="AK85" s="8" t="n">
        <v>22</v>
      </c>
      <c r="AL85" s="8" t="n">
        <v>36</v>
      </c>
      <c r="AM85" s="8"/>
      <c r="AN85" s="8"/>
      <c r="AO85" s="8" t="n">
        <v>22</v>
      </c>
      <c r="AP85" s="8"/>
      <c r="AQ85" s="8"/>
      <c r="AR85" s="8"/>
      <c r="AS85" s="8"/>
      <c r="AT85" s="8"/>
      <c r="AU85" s="8"/>
    </row>
    <row r="86" customFormat="false" ht="15" hidden="false" customHeight="true" outlineLevel="0" collapsed="false">
      <c r="A86" s="8" t="n">
        <v>85</v>
      </c>
      <c r="B86" s="8" t="n">
        <v>13</v>
      </c>
      <c r="C86" s="8" t="s">
        <v>350</v>
      </c>
      <c r="D86" s="8" t="s">
        <v>315</v>
      </c>
      <c r="E86" s="9" t="s">
        <v>378</v>
      </c>
      <c r="F86" s="9" t="s">
        <v>379</v>
      </c>
      <c r="G86" s="8" t="s">
        <v>304</v>
      </c>
      <c r="H86" s="8" t="s">
        <v>302</v>
      </c>
      <c r="I86" s="8" t="s">
        <v>291</v>
      </c>
      <c r="J86" s="8" t="s">
        <v>292</v>
      </c>
      <c r="K86" s="8" t="s">
        <v>293</v>
      </c>
      <c r="L86" s="9" t="s">
        <v>294</v>
      </c>
      <c r="M86" s="8"/>
      <c r="N86" s="8" t="str">
        <f aca="true">IF(M86="","Active (per Notice 1)",IF(M86&lt;TODAY(),"Expired",IF(M86&lt;TODAY()+180,"Expiring Soon","Active")))</f>
        <v>Active (per Notice 1)</v>
      </c>
      <c r="O86" s="13" t="s">
        <v>292</v>
      </c>
      <c r="P86" s="8" t="s">
        <v>327</v>
      </c>
      <c r="Q86" s="8" t="n">
        <v>3.27</v>
      </c>
      <c r="R86" s="8" t="n">
        <v>3</v>
      </c>
      <c r="S86" s="11" t="n">
        <v>45275</v>
      </c>
      <c r="T86" s="8" t="str">
        <f aca="true">IF(S86="","",IF(EDATE(S86,60)&lt;TODAY(),"Expired",IF(EDATE(S86,60)&lt;TODAY()+180,"Expiring Soon","Valid")))</f>
        <v>Valid</v>
      </c>
      <c r="U86" s="8" t="str">
        <f aca="false">IF(P86="","",IF(P86="A++","Top Tier",IF(P86="A+","High",IF(P86="A","Strong",IF(LEFT(P86,1)="B","Acceptable",IF(LEFT(P86,1)="C","Below Avg","-"))))))</f>
        <v>High</v>
      </c>
      <c r="V86" s="8" t="s">
        <v>380</v>
      </c>
      <c r="W86" s="9" t="s">
        <v>378</v>
      </c>
      <c r="X86" s="14" t="s">
        <v>381</v>
      </c>
      <c r="AC86" s="8"/>
      <c r="AD86" s="8"/>
      <c r="AE86" s="8"/>
      <c r="AF86" s="8"/>
      <c r="AG86" s="8" t="n">
        <v>17</v>
      </c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customFormat="false" ht="15" hidden="false" customHeight="true" outlineLevel="0" collapsed="false">
      <c r="A87" s="8" t="n">
        <v>86</v>
      </c>
      <c r="B87" s="8" t="n">
        <v>14</v>
      </c>
      <c r="C87" s="8" t="s">
        <v>382</v>
      </c>
      <c r="D87" s="8" t="s">
        <v>286</v>
      </c>
      <c r="E87" s="9" t="s">
        <v>383</v>
      </c>
      <c r="F87" s="9" t="s">
        <v>384</v>
      </c>
      <c r="G87" s="8" t="s">
        <v>298</v>
      </c>
      <c r="H87" s="8" t="s">
        <v>290</v>
      </c>
      <c r="I87" s="8" t="s">
        <v>291</v>
      </c>
      <c r="J87" s="8" t="s">
        <v>292</v>
      </c>
      <c r="K87" s="8" t="s">
        <v>293</v>
      </c>
      <c r="L87" s="9" t="s">
        <v>294</v>
      </c>
      <c r="M87" s="8"/>
      <c r="N87" s="8" t="str">
        <f aca="true">IF(M87="","Active (per Notice 1)",IF(M87&lt;TODAY(),"Expired",IF(M87&lt;TODAY()+180,"Expiring Soon","Active")))</f>
        <v>Active (per Notice 1)</v>
      </c>
      <c r="O87" s="10" t="s">
        <v>295</v>
      </c>
      <c r="P87" s="8" t="s">
        <v>327</v>
      </c>
      <c r="Q87" s="8" t="n">
        <v>3.3</v>
      </c>
      <c r="R87" s="8" t="n">
        <v>3</v>
      </c>
      <c r="S87" s="11" t="n">
        <v>45694</v>
      </c>
      <c r="T87" s="8" t="str">
        <f aca="true">IF(S87="","",IF(EDATE(S87,60)&lt;TODAY(),"Expired",IF(EDATE(S87,60)&lt;TODAY()+180,"Expiring Soon","Valid")))</f>
        <v>Valid</v>
      </c>
      <c r="U87" s="8" t="str">
        <f aca="false">IF(P87="","",IF(P87="A++","Top Tier",IF(P87="A+","High",IF(P87="A","Strong",IF(LEFT(P87,1)="B","Acceptable",IF(LEFT(P87,1)="C","Below Avg","-"))))))</f>
        <v>High</v>
      </c>
      <c r="AC87" s="8"/>
      <c r="AD87" s="8" t="n">
        <v>74</v>
      </c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 t="n">
        <v>25</v>
      </c>
      <c r="AP87" s="8"/>
      <c r="AQ87" s="8"/>
      <c r="AR87" s="8"/>
      <c r="AS87" s="8"/>
      <c r="AT87" s="8"/>
      <c r="AU87" s="8"/>
    </row>
    <row r="88" customFormat="false" ht="15" hidden="false" customHeight="true" outlineLevel="0" collapsed="false">
      <c r="A88" s="8" t="n">
        <v>87</v>
      </c>
      <c r="B88" s="8" t="n">
        <v>14</v>
      </c>
      <c r="C88" s="8" t="s">
        <v>382</v>
      </c>
      <c r="D88" s="8" t="s">
        <v>286</v>
      </c>
      <c r="E88" s="9" t="s">
        <v>383</v>
      </c>
      <c r="F88" s="9" t="s">
        <v>359</v>
      </c>
      <c r="G88" s="8" t="s">
        <v>289</v>
      </c>
      <c r="H88" s="8" t="s">
        <v>290</v>
      </c>
      <c r="I88" s="8" t="s">
        <v>291</v>
      </c>
      <c r="J88" s="8" t="s">
        <v>292</v>
      </c>
      <c r="K88" s="8" t="s">
        <v>293</v>
      </c>
      <c r="L88" s="9" t="s">
        <v>294</v>
      </c>
      <c r="M88" s="8"/>
      <c r="N88" s="8" t="str">
        <f aca="true">IF(M88="","Active (per Notice 1)",IF(M88&lt;TODAY(),"Expired",IF(M88&lt;TODAY()+180,"Expiring Soon","Active")))</f>
        <v>Active (per Notice 1)</v>
      </c>
      <c r="O88" s="10" t="s">
        <v>295</v>
      </c>
      <c r="P88" s="8" t="s">
        <v>327</v>
      </c>
      <c r="Q88" s="8" t="n">
        <v>3.3</v>
      </c>
      <c r="R88" s="8" t="n">
        <v>3</v>
      </c>
      <c r="S88" s="11" t="n">
        <v>45694</v>
      </c>
      <c r="T88" s="8" t="str">
        <f aca="true">IF(S88="","",IF(EDATE(S88,60)&lt;TODAY(),"Expired",IF(EDATE(S88,60)&lt;TODAY()+180,"Expiring Soon","Valid")))</f>
        <v>Valid</v>
      </c>
      <c r="U88" s="8" t="str">
        <f aca="false">IF(P88="","",IF(P88="A++","Top Tier",IF(P88="A+","High",IF(P88="A","Strong",IF(LEFT(P88,1)="B","Acceptable",IF(LEFT(P88,1)="C","Below Avg","-"))))))</f>
        <v>High</v>
      </c>
      <c r="AC88" s="8"/>
      <c r="AD88" s="8" t="n">
        <v>74</v>
      </c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 t="n">
        <v>25</v>
      </c>
      <c r="AP88" s="8"/>
      <c r="AQ88" s="8"/>
      <c r="AR88" s="8"/>
      <c r="AS88" s="8"/>
      <c r="AT88" s="8"/>
      <c r="AU88" s="8"/>
    </row>
    <row r="89" customFormat="false" ht="15" hidden="false" customHeight="true" outlineLevel="0" collapsed="false">
      <c r="A89" s="8" t="n">
        <v>88</v>
      </c>
      <c r="B89" s="8" t="n">
        <v>14</v>
      </c>
      <c r="C89" s="8" t="s">
        <v>382</v>
      </c>
      <c r="D89" s="8" t="s">
        <v>286</v>
      </c>
      <c r="E89" s="9" t="s">
        <v>383</v>
      </c>
      <c r="F89" s="9" t="s">
        <v>319</v>
      </c>
      <c r="G89" s="8" t="s">
        <v>320</v>
      </c>
      <c r="H89" s="8" t="s">
        <v>290</v>
      </c>
      <c r="I89" s="8" t="s">
        <v>291</v>
      </c>
      <c r="J89" s="8" t="s">
        <v>292</v>
      </c>
      <c r="K89" s="8" t="s">
        <v>293</v>
      </c>
      <c r="L89" s="9" t="s">
        <v>294</v>
      </c>
      <c r="M89" s="8"/>
      <c r="N89" s="8" t="str">
        <f aca="true">IF(M89="","Active (per Notice 1)",IF(M89&lt;TODAY(),"Expired",IF(M89&lt;TODAY()+180,"Expiring Soon","Active")))</f>
        <v>Active (per Notice 1)</v>
      </c>
      <c r="O89" s="12" t="s">
        <v>305</v>
      </c>
      <c r="P89" s="8" t="s">
        <v>327</v>
      </c>
      <c r="Q89" s="8" t="n">
        <v>3.3</v>
      </c>
      <c r="R89" s="8" t="n">
        <v>3</v>
      </c>
      <c r="S89" s="11" t="n">
        <v>45694</v>
      </c>
      <c r="T89" s="8" t="str">
        <f aca="true">IF(S89="","",IF(EDATE(S89,60)&lt;TODAY(),"Expired",IF(EDATE(S89,60)&lt;TODAY()+180,"Expiring Soon","Valid")))</f>
        <v>Valid</v>
      </c>
      <c r="U89" s="8" t="str">
        <f aca="false">IF(P89="","",IF(P89="A++","Top Tier",IF(P89="A+","High",IF(P89="A","Strong",IF(LEFT(P89,1)="B","Acceptable",IF(LEFT(P89,1)="C","Below Avg","-"))))))</f>
        <v>High</v>
      </c>
      <c r="AC89" s="8"/>
      <c r="AD89" s="8" t="n">
        <v>74</v>
      </c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 t="n">
        <v>25</v>
      </c>
      <c r="AP89" s="8"/>
      <c r="AQ89" s="8"/>
      <c r="AR89" s="8"/>
      <c r="AS89" s="8"/>
      <c r="AT89" s="8"/>
      <c r="AU89" s="8"/>
    </row>
    <row r="90" customFormat="false" ht="15" hidden="false" customHeight="true" outlineLevel="0" collapsed="false">
      <c r="A90" s="8" t="n">
        <v>89</v>
      </c>
      <c r="B90" s="8" t="n">
        <v>14</v>
      </c>
      <c r="C90" s="8" t="s">
        <v>382</v>
      </c>
      <c r="D90" s="8" t="s">
        <v>286</v>
      </c>
      <c r="E90" s="9" t="s">
        <v>383</v>
      </c>
      <c r="F90" s="9" t="s">
        <v>312</v>
      </c>
      <c r="G90" s="8" t="s">
        <v>301</v>
      </c>
      <c r="H90" s="8" t="s">
        <v>302</v>
      </c>
      <c r="I90" s="8" t="s">
        <v>291</v>
      </c>
      <c r="J90" s="8" t="s">
        <v>292</v>
      </c>
      <c r="K90" s="8" t="s">
        <v>293</v>
      </c>
      <c r="L90" s="9" t="s">
        <v>294</v>
      </c>
      <c r="M90" s="8"/>
      <c r="N90" s="8" t="str">
        <f aca="true">IF(M90="","Active (per Notice 1)",IF(M90&lt;TODAY(),"Expired",IF(M90&lt;TODAY()+180,"Expiring Soon","Active")))</f>
        <v>Active (per Notice 1)</v>
      </c>
      <c r="O90" s="10" t="s">
        <v>295</v>
      </c>
      <c r="P90" s="8" t="s">
        <v>327</v>
      </c>
      <c r="Q90" s="8" t="n">
        <v>3.3</v>
      </c>
      <c r="R90" s="8" t="n">
        <v>3</v>
      </c>
      <c r="S90" s="11" t="n">
        <v>45694</v>
      </c>
      <c r="T90" s="8" t="str">
        <f aca="true">IF(S90="","",IF(EDATE(S90,60)&lt;TODAY(),"Expired",IF(EDATE(S90,60)&lt;TODAY()+180,"Expiring Soon","Valid")))</f>
        <v>Valid</v>
      </c>
      <c r="U90" s="8" t="str">
        <f aca="false">IF(P90="","",IF(P90="A++","Top Tier",IF(P90="A+","High",IF(P90="A","Strong",IF(LEFT(P90,1)="B","Acceptable",IF(LEFT(P90,1)="C","Below Avg","-"))))))</f>
        <v>High</v>
      </c>
      <c r="AC90" s="8"/>
      <c r="AD90" s="8" t="n">
        <v>74</v>
      </c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 t="n">
        <v>25</v>
      </c>
      <c r="AP90" s="8"/>
      <c r="AQ90" s="8"/>
      <c r="AR90" s="8"/>
      <c r="AS90" s="8"/>
      <c r="AT90" s="8"/>
      <c r="AU90" s="8"/>
    </row>
    <row r="91" customFormat="false" ht="15" hidden="false" customHeight="true" outlineLevel="0" collapsed="false">
      <c r="A91" s="8" t="n">
        <v>90</v>
      </c>
      <c r="B91" s="8" t="n">
        <v>14</v>
      </c>
      <c r="C91" s="8" t="s">
        <v>382</v>
      </c>
      <c r="D91" s="8" t="s">
        <v>286</v>
      </c>
      <c r="E91" s="9" t="s">
        <v>383</v>
      </c>
      <c r="F91" s="9" t="s">
        <v>364</v>
      </c>
      <c r="G91" s="8" t="s">
        <v>309</v>
      </c>
      <c r="H91" s="8" t="s">
        <v>302</v>
      </c>
      <c r="I91" s="8" t="s">
        <v>291</v>
      </c>
      <c r="J91" s="8" t="s">
        <v>292</v>
      </c>
      <c r="K91" s="8" t="s">
        <v>293</v>
      </c>
      <c r="L91" s="9" t="s">
        <v>294</v>
      </c>
      <c r="M91" s="8"/>
      <c r="N91" s="8" t="str">
        <f aca="true">IF(M91="","Active (per Notice 1)",IF(M91&lt;TODAY(),"Expired",IF(M91&lt;TODAY()+180,"Expiring Soon","Active")))</f>
        <v>Active (per Notice 1)</v>
      </c>
      <c r="O91" s="10" t="s">
        <v>295</v>
      </c>
      <c r="P91" s="8" t="s">
        <v>327</v>
      </c>
      <c r="Q91" s="8" t="n">
        <v>3.3</v>
      </c>
      <c r="R91" s="8" t="n">
        <v>3</v>
      </c>
      <c r="S91" s="11" t="n">
        <v>45694</v>
      </c>
      <c r="T91" s="8" t="str">
        <f aca="true">IF(S91="","",IF(EDATE(S91,60)&lt;TODAY(),"Expired",IF(EDATE(S91,60)&lt;TODAY()+180,"Expiring Soon","Valid")))</f>
        <v>Valid</v>
      </c>
      <c r="U91" s="8" t="str">
        <f aca="false">IF(P91="","",IF(P91="A++","Top Tier",IF(P91="A+","High",IF(P91="A","Strong",IF(LEFT(P91,1)="B","Acceptable",IF(LEFT(P91,1)="C","Below Avg","-"))))))</f>
        <v>High</v>
      </c>
      <c r="AC91" s="8"/>
      <c r="AD91" s="8" t="n">
        <v>74</v>
      </c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 t="n">
        <v>25</v>
      </c>
      <c r="AP91" s="8"/>
      <c r="AQ91" s="8"/>
      <c r="AR91" s="8"/>
      <c r="AS91" s="8"/>
      <c r="AT91" s="8"/>
      <c r="AU91" s="8"/>
    </row>
    <row r="92" customFormat="false" ht="15" hidden="false" customHeight="true" outlineLevel="0" collapsed="false">
      <c r="A92" s="8" t="n">
        <v>91</v>
      </c>
      <c r="B92" s="8" t="n">
        <v>14</v>
      </c>
      <c r="C92" s="8" t="s">
        <v>382</v>
      </c>
      <c r="D92" s="8" t="s">
        <v>286</v>
      </c>
      <c r="E92" s="9" t="s">
        <v>383</v>
      </c>
      <c r="F92" s="9" t="s">
        <v>385</v>
      </c>
      <c r="G92" s="8" t="s">
        <v>386</v>
      </c>
      <c r="H92" s="8" t="s">
        <v>302</v>
      </c>
      <c r="I92" s="8" t="s">
        <v>291</v>
      </c>
      <c r="J92" s="8" t="s">
        <v>292</v>
      </c>
      <c r="K92" s="8" t="s">
        <v>293</v>
      </c>
      <c r="L92" s="9" t="s">
        <v>294</v>
      </c>
      <c r="M92" s="8"/>
      <c r="N92" s="8" t="str">
        <f aca="true">IF(M92="","Active (per Notice 1)",IF(M92&lt;TODAY(),"Expired",IF(M92&lt;TODAY()+180,"Expiring Soon","Active")))</f>
        <v>Active (per Notice 1)</v>
      </c>
      <c r="O92" s="10" t="s">
        <v>295</v>
      </c>
      <c r="P92" s="8" t="s">
        <v>327</v>
      </c>
      <c r="Q92" s="8" t="n">
        <v>3.3</v>
      </c>
      <c r="R92" s="8" t="n">
        <v>3</v>
      </c>
      <c r="S92" s="11" t="n">
        <v>45694</v>
      </c>
      <c r="T92" s="8" t="str">
        <f aca="true">IF(S92="","",IF(EDATE(S92,60)&lt;TODAY(),"Expired",IF(EDATE(S92,60)&lt;TODAY()+180,"Expiring Soon","Valid")))</f>
        <v>Valid</v>
      </c>
      <c r="U92" s="8" t="str">
        <f aca="false">IF(P92="","",IF(P92="A++","Top Tier",IF(P92="A+","High",IF(P92="A","Strong",IF(LEFT(P92,1)="B","Acceptable",IF(LEFT(P92,1)="C","Below Avg","-"))))))</f>
        <v>High</v>
      </c>
      <c r="AC92" s="8"/>
      <c r="AD92" s="8" t="n">
        <v>74</v>
      </c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 t="n">
        <v>25</v>
      </c>
      <c r="AP92" s="8"/>
      <c r="AQ92" s="8"/>
      <c r="AR92" s="8"/>
      <c r="AS92" s="8"/>
      <c r="AT92" s="8"/>
      <c r="AU92" s="8"/>
    </row>
    <row r="93" customFormat="false" ht="15" hidden="false" customHeight="true" outlineLevel="0" collapsed="false">
      <c r="A93" s="8" t="n">
        <v>92</v>
      </c>
      <c r="B93" s="8" t="n">
        <v>15</v>
      </c>
      <c r="C93" s="8" t="s">
        <v>382</v>
      </c>
      <c r="D93" s="8" t="s">
        <v>333</v>
      </c>
      <c r="E93" s="9" t="s">
        <v>387</v>
      </c>
      <c r="F93" s="9" t="s">
        <v>317</v>
      </c>
      <c r="G93" s="8" t="s">
        <v>318</v>
      </c>
      <c r="H93" s="8" t="s">
        <v>290</v>
      </c>
      <c r="I93" s="8" t="s">
        <v>291</v>
      </c>
      <c r="J93" s="8" t="s">
        <v>292</v>
      </c>
      <c r="K93" s="8" t="s">
        <v>293</v>
      </c>
      <c r="L93" s="9" t="s">
        <v>294</v>
      </c>
      <c r="M93" s="8"/>
      <c r="N93" s="8" t="str">
        <f aca="true">IF(M93="","Active (per Notice 1)",IF(M93&lt;TODAY(),"Expired",IF(M93&lt;TODAY()+180,"Expiring Soon","Active")))</f>
        <v>Active (per Notice 1)</v>
      </c>
      <c r="O93" s="12" t="s">
        <v>305</v>
      </c>
      <c r="P93" s="8" t="s">
        <v>327</v>
      </c>
      <c r="Q93" s="8" t="n">
        <v>3.26</v>
      </c>
      <c r="R93" s="8" t="n">
        <v>2</v>
      </c>
      <c r="S93" s="11" t="n">
        <v>44754</v>
      </c>
      <c r="T93" s="8" t="str">
        <f aca="true">IF(S93="","",IF(EDATE(S93,60)&lt;TODAY(),"Expired",IF(EDATE(S93,60)&lt;TODAY()+180,"Expiring Soon","Valid")))</f>
        <v>Valid</v>
      </c>
      <c r="U93" s="8" t="str">
        <f aca="false">IF(P93="","",IF(P93="A++","Top Tier",IF(P93="A+","High",IF(P93="A","Strong",IF(LEFT(P93,1)="B","Acceptable",IF(LEFT(P93,1)="C","Below Avg","-"))))))</f>
        <v>High</v>
      </c>
      <c r="AT93" s="8"/>
      <c r="AU93" s="8"/>
    </row>
    <row r="94" customFormat="false" ht="15" hidden="false" customHeight="true" outlineLevel="0" collapsed="false">
      <c r="A94" s="8" t="n">
        <v>93</v>
      </c>
      <c r="B94" s="8" t="n">
        <v>15</v>
      </c>
      <c r="C94" s="8" t="s">
        <v>382</v>
      </c>
      <c r="D94" s="8" t="s">
        <v>333</v>
      </c>
      <c r="E94" s="9" t="s">
        <v>387</v>
      </c>
      <c r="F94" s="9" t="s">
        <v>319</v>
      </c>
      <c r="G94" s="8" t="s">
        <v>320</v>
      </c>
      <c r="H94" s="8" t="s">
        <v>290</v>
      </c>
      <c r="I94" s="8" t="s">
        <v>291</v>
      </c>
      <c r="J94" s="8" t="s">
        <v>292</v>
      </c>
      <c r="K94" s="8" t="s">
        <v>293</v>
      </c>
      <c r="L94" s="9" t="s">
        <v>294</v>
      </c>
      <c r="M94" s="8"/>
      <c r="N94" s="8" t="str">
        <f aca="true">IF(M94="","Active (per Notice 1)",IF(M94&lt;TODAY(),"Expired",IF(M94&lt;TODAY()+180,"Expiring Soon","Active")))</f>
        <v>Active (per Notice 1)</v>
      </c>
      <c r="O94" s="12" t="s">
        <v>305</v>
      </c>
      <c r="P94" s="8" t="s">
        <v>327</v>
      </c>
      <c r="Q94" s="8" t="n">
        <v>3.26</v>
      </c>
      <c r="R94" s="8" t="n">
        <v>2</v>
      </c>
      <c r="S94" s="11" t="n">
        <v>44754</v>
      </c>
      <c r="T94" s="8" t="str">
        <f aca="true">IF(S94="","",IF(EDATE(S94,60)&lt;TODAY(),"Expired",IF(EDATE(S94,60)&lt;TODAY()+180,"Expiring Soon","Valid")))</f>
        <v>Valid</v>
      </c>
      <c r="U94" s="8" t="str">
        <f aca="false">IF(P94="","",IF(P94="A++","Top Tier",IF(P94="A+","High",IF(P94="A","Strong",IF(LEFT(P94,1)="B","Acceptable",IF(LEFT(P94,1)="C","Below Avg","-"))))))</f>
        <v>High</v>
      </c>
      <c r="AT94" s="8"/>
      <c r="AU94" s="8"/>
    </row>
    <row r="95" customFormat="false" ht="15" hidden="false" customHeight="true" outlineLevel="0" collapsed="false">
      <c r="A95" s="8" t="n">
        <v>94</v>
      </c>
      <c r="B95" s="8" t="n">
        <v>15</v>
      </c>
      <c r="C95" s="8" t="s">
        <v>382</v>
      </c>
      <c r="D95" s="8" t="s">
        <v>333</v>
      </c>
      <c r="E95" s="9" t="s">
        <v>387</v>
      </c>
      <c r="F95" s="9" t="s">
        <v>332</v>
      </c>
      <c r="G95" s="8" t="s">
        <v>304</v>
      </c>
      <c r="H95" s="8" t="s">
        <v>302</v>
      </c>
      <c r="I95" s="8" t="s">
        <v>291</v>
      </c>
      <c r="J95" s="8" t="s">
        <v>292</v>
      </c>
      <c r="K95" s="8" t="s">
        <v>293</v>
      </c>
      <c r="L95" s="9" t="s">
        <v>294</v>
      </c>
      <c r="M95" s="8"/>
      <c r="N95" s="8" t="str">
        <f aca="true">IF(M95="","Active (per Notice 1)",IF(M95&lt;TODAY(),"Expired",IF(M95&lt;TODAY()+180,"Expiring Soon","Active")))</f>
        <v>Active (per Notice 1)</v>
      </c>
      <c r="O95" s="12" t="s">
        <v>305</v>
      </c>
      <c r="P95" s="8" t="s">
        <v>327</v>
      </c>
      <c r="Q95" s="8" t="n">
        <v>3.26</v>
      </c>
      <c r="R95" s="8" t="n">
        <v>2</v>
      </c>
      <c r="S95" s="11" t="n">
        <v>44754</v>
      </c>
      <c r="T95" s="8" t="str">
        <f aca="true">IF(S95="","",IF(EDATE(S95,60)&lt;TODAY(),"Expired",IF(EDATE(S95,60)&lt;TODAY()+180,"Expiring Soon","Valid")))</f>
        <v>Valid</v>
      </c>
      <c r="U95" s="8" t="str">
        <f aca="false">IF(P95="","",IF(P95="A++","Top Tier",IF(P95="A+","High",IF(P95="A","Strong",IF(LEFT(P95,1)="B","Acceptable",IF(LEFT(P95,1)="C","Below Avg","-"))))))</f>
        <v>High</v>
      </c>
      <c r="AT95" s="8"/>
      <c r="AU95" s="8"/>
    </row>
    <row r="96" customFormat="false" ht="15" hidden="false" customHeight="true" outlineLevel="0" collapsed="false">
      <c r="A96" s="8" t="n">
        <v>95</v>
      </c>
      <c r="B96" s="8" t="n">
        <v>15</v>
      </c>
      <c r="C96" s="8" t="s">
        <v>382</v>
      </c>
      <c r="D96" s="8" t="s">
        <v>333</v>
      </c>
      <c r="E96" s="9" t="s">
        <v>387</v>
      </c>
      <c r="F96" s="9" t="s">
        <v>306</v>
      </c>
      <c r="G96" s="8" t="s">
        <v>307</v>
      </c>
      <c r="H96" s="8" t="s">
        <v>302</v>
      </c>
      <c r="I96" s="8" t="s">
        <v>291</v>
      </c>
      <c r="J96" s="8" t="s">
        <v>292</v>
      </c>
      <c r="K96" s="8" t="s">
        <v>293</v>
      </c>
      <c r="L96" s="9" t="s">
        <v>294</v>
      </c>
      <c r="M96" s="8"/>
      <c r="N96" s="8" t="str">
        <f aca="true">IF(M96="","Active (per Notice 1)",IF(M96&lt;TODAY(),"Expired",IF(M96&lt;TODAY()+180,"Expiring Soon","Active")))</f>
        <v>Active (per Notice 1)</v>
      </c>
      <c r="O96" s="12" t="s">
        <v>305</v>
      </c>
      <c r="P96" s="8" t="s">
        <v>327</v>
      </c>
      <c r="Q96" s="8" t="n">
        <v>3.26</v>
      </c>
      <c r="R96" s="8" t="n">
        <v>2</v>
      </c>
      <c r="S96" s="11" t="n">
        <v>44754</v>
      </c>
      <c r="T96" s="8" t="str">
        <f aca="true">IF(S96="","",IF(EDATE(S96,60)&lt;TODAY(),"Expired",IF(EDATE(S96,60)&lt;TODAY()+180,"Expiring Soon","Valid")))</f>
        <v>Valid</v>
      </c>
      <c r="U96" s="8" t="str">
        <f aca="false">IF(P96="","",IF(P96="A++","Top Tier",IF(P96="A+","High",IF(P96="A","Strong",IF(LEFT(P96,1)="B","Acceptable",IF(LEFT(P96,1)="C","Below Avg","-"))))))</f>
        <v>High</v>
      </c>
      <c r="AT96" s="8"/>
      <c r="AU96" s="8"/>
    </row>
    <row r="97" customFormat="false" ht="15" hidden="false" customHeight="true" outlineLevel="0" collapsed="false">
      <c r="A97" s="8" t="n">
        <v>96</v>
      </c>
      <c r="B97" s="8" t="n">
        <v>16</v>
      </c>
      <c r="C97" s="8" t="s">
        <v>382</v>
      </c>
      <c r="D97" s="8" t="s">
        <v>388</v>
      </c>
      <c r="E97" s="9" t="s">
        <v>389</v>
      </c>
      <c r="F97" s="9" t="s">
        <v>384</v>
      </c>
      <c r="G97" s="8" t="s">
        <v>298</v>
      </c>
      <c r="H97" s="8" t="s">
        <v>290</v>
      </c>
      <c r="I97" s="8" t="s">
        <v>291</v>
      </c>
      <c r="J97" s="8" t="s">
        <v>292</v>
      </c>
      <c r="K97" s="8" t="s">
        <v>293</v>
      </c>
      <c r="L97" s="9" t="s">
        <v>294</v>
      </c>
      <c r="M97" s="8"/>
      <c r="N97" s="8" t="str">
        <f aca="true">IF(M97="","Active (per Notice 1)",IF(M97&lt;TODAY(),"Expired",IF(M97&lt;TODAY()+180,"Expiring Soon","Active")))</f>
        <v>Active (per Notice 1)</v>
      </c>
      <c r="O97" s="10" t="s">
        <v>295</v>
      </c>
      <c r="P97" s="8" t="s">
        <v>296</v>
      </c>
      <c r="Q97" s="8" t="n">
        <v>3.55</v>
      </c>
      <c r="R97" s="8" t="n">
        <v>1</v>
      </c>
      <c r="S97" s="11" t="n">
        <v>44768</v>
      </c>
      <c r="T97" s="8" t="str">
        <f aca="true">IF(S97="","",IF(EDATE(S97,60)&lt;TODAY(),"Expired",IF(EDATE(S97,60)&lt;TODAY()+180,"Expiring Soon","Valid")))</f>
        <v>Valid</v>
      </c>
      <c r="U97" s="8" t="str">
        <f aca="false">IF(P97="","",IF(P97="A++","Top Tier",IF(P97="A+","High",IF(P97="A","Strong",IF(LEFT(P97,1)="B","Acceptable",IF(LEFT(P97,1)="C","Below Avg","-"))))))</f>
        <v>Top Tier</v>
      </c>
      <c r="AT97" s="8"/>
      <c r="AU97" s="8"/>
    </row>
    <row r="98" customFormat="false" ht="15" hidden="false" customHeight="true" outlineLevel="0" collapsed="false">
      <c r="A98" s="8" t="n">
        <v>97</v>
      </c>
      <c r="B98" s="8" t="n">
        <v>16</v>
      </c>
      <c r="C98" s="8" t="s">
        <v>382</v>
      </c>
      <c r="D98" s="8" t="s">
        <v>388</v>
      </c>
      <c r="E98" s="9" t="s">
        <v>389</v>
      </c>
      <c r="F98" s="9" t="s">
        <v>288</v>
      </c>
      <c r="G98" s="8" t="s">
        <v>289</v>
      </c>
      <c r="H98" s="8" t="s">
        <v>290</v>
      </c>
      <c r="I98" s="8" t="s">
        <v>291</v>
      </c>
      <c r="J98" s="8" t="s">
        <v>292</v>
      </c>
      <c r="K98" s="8" t="s">
        <v>293</v>
      </c>
      <c r="L98" s="9" t="s">
        <v>294</v>
      </c>
      <c r="M98" s="8"/>
      <c r="N98" s="8" t="str">
        <f aca="true">IF(M98="","Active (per Notice 1)",IF(M98&lt;TODAY(),"Expired",IF(M98&lt;TODAY()+180,"Expiring Soon","Active")))</f>
        <v>Active (per Notice 1)</v>
      </c>
      <c r="O98" s="10" t="s">
        <v>295</v>
      </c>
      <c r="P98" s="8" t="s">
        <v>296</v>
      </c>
      <c r="Q98" s="8" t="n">
        <v>3.55</v>
      </c>
      <c r="R98" s="8" t="n">
        <v>1</v>
      </c>
      <c r="S98" s="11" t="n">
        <v>44768</v>
      </c>
      <c r="T98" s="8" t="str">
        <f aca="true">IF(S98="","",IF(EDATE(S98,60)&lt;TODAY(),"Expired",IF(EDATE(S98,60)&lt;TODAY()+180,"Expiring Soon","Valid")))</f>
        <v>Valid</v>
      </c>
      <c r="U98" s="8" t="str">
        <f aca="false">IF(P98="","",IF(P98="A++","Top Tier",IF(P98="A+","High",IF(P98="A","Strong",IF(LEFT(P98,1)="B","Acceptable",IF(LEFT(P98,1)="C","Below Avg","-"))))))</f>
        <v>Top Tier</v>
      </c>
      <c r="AT98" s="8"/>
      <c r="AU98" s="8"/>
    </row>
    <row r="99" customFormat="false" ht="15" hidden="false" customHeight="true" outlineLevel="0" collapsed="false">
      <c r="A99" s="8" t="n">
        <v>98</v>
      </c>
      <c r="B99" s="8" t="n">
        <v>16</v>
      </c>
      <c r="C99" s="8" t="s">
        <v>382</v>
      </c>
      <c r="D99" s="8" t="s">
        <v>388</v>
      </c>
      <c r="E99" s="9" t="s">
        <v>389</v>
      </c>
      <c r="F99" s="9" t="s">
        <v>319</v>
      </c>
      <c r="G99" s="8" t="s">
        <v>320</v>
      </c>
      <c r="H99" s="8" t="s">
        <v>290</v>
      </c>
      <c r="I99" s="8" t="s">
        <v>291</v>
      </c>
      <c r="J99" s="8" t="s">
        <v>292</v>
      </c>
      <c r="K99" s="8" t="s">
        <v>293</v>
      </c>
      <c r="L99" s="9" t="s">
        <v>294</v>
      </c>
      <c r="M99" s="8"/>
      <c r="N99" s="8" t="str">
        <f aca="true">IF(M99="","Active (per Notice 1)",IF(M99&lt;TODAY(),"Expired",IF(M99&lt;TODAY()+180,"Expiring Soon","Active")))</f>
        <v>Active (per Notice 1)</v>
      </c>
      <c r="O99" s="12" t="s">
        <v>305</v>
      </c>
      <c r="P99" s="8" t="s">
        <v>296</v>
      </c>
      <c r="Q99" s="8" t="n">
        <v>3.55</v>
      </c>
      <c r="R99" s="8" t="n">
        <v>1</v>
      </c>
      <c r="S99" s="11" t="n">
        <v>44768</v>
      </c>
      <c r="T99" s="8" t="str">
        <f aca="true">IF(S99="","",IF(EDATE(S99,60)&lt;TODAY(),"Expired",IF(EDATE(S99,60)&lt;TODAY()+180,"Expiring Soon","Valid")))</f>
        <v>Valid</v>
      </c>
      <c r="U99" s="8" t="str">
        <f aca="false">IF(P99="","",IF(P99="A++","Top Tier",IF(P99="A+","High",IF(P99="A","Strong",IF(LEFT(P99,1)="B","Acceptable",IF(LEFT(P99,1)="C","Below Avg","-"))))))</f>
        <v>Top Tier</v>
      </c>
      <c r="AT99" s="8"/>
      <c r="AU99" s="8"/>
    </row>
    <row r="100" customFormat="false" ht="15" hidden="false" customHeight="true" outlineLevel="0" collapsed="false">
      <c r="A100" s="8" t="n">
        <v>99</v>
      </c>
      <c r="B100" s="8" t="n">
        <v>16</v>
      </c>
      <c r="C100" s="8" t="s">
        <v>382</v>
      </c>
      <c r="D100" s="8" t="s">
        <v>388</v>
      </c>
      <c r="E100" s="9" t="s">
        <v>389</v>
      </c>
      <c r="F100" s="9" t="s">
        <v>300</v>
      </c>
      <c r="G100" s="8" t="s">
        <v>301</v>
      </c>
      <c r="H100" s="8" t="s">
        <v>302</v>
      </c>
      <c r="I100" s="8" t="s">
        <v>291</v>
      </c>
      <c r="J100" s="8" t="s">
        <v>292</v>
      </c>
      <c r="K100" s="8" t="s">
        <v>293</v>
      </c>
      <c r="L100" s="9" t="s">
        <v>294</v>
      </c>
      <c r="M100" s="8"/>
      <c r="N100" s="8" t="str">
        <f aca="true">IF(M100="","Active (per Notice 1)",IF(M100&lt;TODAY(),"Expired",IF(M100&lt;TODAY()+180,"Expiring Soon","Active")))</f>
        <v>Active (per Notice 1)</v>
      </c>
      <c r="O100" s="10" t="s">
        <v>295</v>
      </c>
      <c r="P100" s="8" t="s">
        <v>296</v>
      </c>
      <c r="Q100" s="8" t="n">
        <v>3.55</v>
      </c>
      <c r="R100" s="8" t="n">
        <v>1</v>
      </c>
      <c r="S100" s="11" t="n">
        <v>44768</v>
      </c>
      <c r="T100" s="8" t="str">
        <f aca="true">IF(S100="","",IF(EDATE(S100,60)&lt;TODAY(),"Expired",IF(EDATE(S100,60)&lt;TODAY()+180,"Expiring Soon","Valid")))</f>
        <v>Valid</v>
      </c>
      <c r="U100" s="8" t="str">
        <f aca="false">IF(P100="","",IF(P100="A++","Top Tier",IF(P100="A+","High",IF(P100="A","Strong",IF(LEFT(P100,1)="B","Acceptable",IF(LEFT(P100,1)="C","Below Avg","-"))))))</f>
        <v>Top Tier</v>
      </c>
      <c r="AT100" s="8"/>
      <c r="AU100" s="8"/>
    </row>
    <row r="101" customFormat="false" ht="15" hidden="false" customHeight="true" outlineLevel="0" collapsed="false">
      <c r="A101" s="8" t="n">
        <v>100</v>
      </c>
      <c r="B101" s="8" t="n">
        <v>16</v>
      </c>
      <c r="C101" s="8" t="s">
        <v>382</v>
      </c>
      <c r="D101" s="8" t="s">
        <v>388</v>
      </c>
      <c r="E101" s="9" t="s">
        <v>389</v>
      </c>
      <c r="F101" s="9" t="s">
        <v>390</v>
      </c>
      <c r="G101" s="8" t="s">
        <v>301</v>
      </c>
      <c r="H101" s="8" t="s">
        <v>302</v>
      </c>
      <c r="I101" s="8" t="s">
        <v>291</v>
      </c>
      <c r="J101" s="8" t="s">
        <v>292</v>
      </c>
      <c r="K101" s="8" t="s">
        <v>293</v>
      </c>
      <c r="L101" s="9" t="s">
        <v>294</v>
      </c>
      <c r="M101" s="8"/>
      <c r="N101" s="8" t="str">
        <f aca="true">IF(M101="","Active (per Notice 1)",IF(M101&lt;TODAY(),"Expired",IF(M101&lt;TODAY()+180,"Expiring Soon","Active")))</f>
        <v>Active (per Notice 1)</v>
      </c>
      <c r="O101" s="10" t="s">
        <v>295</v>
      </c>
      <c r="P101" s="8" t="s">
        <v>296</v>
      </c>
      <c r="Q101" s="8" t="n">
        <v>3.55</v>
      </c>
      <c r="R101" s="8" t="n">
        <v>1</v>
      </c>
      <c r="S101" s="11" t="n">
        <v>44768</v>
      </c>
      <c r="T101" s="8" t="str">
        <f aca="true">IF(S101="","",IF(EDATE(S101,60)&lt;TODAY(),"Expired",IF(EDATE(S101,60)&lt;TODAY()+180,"Expiring Soon","Valid")))</f>
        <v>Valid</v>
      </c>
      <c r="U101" s="8" t="str">
        <f aca="false">IF(P101="","",IF(P101="A++","Top Tier",IF(P101="A+","High",IF(P101="A","Strong",IF(LEFT(P101,1)="B","Acceptable",IF(LEFT(P101,1)="C","Below Avg","-"))))))</f>
        <v>Top Tier</v>
      </c>
      <c r="AT101" s="8"/>
      <c r="AU101" s="8"/>
    </row>
    <row r="102" customFormat="false" ht="15" hidden="false" customHeight="true" outlineLevel="0" collapsed="false">
      <c r="A102" s="8" t="n">
        <v>101</v>
      </c>
      <c r="B102" s="8" t="n">
        <v>16</v>
      </c>
      <c r="C102" s="8" t="s">
        <v>382</v>
      </c>
      <c r="D102" s="8" t="s">
        <v>388</v>
      </c>
      <c r="E102" s="9" t="s">
        <v>389</v>
      </c>
      <c r="F102" s="9" t="s">
        <v>312</v>
      </c>
      <c r="G102" s="8" t="s">
        <v>301</v>
      </c>
      <c r="H102" s="8" t="s">
        <v>302</v>
      </c>
      <c r="I102" s="8" t="s">
        <v>291</v>
      </c>
      <c r="J102" s="8" t="s">
        <v>292</v>
      </c>
      <c r="K102" s="8" t="s">
        <v>293</v>
      </c>
      <c r="L102" s="9" t="s">
        <v>294</v>
      </c>
      <c r="M102" s="8"/>
      <c r="N102" s="8" t="str">
        <f aca="true">IF(M102="","Active (per Notice 1)",IF(M102&lt;TODAY(),"Expired",IF(M102&lt;TODAY()+180,"Expiring Soon","Active")))</f>
        <v>Active (per Notice 1)</v>
      </c>
      <c r="O102" s="10" t="s">
        <v>295</v>
      </c>
      <c r="P102" s="8" t="s">
        <v>296</v>
      </c>
      <c r="Q102" s="8" t="n">
        <v>3.55</v>
      </c>
      <c r="R102" s="8" t="n">
        <v>1</v>
      </c>
      <c r="S102" s="11" t="n">
        <v>44768</v>
      </c>
      <c r="T102" s="8" t="str">
        <f aca="true">IF(S102="","",IF(EDATE(S102,60)&lt;TODAY(),"Expired",IF(EDATE(S102,60)&lt;TODAY()+180,"Expiring Soon","Valid")))</f>
        <v>Valid</v>
      </c>
      <c r="U102" s="8" t="str">
        <f aca="false">IF(P102="","",IF(P102="A++","Top Tier",IF(P102="A+","High",IF(P102="A","Strong",IF(LEFT(P102,1)="B","Acceptable",IF(LEFT(P102,1)="C","Below Avg","-"))))))</f>
        <v>Top Tier</v>
      </c>
      <c r="AT102" s="8"/>
      <c r="AU102" s="8"/>
    </row>
    <row r="103" customFormat="false" ht="15" hidden="false" customHeight="true" outlineLevel="0" collapsed="false">
      <c r="A103" s="8" t="n">
        <v>102</v>
      </c>
      <c r="B103" s="8" t="n">
        <v>16</v>
      </c>
      <c r="C103" s="8" t="s">
        <v>382</v>
      </c>
      <c r="D103" s="8" t="s">
        <v>388</v>
      </c>
      <c r="E103" s="9" t="s">
        <v>389</v>
      </c>
      <c r="F103" s="9" t="s">
        <v>314</v>
      </c>
      <c r="G103" s="8" t="s">
        <v>301</v>
      </c>
      <c r="H103" s="8" t="s">
        <v>302</v>
      </c>
      <c r="I103" s="8" t="s">
        <v>291</v>
      </c>
      <c r="J103" s="8" t="s">
        <v>292</v>
      </c>
      <c r="K103" s="8" t="s">
        <v>293</v>
      </c>
      <c r="L103" s="9" t="s">
        <v>294</v>
      </c>
      <c r="M103" s="8"/>
      <c r="N103" s="8" t="str">
        <f aca="true">IF(M103="","Active (per Notice 1)",IF(M103&lt;TODAY(),"Expired",IF(M103&lt;TODAY()+180,"Expiring Soon","Active")))</f>
        <v>Active (per Notice 1)</v>
      </c>
      <c r="O103" s="10" t="s">
        <v>295</v>
      </c>
      <c r="P103" s="8" t="s">
        <v>296</v>
      </c>
      <c r="Q103" s="8" t="n">
        <v>3.55</v>
      </c>
      <c r="R103" s="8" t="n">
        <v>1</v>
      </c>
      <c r="S103" s="11" t="n">
        <v>44768</v>
      </c>
      <c r="T103" s="8" t="str">
        <f aca="true">IF(S103="","",IF(EDATE(S103,60)&lt;TODAY(),"Expired",IF(EDATE(S103,60)&lt;TODAY()+180,"Expiring Soon","Valid")))</f>
        <v>Valid</v>
      </c>
      <c r="U103" s="8" t="str">
        <f aca="false">IF(P103="","",IF(P103="A++","Top Tier",IF(P103="A+","High",IF(P103="A","Strong",IF(LEFT(P103,1)="B","Acceptable",IF(LEFT(P103,1)="C","Below Avg","-"))))))</f>
        <v>Top Tier</v>
      </c>
      <c r="AT103" s="8"/>
      <c r="AU103" s="8"/>
    </row>
    <row r="104" customFormat="false" ht="15" hidden="false" customHeight="true" outlineLevel="0" collapsed="false">
      <c r="A104" s="8" t="n">
        <v>103</v>
      </c>
      <c r="B104" s="8" t="n">
        <v>16</v>
      </c>
      <c r="C104" s="8" t="s">
        <v>382</v>
      </c>
      <c r="D104" s="8" t="s">
        <v>388</v>
      </c>
      <c r="E104" s="9" t="s">
        <v>389</v>
      </c>
      <c r="F104" s="9" t="s">
        <v>308</v>
      </c>
      <c r="G104" s="8" t="s">
        <v>309</v>
      </c>
      <c r="H104" s="8" t="s">
        <v>302</v>
      </c>
      <c r="I104" s="8" t="s">
        <v>291</v>
      </c>
      <c r="J104" s="8" t="s">
        <v>292</v>
      </c>
      <c r="K104" s="8" t="s">
        <v>293</v>
      </c>
      <c r="L104" s="9" t="s">
        <v>294</v>
      </c>
      <c r="M104" s="8"/>
      <c r="N104" s="8" t="str">
        <f aca="true">IF(M104="","Active (per Notice 1)",IF(M104&lt;TODAY(),"Expired",IF(M104&lt;TODAY()+180,"Expiring Soon","Active")))</f>
        <v>Active (per Notice 1)</v>
      </c>
      <c r="O104" s="10" t="s">
        <v>295</v>
      </c>
      <c r="P104" s="8" t="s">
        <v>296</v>
      </c>
      <c r="Q104" s="8" t="n">
        <v>3.55</v>
      </c>
      <c r="R104" s="8" t="n">
        <v>1</v>
      </c>
      <c r="S104" s="11" t="n">
        <v>44768</v>
      </c>
      <c r="T104" s="8" t="str">
        <f aca="true">IF(S104="","",IF(EDATE(S104,60)&lt;TODAY(),"Expired",IF(EDATE(S104,60)&lt;TODAY()+180,"Expiring Soon","Valid")))</f>
        <v>Valid</v>
      </c>
      <c r="U104" s="8" t="str">
        <f aca="false">IF(P104="","",IF(P104="A++","Top Tier",IF(P104="A+","High",IF(P104="A","Strong",IF(LEFT(P104,1)="B","Acceptable",IF(LEFT(P104,1)="C","Below Avg","-"))))))</f>
        <v>Top Tier</v>
      </c>
      <c r="AT104" s="8"/>
      <c r="AU104" s="8"/>
    </row>
    <row r="105" customFormat="false" ht="15" hidden="false" customHeight="true" outlineLevel="0" collapsed="false">
      <c r="A105" s="8" t="n">
        <v>104</v>
      </c>
      <c r="B105" s="8" t="n">
        <v>16</v>
      </c>
      <c r="C105" s="8" t="s">
        <v>382</v>
      </c>
      <c r="D105" s="8" t="s">
        <v>388</v>
      </c>
      <c r="E105" s="9" t="s">
        <v>389</v>
      </c>
      <c r="F105" s="9" t="s">
        <v>345</v>
      </c>
      <c r="G105" s="8" t="s">
        <v>346</v>
      </c>
      <c r="H105" s="8" t="s">
        <v>302</v>
      </c>
      <c r="I105" s="8" t="s">
        <v>291</v>
      </c>
      <c r="J105" s="8" t="s">
        <v>292</v>
      </c>
      <c r="K105" s="8" t="s">
        <v>293</v>
      </c>
      <c r="L105" s="9" t="s">
        <v>294</v>
      </c>
      <c r="M105" s="8"/>
      <c r="N105" s="8" t="str">
        <f aca="true">IF(M105="","Active (per Notice 1)",IF(M105&lt;TODAY(),"Expired",IF(M105&lt;TODAY()+180,"Expiring Soon","Active")))</f>
        <v>Active (per Notice 1)</v>
      </c>
      <c r="O105" s="10" t="s">
        <v>295</v>
      </c>
      <c r="P105" s="8" t="s">
        <v>296</v>
      </c>
      <c r="Q105" s="8" t="n">
        <v>3.55</v>
      </c>
      <c r="R105" s="8" t="n">
        <v>1</v>
      </c>
      <c r="S105" s="11" t="n">
        <v>44768</v>
      </c>
      <c r="T105" s="8" t="str">
        <f aca="true">IF(S105="","",IF(EDATE(S105,60)&lt;TODAY(),"Expired",IF(EDATE(S105,60)&lt;TODAY()+180,"Expiring Soon","Valid")))</f>
        <v>Valid</v>
      </c>
      <c r="U105" s="8" t="str">
        <f aca="false">IF(P105="","",IF(P105="A++","Top Tier",IF(P105="A+","High",IF(P105="A","Strong",IF(LEFT(P105,1)="B","Acceptable",IF(LEFT(P105,1)="C","Below Avg","-"))))))</f>
        <v>Top Tier</v>
      </c>
      <c r="AT105" s="8"/>
      <c r="AU105" s="8"/>
    </row>
    <row r="106" customFormat="false" ht="15" hidden="false" customHeight="true" outlineLevel="0" collapsed="false">
      <c r="A106" s="8" t="n">
        <v>105</v>
      </c>
      <c r="B106" s="8" t="n">
        <v>16</v>
      </c>
      <c r="C106" s="8" t="s">
        <v>382</v>
      </c>
      <c r="D106" s="8" t="s">
        <v>388</v>
      </c>
      <c r="E106" s="9" t="s">
        <v>389</v>
      </c>
      <c r="F106" s="9" t="s">
        <v>306</v>
      </c>
      <c r="G106" s="8" t="s">
        <v>307</v>
      </c>
      <c r="H106" s="8" t="s">
        <v>302</v>
      </c>
      <c r="I106" s="8" t="s">
        <v>291</v>
      </c>
      <c r="J106" s="8" t="s">
        <v>292</v>
      </c>
      <c r="K106" s="8" t="s">
        <v>293</v>
      </c>
      <c r="L106" s="9" t="s">
        <v>294</v>
      </c>
      <c r="M106" s="8"/>
      <c r="N106" s="8" t="str">
        <f aca="true">IF(M106="","Active (per Notice 1)",IF(M106&lt;TODAY(),"Expired",IF(M106&lt;TODAY()+180,"Expiring Soon","Active")))</f>
        <v>Active (per Notice 1)</v>
      </c>
      <c r="O106" s="12" t="s">
        <v>305</v>
      </c>
      <c r="P106" s="8" t="s">
        <v>296</v>
      </c>
      <c r="Q106" s="8" t="n">
        <v>3.55</v>
      </c>
      <c r="R106" s="8" t="n">
        <v>1</v>
      </c>
      <c r="S106" s="11" t="n">
        <v>44768</v>
      </c>
      <c r="T106" s="8" t="str">
        <f aca="true">IF(S106="","",IF(EDATE(S106,60)&lt;TODAY(),"Expired",IF(EDATE(S106,60)&lt;TODAY()+180,"Expiring Soon","Valid")))</f>
        <v>Valid</v>
      </c>
      <c r="U106" s="8" t="str">
        <f aca="false">IF(P106="","",IF(P106="A++","Top Tier",IF(P106="A+","High",IF(P106="A","Strong",IF(LEFT(P106,1)="B","Acceptable",IF(LEFT(P106,1)="C","Below Avg","-"))))))</f>
        <v>Top Tier</v>
      </c>
      <c r="AT106" s="8"/>
      <c r="AU106" s="8"/>
    </row>
    <row r="107" customFormat="false" ht="15" hidden="false" customHeight="true" outlineLevel="0" collapsed="false">
      <c r="A107" s="8" t="n">
        <v>106</v>
      </c>
      <c r="B107" s="8" t="n">
        <v>17</v>
      </c>
      <c r="C107" s="8" t="s">
        <v>382</v>
      </c>
      <c r="D107" s="8" t="s">
        <v>333</v>
      </c>
      <c r="E107" s="9" t="s">
        <v>391</v>
      </c>
      <c r="F107" s="9" t="s">
        <v>358</v>
      </c>
      <c r="G107" s="8" t="s">
        <v>298</v>
      </c>
      <c r="H107" s="8" t="s">
        <v>290</v>
      </c>
      <c r="I107" s="8" t="s">
        <v>291</v>
      </c>
      <c r="J107" s="8" t="s">
        <v>292</v>
      </c>
      <c r="K107" s="8" t="s">
        <v>293</v>
      </c>
      <c r="L107" s="9" t="s">
        <v>294</v>
      </c>
      <c r="M107" s="8"/>
      <c r="N107" s="8" t="str">
        <f aca="true">IF(M107="","Active (per Notice 1)",IF(M107&lt;TODAY(),"Expired",IF(M107&lt;TODAY()+180,"Expiring Soon","Active")))</f>
        <v>Active (per Notice 1)</v>
      </c>
      <c r="O107" s="10" t="s">
        <v>295</v>
      </c>
      <c r="P107" s="8" t="s">
        <v>296</v>
      </c>
      <c r="Q107" s="8" t="n">
        <v>3.55</v>
      </c>
      <c r="R107" s="8" t="n">
        <v>1</v>
      </c>
      <c r="S107" s="11" t="n">
        <v>44977</v>
      </c>
      <c r="T107" s="8" t="str">
        <f aca="true">IF(S107="","",IF(EDATE(S107,60)&lt;TODAY(),"Expired",IF(EDATE(S107,60)&lt;TODAY()+180,"Expiring Soon","Valid")))</f>
        <v>Valid</v>
      </c>
      <c r="U107" s="8" t="str">
        <f aca="false">IF(P107="","",IF(P107="A++","Top Tier",IF(P107="A+","High",IF(P107="A","Strong",IF(LEFT(P107,1)="B","Acceptable",IF(LEFT(P107,1)="C","Below Avg","-"))))))</f>
        <v>Top Tier</v>
      </c>
      <c r="AC107" s="8"/>
      <c r="AD107" s="8"/>
      <c r="AE107" s="8"/>
      <c r="AF107" s="8"/>
      <c r="AG107" s="8"/>
      <c r="AH107" s="8" t="n">
        <v>41</v>
      </c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</row>
    <row r="108" customFormat="false" ht="15" hidden="false" customHeight="true" outlineLevel="0" collapsed="false">
      <c r="A108" s="8" t="n">
        <v>107</v>
      </c>
      <c r="B108" s="8" t="n">
        <v>17</v>
      </c>
      <c r="C108" s="8" t="s">
        <v>382</v>
      </c>
      <c r="D108" s="8" t="s">
        <v>333</v>
      </c>
      <c r="E108" s="9" t="s">
        <v>391</v>
      </c>
      <c r="F108" s="9" t="s">
        <v>317</v>
      </c>
      <c r="G108" s="8" t="s">
        <v>318</v>
      </c>
      <c r="H108" s="8" t="s">
        <v>290</v>
      </c>
      <c r="I108" s="8" t="s">
        <v>291</v>
      </c>
      <c r="J108" s="8" t="s">
        <v>292</v>
      </c>
      <c r="K108" s="8" t="s">
        <v>293</v>
      </c>
      <c r="L108" s="9" t="s">
        <v>294</v>
      </c>
      <c r="M108" s="8"/>
      <c r="N108" s="8" t="str">
        <f aca="true">IF(M108="","Active (per Notice 1)",IF(M108&lt;TODAY(),"Expired",IF(M108&lt;TODAY()+180,"Expiring Soon","Active")))</f>
        <v>Active (per Notice 1)</v>
      </c>
      <c r="O108" s="12" t="s">
        <v>305</v>
      </c>
      <c r="P108" s="8" t="s">
        <v>296</v>
      </c>
      <c r="Q108" s="8" t="n">
        <v>3.55</v>
      </c>
      <c r="R108" s="8" t="n">
        <v>1</v>
      </c>
      <c r="S108" s="11" t="n">
        <v>44977</v>
      </c>
      <c r="T108" s="8" t="str">
        <f aca="true">IF(S108="","",IF(EDATE(S108,60)&lt;TODAY(),"Expired",IF(EDATE(S108,60)&lt;TODAY()+180,"Expiring Soon","Valid")))</f>
        <v>Valid</v>
      </c>
      <c r="U108" s="8" t="str">
        <f aca="false">IF(P108="","",IF(P108="A++","Top Tier",IF(P108="A+","High",IF(P108="A","Strong",IF(LEFT(P108,1)="B","Acceptable",IF(LEFT(P108,1)="C","Below Avg","-"))))))</f>
        <v>Top Tier</v>
      </c>
      <c r="AC108" s="8"/>
      <c r="AD108" s="8"/>
      <c r="AE108" s="8"/>
      <c r="AF108" s="8"/>
      <c r="AG108" s="8"/>
      <c r="AH108" s="8" t="n">
        <v>41</v>
      </c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</row>
    <row r="109" customFormat="false" ht="15" hidden="false" customHeight="true" outlineLevel="0" collapsed="false">
      <c r="A109" s="8" t="n">
        <v>108</v>
      </c>
      <c r="B109" s="8" t="n">
        <v>17</v>
      </c>
      <c r="C109" s="8" t="s">
        <v>382</v>
      </c>
      <c r="D109" s="8" t="s">
        <v>333</v>
      </c>
      <c r="E109" s="9" t="s">
        <v>391</v>
      </c>
      <c r="F109" s="9" t="s">
        <v>319</v>
      </c>
      <c r="G109" s="8" t="s">
        <v>320</v>
      </c>
      <c r="H109" s="8" t="s">
        <v>290</v>
      </c>
      <c r="I109" s="8" t="s">
        <v>291</v>
      </c>
      <c r="J109" s="8" t="s">
        <v>292</v>
      </c>
      <c r="K109" s="8" t="s">
        <v>293</v>
      </c>
      <c r="L109" s="9" t="s">
        <v>294</v>
      </c>
      <c r="M109" s="8"/>
      <c r="N109" s="8" t="str">
        <f aca="true">IF(M109="","Active (per Notice 1)",IF(M109&lt;TODAY(),"Expired",IF(M109&lt;TODAY()+180,"Expiring Soon","Active")))</f>
        <v>Active (per Notice 1)</v>
      </c>
      <c r="O109" s="12" t="s">
        <v>305</v>
      </c>
      <c r="P109" s="8" t="s">
        <v>296</v>
      </c>
      <c r="Q109" s="8" t="n">
        <v>3.55</v>
      </c>
      <c r="R109" s="8" t="n">
        <v>1</v>
      </c>
      <c r="S109" s="11" t="n">
        <v>44977</v>
      </c>
      <c r="T109" s="8" t="str">
        <f aca="true">IF(S109="","",IF(EDATE(S109,60)&lt;TODAY(),"Expired",IF(EDATE(S109,60)&lt;TODAY()+180,"Expiring Soon","Valid")))</f>
        <v>Valid</v>
      </c>
      <c r="U109" s="8" t="str">
        <f aca="false">IF(P109="","",IF(P109="A++","Top Tier",IF(P109="A+","High",IF(P109="A","Strong",IF(LEFT(P109,1)="B","Acceptable",IF(LEFT(P109,1)="C","Below Avg","-"))))))</f>
        <v>Top Tier</v>
      </c>
      <c r="AC109" s="8"/>
      <c r="AD109" s="8"/>
      <c r="AE109" s="8"/>
      <c r="AF109" s="8"/>
      <c r="AG109" s="8"/>
      <c r="AH109" s="8" t="n">
        <v>41</v>
      </c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</row>
    <row r="110" customFormat="false" ht="15" hidden="false" customHeight="true" outlineLevel="0" collapsed="false">
      <c r="A110" s="8" t="n">
        <v>109</v>
      </c>
      <c r="B110" s="8" t="n">
        <v>17</v>
      </c>
      <c r="C110" s="8" t="s">
        <v>382</v>
      </c>
      <c r="D110" s="8" t="s">
        <v>333</v>
      </c>
      <c r="E110" s="9" t="s">
        <v>391</v>
      </c>
      <c r="F110" s="9" t="s">
        <v>314</v>
      </c>
      <c r="G110" s="8" t="s">
        <v>301</v>
      </c>
      <c r="H110" s="8" t="s">
        <v>302</v>
      </c>
      <c r="I110" s="8" t="s">
        <v>291</v>
      </c>
      <c r="J110" s="8" t="s">
        <v>292</v>
      </c>
      <c r="K110" s="8" t="s">
        <v>293</v>
      </c>
      <c r="L110" s="9" t="s">
        <v>294</v>
      </c>
      <c r="M110" s="8"/>
      <c r="N110" s="8" t="str">
        <f aca="true">IF(M110="","Active (per Notice 1)",IF(M110&lt;TODAY(),"Expired",IF(M110&lt;TODAY()+180,"Expiring Soon","Active")))</f>
        <v>Active (per Notice 1)</v>
      </c>
      <c r="O110" s="10" t="s">
        <v>295</v>
      </c>
      <c r="P110" s="8" t="s">
        <v>296</v>
      </c>
      <c r="Q110" s="8" t="n">
        <v>3.55</v>
      </c>
      <c r="R110" s="8" t="n">
        <v>1</v>
      </c>
      <c r="S110" s="11" t="n">
        <v>44977</v>
      </c>
      <c r="T110" s="8" t="str">
        <f aca="true">IF(S110="","",IF(EDATE(S110,60)&lt;TODAY(),"Expired",IF(EDATE(S110,60)&lt;TODAY()+180,"Expiring Soon","Valid")))</f>
        <v>Valid</v>
      </c>
      <c r="U110" s="8" t="str">
        <f aca="false">IF(P110="","",IF(P110="A++","Top Tier",IF(P110="A+","High",IF(P110="A","Strong",IF(LEFT(P110,1)="B","Acceptable",IF(LEFT(P110,1)="C","Below Avg","-"))))))</f>
        <v>Top Tier</v>
      </c>
      <c r="AC110" s="8"/>
      <c r="AD110" s="8"/>
      <c r="AE110" s="8"/>
      <c r="AF110" s="8"/>
      <c r="AG110" s="8"/>
      <c r="AH110" s="8" t="n">
        <v>41</v>
      </c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</row>
    <row r="111" customFormat="false" ht="15" hidden="false" customHeight="true" outlineLevel="0" collapsed="false">
      <c r="A111" s="8" t="n">
        <v>110</v>
      </c>
      <c r="B111" s="8" t="n">
        <v>17</v>
      </c>
      <c r="C111" s="8" t="s">
        <v>382</v>
      </c>
      <c r="D111" s="8" t="s">
        <v>333</v>
      </c>
      <c r="E111" s="9" t="s">
        <v>391</v>
      </c>
      <c r="F111" s="9" t="s">
        <v>343</v>
      </c>
      <c r="G111" s="8" t="s">
        <v>344</v>
      </c>
      <c r="H111" s="8" t="s">
        <v>302</v>
      </c>
      <c r="I111" s="8" t="s">
        <v>291</v>
      </c>
      <c r="J111" s="8" t="s">
        <v>292</v>
      </c>
      <c r="K111" s="8" t="s">
        <v>293</v>
      </c>
      <c r="L111" s="9" t="s">
        <v>294</v>
      </c>
      <c r="M111" s="8"/>
      <c r="N111" s="8" t="str">
        <f aca="true">IF(M111="","Active (per Notice 1)",IF(M111&lt;TODAY(),"Expired",IF(M111&lt;TODAY()+180,"Expiring Soon","Active")))</f>
        <v>Active (per Notice 1)</v>
      </c>
      <c r="O111" s="10" t="s">
        <v>295</v>
      </c>
      <c r="P111" s="8" t="s">
        <v>296</v>
      </c>
      <c r="Q111" s="8" t="n">
        <v>3.55</v>
      </c>
      <c r="R111" s="8" t="n">
        <v>1</v>
      </c>
      <c r="S111" s="11" t="n">
        <v>44977</v>
      </c>
      <c r="T111" s="8" t="str">
        <f aca="true">IF(S111="","",IF(EDATE(S111,60)&lt;TODAY(),"Expired",IF(EDATE(S111,60)&lt;TODAY()+180,"Expiring Soon","Valid")))</f>
        <v>Valid</v>
      </c>
      <c r="U111" s="8" t="str">
        <f aca="false">IF(P111="","",IF(P111="A++","Top Tier",IF(P111="A+","High",IF(P111="A","Strong",IF(LEFT(P111,1)="B","Acceptable",IF(LEFT(P111,1)="C","Below Avg","-"))))))</f>
        <v>Top Tier</v>
      </c>
      <c r="AC111" s="8"/>
      <c r="AD111" s="8"/>
      <c r="AE111" s="8"/>
      <c r="AF111" s="8"/>
      <c r="AG111" s="8"/>
      <c r="AH111" s="8" t="n">
        <v>41</v>
      </c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</row>
    <row r="112" customFormat="false" ht="15" hidden="false" customHeight="true" outlineLevel="0" collapsed="false">
      <c r="A112" s="8" t="n">
        <v>111</v>
      </c>
      <c r="B112" s="8" t="n">
        <v>17</v>
      </c>
      <c r="C112" s="8" t="s">
        <v>382</v>
      </c>
      <c r="D112" s="8" t="s">
        <v>333</v>
      </c>
      <c r="E112" s="9" t="s">
        <v>391</v>
      </c>
      <c r="F112" s="9" t="s">
        <v>308</v>
      </c>
      <c r="G112" s="8" t="s">
        <v>309</v>
      </c>
      <c r="H112" s="8" t="s">
        <v>302</v>
      </c>
      <c r="I112" s="8" t="s">
        <v>291</v>
      </c>
      <c r="J112" s="8" t="s">
        <v>292</v>
      </c>
      <c r="K112" s="8" t="s">
        <v>293</v>
      </c>
      <c r="L112" s="9" t="s">
        <v>294</v>
      </c>
      <c r="M112" s="8"/>
      <c r="N112" s="8" t="str">
        <f aca="true">IF(M112="","Active (per Notice 1)",IF(M112&lt;TODAY(),"Expired",IF(M112&lt;TODAY()+180,"Expiring Soon","Active")))</f>
        <v>Active (per Notice 1)</v>
      </c>
      <c r="O112" s="10" t="s">
        <v>295</v>
      </c>
      <c r="P112" s="8" t="s">
        <v>296</v>
      </c>
      <c r="Q112" s="8" t="n">
        <v>3.55</v>
      </c>
      <c r="R112" s="8" t="n">
        <v>1</v>
      </c>
      <c r="S112" s="11" t="n">
        <v>44977</v>
      </c>
      <c r="T112" s="8" t="str">
        <f aca="true">IF(S112="","",IF(EDATE(S112,60)&lt;TODAY(),"Expired",IF(EDATE(S112,60)&lt;TODAY()+180,"Expiring Soon","Valid")))</f>
        <v>Valid</v>
      </c>
      <c r="U112" s="8" t="str">
        <f aca="false">IF(P112="","",IF(P112="A++","Top Tier",IF(P112="A+","High",IF(P112="A","Strong",IF(LEFT(P112,1)="B","Acceptable",IF(LEFT(P112,1)="C","Below Avg","-"))))))</f>
        <v>Top Tier</v>
      </c>
      <c r="AC112" s="8"/>
      <c r="AD112" s="8"/>
      <c r="AE112" s="8"/>
      <c r="AF112" s="8"/>
      <c r="AG112" s="8"/>
      <c r="AH112" s="8" t="n">
        <v>41</v>
      </c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</row>
    <row r="113" customFormat="false" ht="15" hidden="false" customHeight="true" outlineLevel="0" collapsed="false">
      <c r="A113" s="8" t="n">
        <v>112</v>
      </c>
      <c r="B113" s="8" t="n">
        <v>17</v>
      </c>
      <c r="C113" s="8" t="s">
        <v>382</v>
      </c>
      <c r="D113" s="8" t="s">
        <v>333</v>
      </c>
      <c r="E113" s="9" t="s">
        <v>391</v>
      </c>
      <c r="F113" s="9" t="s">
        <v>392</v>
      </c>
      <c r="G113" s="8" t="s">
        <v>301</v>
      </c>
      <c r="H113" s="8" t="s">
        <v>302</v>
      </c>
      <c r="I113" s="8" t="s">
        <v>291</v>
      </c>
      <c r="J113" s="8" t="s">
        <v>292</v>
      </c>
      <c r="K113" s="8" t="s">
        <v>293</v>
      </c>
      <c r="L113" s="9" t="s">
        <v>294</v>
      </c>
      <c r="M113" s="8"/>
      <c r="N113" s="8" t="str">
        <f aca="true">IF(M113="","Active (per Notice 1)",IF(M113&lt;TODAY(),"Expired",IF(M113&lt;TODAY()+180,"Expiring Soon","Active")))</f>
        <v>Active (per Notice 1)</v>
      </c>
      <c r="O113" s="10" t="s">
        <v>295</v>
      </c>
      <c r="P113" s="8" t="s">
        <v>296</v>
      </c>
      <c r="Q113" s="8" t="n">
        <v>3.55</v>
      </c>
      <c r="R113" s="8" t="n">
        <v>1</v>
      </c>
      <c r="S113" s="11" t="n">
        <v>44977</v>
      </c>
      <c r="T113" s="8" t="str">
        <f aca="true">IF(S113="","",IF(EDATE(S113,60)&lt;TODAY(),"Expired",IF(EDATE(S113,60)&lt;TODAY()+180,"Expiring Soon","Valid")))</f>
        <v>Valid</v>
      </c>
      <c r="U113" s="8" t="str">
        <f aca="false">IF(P113="","",IF(P113="A++","Top Tier",IF(P113="A+","High",IF(P113="A","Strong",IF(LEFT(P113,1)="B","Acceptable",IF(LEFT(P113,1)="C","Below Avg","-"))))))</f>
        <v>Top Tier</v>
      </c>
      <c r="AC113" s="8"/>
      <c r="AD113" s="8"/>
      <c r="AE113" s="8"/>
      <c r="AF113" s="8"/>
      <c r="AG113" s="8"/>
      <c r="AH113" s="8" t="n">
        <v>41</v>
      </c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</row>
    <row r="114" customFormat="false" ht="15" hidden="false" customHeight="true" outlineLevel="0" collapsed="false">
      <c r="A114" s="8" t="n">
        <v>113</v>
      </c>
      <c r="B114" s="8" t="n">
        <v>17</v>
      </c>
      <c r="C114" s="8" t="s">
        <v>382</v>
      </c>
      <c r="D114" s="8" t="s">
        <v>333</v>
      </c>
      <c r="E114" s="9" t="s">
        <v>391</v>
      </c>
      <c r="F114" s="9" t="s">
        <v>303</v>
      </c>
      <c r="G114" s="8" t="s">
        <v>304</v>
      </c>
      <c r="H114" s="8" t="s">
        <v>302</v>
      </c>
      <c r="I114" s="8" t="s">
        <v>291</v>
      </c>
      <c r="J114" s="8" t="s">
        <v>292</v>
      </c>
      <c r="K114" s="8" t="s">
        <v>293</v>
      </c>
      <c r="L114" s="9" t="s">
        <v>294</v>
      </c>
      <c r="M114" s="8"/>
      <c r="N114" s="8" t="str">
        <f aca="true">IF(M114="","Active (per Notice 1)",IF(M114&lt;TODAY(),"Expired",IF(M114&lt;TODAY()+180,"Expiring Soon","Active")))</f>
        <v>Active (per Notice 1)</v>
      </c>
      <c r="O114" s="12" t="s">
        <v>305</v>
      </c>
      <c r="P114" s="8" t="s">
        <v>296</v>
      </c>
      <c r="Q114" s="8" t="n">
        <v>3.55</v>
      </c>
      <c r="R114" s="8" t="n">
        <v>1</v>
      </c>
      <c r="S114" s="11" t="n">
        <v>44977</v>
      </c>
      <c r="T114" s="8" t="str">
        <f aca="true">IF(S114="","",IF(EDATE(S114,60)&lt;TODAY(),"Expired",IF(EDATE(S114,60)&lt;TODAY()+180,"Expiring Soon","Valid")))</f>
        <v>Valid</v>
      </c>
      <c r="U114" s="8" t="str">
        <f aca="false">IF(P114="","",IF(P114="A++","Top Tier",IF(P114="A+","High",IF(P114="A","Strong",IF(LEFT(P114,1)="B","Acceptable",IF(LEFT(P114,1)="C","Below Avg","-"))))))</f>
        <v>Top Tier</v>
      </c>
      <c r="AC114" s="8"/>
      <c r="AD114" s="8"/>
      <c r="AE114" s="8"/>
      <c r="AF114" s="8"/>
      <c r="AG114" s="8"/>
      <c r="AH114" s="8" t="n">
        <v>41</v>
      </c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</row>
    <row r="115" customFormat="false" ht="15" hidden="false" customHeight="true" outlineLevel="0" collapsed="false">
      <c r="A115" s="8" t="n">
        <v>114</v>
      </c>
      <c r="B115" s="8" t="n">
        <v>17</v>
      </c>
      <c r="C115" s="8" t="s">
        <v>382</v>
      </c>
      <c r="D115" s="8" t="s">
        <v>333</v>
      </c>
      <c r="E115" s="9" t="s">
        <v>391</v>
      </c>
      <c r="F115" s="9" t="s">
        <v>306</v>
      </c>
      <c r="G115" s="8" t="s">
        <v>307</v>
      </c>
      <c r="H115" s="8" t="s">
        <v>302</v>
      </c>
      <c r="I115" s="8" t="s">
        <v>291</v>
      </c>
      <c r="J115" s="8" t="s">
        <v>292</v>
      </c>
      <c r="K115" s="8" t="s">
        <v>293</v>
      </c>
      <c r="L115" s="9" t="s">
        <v>294</v>
      </c>
      <c r="M115" s="8"/>
      <c r="N115" s="8" t="str">
        <f aca="true">IF(M115="","Active (per Notice 1)",IF(M115&lt;TODAY(),"Expired",IF(M115&lt;TODAY()+180,"Expiring Soon","Active")))</f>
        <v>Active (per Notice 1)</v>
      </c>
      <c r="O115" s="12" t="s">
        <v>305</v>
      </c>
      <c r="P115" s="8" t="s">
        <v>296</v>
      </c>
      <c r="Q115" s="8" t="n">
        <v>3.55</v>
      </c>
      <c r="R115" s="8" t="n">
        <v>1</v>
      </c>
      <c r="S115" s="11" t="n">
        <v>44977</v>
      </c>
      <c r="T115" s="8" t="str">
        <f aca="true">IF(S115="","",IF(EDATE(S115,60)&lt;TODAY(),"Expired",IF(EDATE(S115,60)&lt;TODAY()+180,"Expiring Soon","Valid")))</f>
        <v>Valid</v>
      </c>
      <c r="U115" s="8" t="str">
        <f aca="false">IF(P115="","",IF(P115="A++","Top Tier",IF(P115="A+","High",IF(P115="A","Strong",IF(LEFT(P115,1)="B","Acceptable",IF(LEFT(P115,1)="C","Below Avg","-"))))))</f>
        <v>Top Tier</v>
      </c>
      <c r="AC115" s="8"/>
      <c r="AD115" s="8"/>
      <c r="AE115" s="8"/>
      <c r="AF115" s="8"/>
      <c r="AG115" s="8"/>
      <c r="AH115" s="8" t="n">
        <v>41</v>
      </c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</row>
    <row r="116" customFormat="false" ht="15" hidden="false" customHeight="true" outlineLevel="0" collapsed="false">
      <c r="A116" s="8" t="n">
        <v>115</v>
      </c>
      <c r="B116" s="8" t="n">
        <v>17</v>
      </c>
      <c r="C116" s="8" t="s">
        <v>382</v>
      </c>
      <c r="D116" s="8" t="s">
        <v>333</v>
      </c>
      <c r="E116" s="9" t="s">
        <v>391</v>
      </c>
      <c r="F116" s="9" t="s">
        <v>393</v>
      </c>
      <c r="G116" s="8" t="s">
        <v>386</v>
      </c>
      <c r="H116" s="8" t="s">
        <v>302</v>
      </c>
      <c r="I116" s="8" t="s">
        <v>291</v>
      </c>
      <c r="J116" s="8" t="s">
        <v>292</v>
      </c>
      <c r="K116" s="8" t="s">
        <v>293</v>
      </c>
      <c r="L116" s="9" t="s">
        <v>294</v>
      </c>
      <c r="M116" s="8"/>
      <c r="N116" s="8" t="str">
        <f aca="true">IF(M116="","Active (per Notice 1)",IF(M116&lt;TODAY(),"Expired",IF(M116&lt;TODAY()+180,"Expiring Soon","Active")))</f>
        <v>Active (per Notice 1)</v>
      </c>
      <c r="O116" s="10" t="s">
        <v>295</v>
      </c>
      <c r="P116" s="8" t="s">
        <v>296</v>
      </c>
      <c r="Q116" s="8" t="n">
        <v>3.55</v>
      </c>
      <c r="R116" s="8" t="n">
        <v>1</v>
      </c>
      <c r="S116" s="11" t="n">
        <v>44977</v>
      </c>
      <c r="T116" s="8" t="str">
        <f aca="true">IF(S116="","",IF(EDATE(S116,60)&lt;TODAY(),"Expired",IF(EDATE(S116,60)&lt;TODAY()+180,"Expiring Soon","Valid")))</f>
        <v>Valid</v>
      </c>
      <c r="U116" s="8" t="str">
        <f aca="false">IF(P116="","",IF(P116="A++","Top Tier",IF(P116="A+","High",IF(P116="A","Strong",IF(LEFT(P116,1)="B","Acceptable",IF(LEFT(P116,1)="C","Below Avg","-"))))))</f>
        <v>Top Tier</v>
      </c>
      <c r="AC116" s="8"/>
      <c r="AD116" s="8"/>
      <c r="AE116" s="8"/>
      <c r="AF116" s="8"/>
      <c r="AG116" s="8"/>
      <c r="AH116" s="8" t="n">
        <v>41</v>
      </c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</row>
    <row r="117" customFormat="false" ht="15" hidden="false" customHeight="true" outlineLevel="0" collapsed="false">
      <c r="A117" s="8" t="n">
        <v>116</v>
      </c>
      <c r="B117" s="8" t="n">
        <v>18</v>
      </c>
      <c r="C117" s="8" t="s">
        <v>382</v>
      </c>
      <c r="D117" s="8" t="s">
        <v>333</v>
      </c>
      <c r="E117" s="9" t="s">
        <v>394</v>
      </c>
      <c r="F117" s="9" t="s">
        <v>359</v>
      </c>
      <c r="G117" s="8" t="s">
        <v>289</v>
      </c>
      <c r="H117" s="8" t="s">
        <v>290</v>
      </c>
      <c r="I117" s="8" t="s">
        <v>291</v>
      </c>
      <c r="J117" s="8" t="s">
        <v>292</v>
      </c>
      <c r="K117" s="8" t="s">
        <v>293</v>
      </c>
      <c r="L117" s="9" t="s">
        <v>294</v>
      </c>
      <c r="M117" s="8"/>
      <c r="N117" s="8" t="str">
        <f aca="true">IF(M117="","Active (per Notice 1)",IF(M117&lt;TODAY(),"Expired",IF(M117&lt;TODAY()+180,"Expiring Soon","Active")))</f>
        <v>Active (per Notice 1)</v>
      </c>
      <c r="O117" s="10" t="s">
        <v>295</v>
      </c>
      <c r="P117" s="8" t="s">
        <v>327</v>
      </c>
      <c r="Q117" s="8" t="n">
        <v>3.31</v>
      </c>
      <c r="R117" s="8" t="n">
        <v>1</v>
      </c>
      <c r="S117" s="11" t="n">
        <v>45239</v>
      </c>
      <c r="T117" s="8" t="str">
        <f aca="true">IF(S117="","",IF(EDATE(S117,60)&lt;TODAY(),"Expired",IF(EDATE(S117,60)&lt;TODAY()+180,"Expiring Soon","Valid")))</f>
        <v>Valid</v>
      </c>
      <c r="U117" s="8" t="str">
        <f aca="false">IF(P117="","",IF(P117="A++","Top Tier",IF(P117="A+","High",IF(P117="A","Strong",IF(LEFT(P117,1)="B","Acceptable",IF(LEFT(P117,1)="C","Below Avg","-"))))))</f>
        <v>High</v>
      </c>
      <c r="AT117" s="8"/>
      <c r="AU117" s="8"/>
    </row>
    <row r="118" customFormat="false" ht="15" hidden="false" customHeight="true" outlineLevel="0" collapsed="false">
      <c r="A118" s="8" t="n">
        <v>117</v>
      </c>
      <c r="B118" s="8" t="n">
        <v>18</v>
      </c>
      <c r="C118" s="8" t="s">
        <v>382</v>
      </c>
      <c r="D118" s="8" t="s">
        <v>333</v>
      </c>
      <c r="E118" s="9" t="s">
        <v>394</v>
      </c>
      <c r="F118" s="9" t="s">
        <v>317</v>
      </c>
      <c r="G118" s="8" t="s">
        <v>318</v>
      </c>
      <c r="H118" s="8" t="s">
        <v>290</v>
      </c>
      <c r="I118" s="8" t="s">
        <v>291</v>
      </c>
      <c r="J118" s="8" t="s">
        <v>292</v>
      </c>
      <c r="K118" s="8" t="s">
        <v>293</v>
      </c>
      <c r="L118" s="9" t="s">
        <v>294</v>
      </c>
      <c r="M118" s="8"/>
      <c r="N118" s="8" t="str">
        <f aca="true">IF(M118="","Active (per Notice 1)",IF(M118&lt;TODAY(),"Expired",IF(M118&lt;TODAY()+180,"Expiring Soon","Active")))</f>
        <v>Active (per Notice 1)</v>
      </c>
      <c r="O118" s="12" t="s">
        <v>305</v>
      </c>
      <c r="P118" s="8" t="s">
        <v>327</v>
      </c>
      <c r="Q118" s="8" t="n">
        <v>3.31</v>
      </c>
      <c r="R118" s="8" t="n">
        <v>1</v>
      </c>
      <c r="S118" s="11" t="n">
        <v>45239</v>
      </c>
      <c r="T118" s="8" t="str">
        <f aca="true">IF(S118="","",IF(EDATE(S118,60)&lt;TODAY(),"Expired",IF(EDATE(S118,60)&lt;TODAY()+180,"Expiring Soon","Valid")))</f>
        <v>Valid</v>
      </c>
      <c r="U118" s="8" t="str">
        <f aca="false">IF(P118="","",IF(P118="A++","Top Tier",IF(P118="A+","High",IF(P118="A","Strong",IF(LEFT(P118,1)="B","Acceptable",IF(LEFT(P118,1)="C","Below Avg","-"))))))</f>
        <v>High</v>
      </c>
      <c r="AT118" s="8"/>
      <c r="AU118" s="8"/>
    </row>
    <row r="119" customFormat="false" ht="15" hidden="false" customHeight="true" outlineLevel="0" collapsed="false">
      <c r="A119" s="8" t="n">
        <v>118</v>
      </c>
      <c r="B119" s="8" t="n">
        <v>18</v>
      </c>
      <c r="C119" s="8" t="s">
        <v>382</v>
      </c>
      <c r="D119" s="8" t="s">
        <v>333</v>
      </c>
      <c r="E119" s="9" t="s">
        <v>394</v>
      </c>
      <c r="F119" s="9" t="s">
        <v>319</v>
      </c>
      <c r="G119" s="8" t="s">
        <v>320</v>
      </c>
      <c r="H119" s="8" t="s">
        <v>290</v>
      </c>
      <c r="I119" s="8" t="s">
        <v>291</v>
      </c>
      <c r="J119" s="8" t="s">
        <v>292</v>
      </c>
      <c r="K119" s="8" t="s">
        <v>293</v>
      </c>
      <c r="L119" s="9" t="s">
        <v>294</v>
      </c>
      <c r="M119" s="8"/>
      <c r="N119" s="8" t="str">
        <f aca="true">IF(M119="","Active (per Notice 1)",IF(M119&lt;TODAY(),"Expired",IF(M119&lt;TODAY()+180,"Expiring Soon","Active")))</f>
        <v>Active (per Notice 1)</v>
      </c>
      <c r="O119" s="12" t="s">
        <v>305</v>
      </c>
      <c r="P119" s="8" t="s">
        <v>327</v>
      </c>
      <c r="Q119" s="8" t="n">
        <v>3.31</v>
      </c>
      <c r="R119" s="8" t="n">
        <v>1</v>
      </c>
      <c r="S119" s="11" t="n">
        <v>45239</v>
      </c>
      <c r="T119" s="8" t="str">
        <f aca="true">IF(S119="","",IF(EDATE(S119,60)&lt;TODAY(),"Expired",IF(EDATE(S119,60)&lt;TODAY()+180,"Expiring Soon","Valid")))</f>
        <v>Valid</v>
      </c>
      <c r="U119" s="8" t="str">
        <f aca="false">IF(P119="","",IF(P119="A++","Top Tier",IF(P119="A+","High",IF(P119="A","Strong",IF(LEFT(P119,1)="B","Acceptable",IF(LEFT(P119,1)="C","Below Avg","-"))))))</f>
        <v>High</v>
      </c>
      <c r="AT119" s="8"/>
      <c r="AU119" s="8"/>
    </row>
    <row r="120" customFormat="false" ht="15" hidden="false" customHeight="true" outlineLevel="0" collapsed="false">
      <c r="A120" s="8" t="n">
        <v>119</v>
      </c>
      <c r="B120" s="8" t="n">
        <v>18</v>
      </c>
      <c r="C120" s="8" t="s">
        <v>382</v>
      </c>
      <c r="D120" s="8" t="s">
        <v>333</v>
      </c>
      <c r="E120" s="9" t="s">
        <v>394</v>
      </c>
      <c r="F120" s="9" t="s">
        <v>312</v>
      </c>
      <c r="G120" s="8" t="s">
        <v>301</v>
      </c>
      <c r="H120" s="8" t="s">
        <v>302</v>
      </c>
      <c r="I120" s="8" t="s">
        <v>291</v>
      </c>
      <c r="J120" s="8" t="s">
        <v>292</v>
      </c>
      <c r="K120" s="8" t="s">
        <v>293</v>
      </c>
      <c r="L120" s="9" t="s">
        <v>294</v>
      </c>
      <c r="M120" s="8"/>
      <c r="N120" s="8" t="str">
        <f aca="true">IF(M120="","Active (per Notice 1)",IF(M120&lt;TODAY(),"Expired",IF(M120&lt;TODAY()+180,"Expiring Soon","Active")))</f>
        <v>Active (per Notice 1)</v>
      </c>
      <c r="O120" s="10" t="s">
        <v>295</v>
      </c>
      <c r="P120" s="8" t="s">
        <v>327</v>
      </c>
      <c r="Q120" s="8" t="n">
        <v>3.31</v>
      </c>
      <c r="R120" s="8" t="n">
        <v>1</v>
      </c>
      <c r="S120" s="11" t="n">
        <v>45239</v>
      </c>
      <c r="T120" s="8" t="str">
        <f aca="true">IF(S120="","",IF(EDATE(S120,60)&lt;TODAY(),"Expired",IF(EDATE(S120,60)&lt;TODAY()+180,"Expiring Soon","Valid")))</f>
        <v>Valid</v>
      </c>
      <c r="U120" s="8" t="str">
        <f aca="false">IF(P120="","",IF(P120="A++","Top Tier",IF(P120="A+","High",IF(P120="A","Strong",IF(LEFT(P120,1)="B","Acceptable",IF(LEFT(P120,1)="C","Below Avg","-"))))))</f>
        <v>High</v>
      </c>
      <c r="AT120" s="8"/>
      <c r="AU120" s="8"/>
    </row>
    <row r="121" customFormat="false" ht="15" hidden="false" customHeight="true" outlineLevel="0" collapsed="false">
      <c r="A121" s="8" t="n">
        <v>120</v>
      </c>
      <c r="B121" s="8" t="n">
        <v>18</v>
      </c>
      <c r="C121" s="8" t="s">
        <v>382</v>
      </c>
      <c r="D121" s="8" t="s">
        <v>333</v>
      </c>
      <c r="E121" s="9" t="s">
        <v>394</v>
      </c>
      <c r="F121" s="9" t="s">
        <v>385</v>
      </c>
      <c r="G121" s="8" t="s">
        <v>386</v>
      </c>
      <c r="H121" s="8" t="s">
        <v>302</v>
      </c>
      <c r="I121" s="8" t="s">
        <v>291</v>
      </c>
      <c r="J121" s="8" t="s">
        <v>292</v>
      </c>
      <c r="K121" s="8" t="s">
        <v>293</v>
      </c>
      <c r="L121" s="9" t="s">
        <v>294</v>
      </c>
      <c r="M121" s="8"/>
      <c r="N121" s="8" t="str">
        <f aca="true">IF(M121="","Active (per Notice 1)",IF(M121&lt;TODAY(),"Expired",IF(M121&lt;TODAY()+180,"Expiring Soon","Active")))</f>
        <v>Active (per Notice 1)</v>
      </c>
      <c r="O121" s="10" t="s">
        <v>295</v>
      </c>
      <c r="P121" s="8" t="s">
        <v>327</v>
      </c>
      <c r="Q121" s="8" t="n">
        <v>3.31</v>
      </c>
      <c r="R121" s="8" t="n">
        <v>1</v>
      </c>
      <c r="S121" s="11" t="n">
        <v>45239</v>
      </c>
      <c r="T121" s="8" t="str">
        <f aca="true">IF(S121="","",IF(EDATE(S121,60)&lt;TODAY(),"Expired",IF(EDATE(S121,60)&lt;TODAY()+180,"Expiring Soon","Valid")))</f>
        <v>Valid</v>
      </c>
      <c r="U121" s="8" t="str">
        <f aca="false">IF(P121="","",IF(P121="A++","Top Tier",IF(P121="A+","High",IF(P121="A","Strong",IF(LEFT(P121,1)="B","Acceptable",IF(LEFT(P121,1)="C","Below Avg","-"))))))</f>
        <v>High</v>
      </c>
      <c r="AT121" s="8"/>
      <c r="AU121" s="8"/>
    </row>
    <row r="122" customFormat="false" ht="15" hidden="false" customHeight="true" outlineLevel="0" collapsed="false">
      <c r="A122" s="8" t="n">
        <v>121</v>
      </c>
      <c r="B122" s="8" t="n">
        <v>18</v>
      </c>
      <c r="C122" s="8" t="s">
        <v>382</v>
      </c>
      <c r="D122" s="8" t="s">
        <v>333</v>
      </c>
      <c r="E122" s="9" t="s">
        <v>394</v>
      </c>
      <c r="F122" s="9" t="s">
        <v>332</v>
      </c>
      <c r="G122" s="8" t="s">
        <v>304</v>
      </c>
      <c r="H122" s="8" t="s">
        <v>302</v>
      </c>
      <c r="I122" s="8" t="s">
        <v>291</v>
      </c>
      <c r="J122" s="8" t="s">
        <v>292</v>
      </c>
      <c r="K122" s="8" t="s">
        <v>293</v>
      </c>
      <c r="L122" s="9" t="s">
        <v>294</v>
      </c>
      <c r="M122" s="8"/>
      <c r="N122" s="8" t="str">
        <f aca="true">IF(M122="","Active (per Notice 1)",IF(M122&lt;TODAY(),"Expired",IF(M122&lt;TODAY()+180,"Expiring Soon","Active")))</f>
        <v>Active (per Notice 1)</v>
      </c>
      <c r="O122" s="12" t="s">
        <v>305</v>
      </c>
      <c r="P122" s="8" t="s">
        <v>327</v>
      </c>
      <c r="Q122" s="8" t="n">
        <v>3.31</v>
      </c>
      <c r="R122" s="8" t="n">
        <v>1</v>
      </c>
      <c r="S122" s="11" t="n">
        <v>45239</v>
      </c>
      <c r="T122" s="8" t="str">
        <f aca="true">IF(S122="","",IF(EDATE(S122,60)&lt;TODAY(),"Expired",IF(EDATE(S122,60)&lt;TODAY()+180,"Expiring Soon","Valid")))</f>
        <v>Valid</v>
      </c>
      <c r="U122" s="8" t="str">
        <f aca="false">IF(P122="","",IF(P122="A++","Top Tier",IF(P122="A+","High",IF(P122="A","Strong",IF(LEFT(P122,1)="B","Acceptable",IF(LEFT(P122,1)="C","Below Avg","-"))))))</f>
        <v>High</v>
      </c>
      <c r="AT122" s="8"/>
      <c r="AU122" s="8"/>
    </row>
    <row r="123" customFormat="false" ht="15" hidden="false" customHeight="true" outlineLevel="0" collapsed="false">
      <c r="A123" s="8" t="n">
        <v>122</v>
      </c>
      <c r="B123" s="8" t="n">
        <v>18</v>
      </c>
      <c r="C123" s="8" t="s">
        <v>382</v>
      </c>
      <c r="D123" s="8" t="s">
        <v>333</v>
      </c>
      <c r="E123" s="9" t="s">
        <v>394</v>
      </c>
      <c r="F123" s="9" t="s">
        <v>306</v>
      </c>
      <c r="G123" s="8" t="s">
        <v>307</v>
      </c>
      <c r="H123" s="8" t="s">
        <v>302</v>
      </c>
      <c r="I123" s="8" t="s">
        <v>291</v>
      </c>
      <c r="J123" s="8" t="s">
        <v>292</v>
      </c>
      <c r="K123" s="8" t="s">
        <v>293</v>
      </c>
      <c r="L123" s="9" t="s">
        <v>294</v>
      </c>
      <c r="M123" s="8"/>
      <c r="N123" s="8" t="str">
        <f aca="true">IF(M123="","Active (per Notice 1)",IF(M123&lt;TODAY(),"Expired",IF(M123&lt;TODAY()+180,"Expiring Soon","Active")))</f>
        <v>Active (per Notice 1)</v>
      </c>
      <c r="O123" s="12" t="s">
        <v>305</v>
      </c>
      <c r="P123" s="8" t="s">
        <v>327</v>
      </c>
      <c r="Q123" s="8" t="n">
        <v>3.31</v>
      </c>
      <c r="R123" s="8" t="n">
        <v>1</v>
      </c>
      <c r="S123" s="11" t="n">
        <v>45239</v>
      </c>
      <c r="T123" s="8" t="str">
        <f aca="true">IF(S123="","",IF(EDATE(S123,60)&lt;TODAY(),"Expired",IF(EDATE(S123,60)&lt;TODAY()+180,"Expiring Soon","Valid")))</f>
        <v>Valid</v>
      </c>
      <c r="U123" s="8" t="str">
        <f aca="false">IF(P123="","",IF(P123="A++","Top Tier",IF(P123="A+","High",IF(P123="A","Strong",IF(LEFT(P123,1)="B","Acceptable",IF(LEFT(P123,1)="C","Below Avg","-"))))))</f>
        <v>High</v>
      </c>
      <c r="AT123" s="8"/>
      <c r="AU123" s="8"/>
    </row>
    <row r="124" customFormat="false" ht="15" hidden="false" customHeight="true" outlineLevel="0" collapsed="false">
      <c r="A124" s="8" t="n">
        <v>123</v>
      </c>
      <c r="B124" s="8" t="n">
        <v>19</v>
      </c>
      <c r="C124" s="8" t="s">
        <v>382</v>
      </c>
      <c r="D124" s="8" t="s">
        <v>286</v>
      </c>
      <c r="E124" s="9" t="s">
        <v>395</v>
      </c>
      <c r="F124" s="9" t="s">
        <v>379</v>
      </c>
      <c r="G124" s="8" t="s">
        <v>304</v>
      </c>
      <c r="H124" s="8" t="s">
        <v>302</v>
      </c>
      <c r="I124" s="8" t="s">
        <v>291</v>
      </c>
      <c r="J124" s="8" t="s">
        <v>292</v>
      </c>
      <c r="K124" s="8" t="s">
        <v>293</v>
      </c>
      <c r="L124" s="9" t="s">
        <v>294</v>
      </c>
      <c r="M124" s="8"/>
      <c r="N124" s="8" t="str">
        <f aca="true">IF(M124="","Active (per Notice 1)",IF(M124&lt;TODAY(),"Expired",IF(M124&lt;TODAY()+180,"Expiring Soon","Active")))</f>
        <v>Active (per Notice 1)</v>
      </c>
      <c r="O124" s="12" t="s">
        <v>305</v>
      </c>
      <c r="P124" s="8" t="s">
        <v>327</v>
      </c>
      <c r="Q124" s="8" t="n">
        <v>3.26</v>
      </c>
      <c r="R124" s="8" t="n">
        <v>1</v>
      </c>
      <c r="S124" s="11" t="n">
        <v>44971</v>
      </c>
      <c r="T124" s="8" t="str">
        <f aca="true">IF(S124="","",IF(EDATE(S124,60)&lt;TODAY(),"Expired",IF(EDATE(S124,60)&lt;TODAY()+180,"Expiring Soon","Valid")))</f>
        <v>Valid</v>
      </c>
      <c r="U124" s="8" t="str">
        <f aca="false">IF(P124="","",IF(P124="A++","Top Tier",IF(P124="A+","High",IF(P124="A","Strong",IF(LEFT(P124,1)="B","Acceptable",IF(LEFT(P124,1)="C","Below Avg","-"))))))</f>
        <v>High</v>
      </c>
      <c r="AC124" s="8"/>
      <c r="AD124" s="8"/>
      <c r="AE124" s="8"/>
      <c r="AF124" s="8"/>
      <c r="AG124" s="8"/>
      <c r="AH124" s="8" t="n">
        <v>58</v>
      </c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customFormat="false" ht="15" hidden="false" customHeight="true" outlineLevel="0" collapsed="false">
      <c r="A125" s="8" t="n">
        <v>124</v>
      </c>
      <c r="B125" s="8" t="n">
        <v>20</v>
      </c>
      <c r="C125" s="8" t="s">
        <v>382</v>
      </c>
      <c r="D125" s="8" t="s">
        <v>333</v>
      </c>
      <c r="E125" s="9" t="s">
        <v>396</v>
      </c>
      <c r="F125" s="9" t="s">
        <v>359</v>
      </c>
      <c r="G125" s="8" t="s">
        <v>289</v>
      </c>
      <c r="H125" s="8" t="s">
        <v>290</v>
      </c>
      <c r="I125" s="8" t="s">
        <v>291</v>
      </c>
      <c r="J125" s="8" t="s">
        <v>292</v>
      </c>
      <c r="K125" s="8" t="s">
        <v>293</v>
      </c>
      <c r="L125" s="9" t="s">
        <v>294</v>
      </c>
      <c r="M125" s="8"/>
      <c r="N125" s="8" t="str">
        <f aca="true">IF(M125="","Active (per Notice 1)",IF(M125&lt;TODAY(),"Expired",IF(M125&lt;TODAY()+180,"Expiring Soon","Active")))</f>
        <v>Active (per Notice 1)</v>
      </c>
      <c r="O125" s="10" t="s">
        <v>295</v>
      </c>
      <c r="P125" s="8" t="s">
        <v>327</v>
      </c>
      <c r="Q125" s="8" t="n">
        <v>3.44</v>
      </c>
      <c r="R125" s="8" t="n">
        <v>1</v>
      </c>
      <c r="S125" s="11" t="n">
        <v>45687</v>
      </c>
      <c r="T125" s="8" t="str">
        <f aca="true">IF(S125="","",IF(EDATE(S125,60)&lt;TODAY(),"Expired",IF(EDATE(S125,60)&lt;TODAY()+180,"Expiring Soon","Valid")))</f>
        <v>Valid</v>
      </c>
      <c r="U125" s="8" t="str">
        <f aca="false">IF(P125="","",IF(P125="A++","Top Tier",IF(P125="A+","High",IF(P125="A","Strong",IF(LEFT(P125,1)="B","Acceptable",IF(LEFT(P125,1)="C","Below Avg","-"))))))</f>
        <v>High</v>
      </c>
      <c r="AT125" s="8"/>
      <c r="AU125" s="8"/>
    </row>
    <row r="126" customFormat="false" ht="15" hidden="false" customHeight="true" outlineLevel="0" collapsed="false">
      <c r="A126" s="8" t="n">
        <v>125</v>
      </c>
      <c r="B126" s="8" t="n">
        <v>20</v>
      </c>
      <c r="C126" s="8" t="s">
        <v>382</v>
      </c>
      <c r="D126" s="8" t="s">
        <v>333</v>
      </c>
      <c r="E126" s="9" t="s">
        <v>396</v>
      </c>
      <c r="F126" s="9" t="s">
        <v>397</v>
      </c>
      <c r="G126" s="8" t="s">
        <v>320</v>
      </c>
      <c r="H126" s="8" t="s">
        <v>290</v>
      </c>
      <c r="I126" s="8" t="s">
        <v>291</v>
      </c>
      <c r="J126" s="8" t="s">
        <v>292</v>
      </c>
      <c r="K126" s="8" t="s">
        <v>293</v>
      </c>
      <c r="L126" s="9" t="s">
        <v>294</v>
      </c>
      <c r="M126" s="8"/>
      <c r="N126" s="8" t="str">
        <f aca="true">IF(M126="","Active (per Notice 1)",IF(M126&lt;TODAY(),"Expired",IF(M126&lt;TODAY()+180,"Expiring Soon","Active")))</f>
        <v>Active (per Notice 1)</v>
      </c>
      <c r="O126" s="12" t="s">
        <v>305</v>
      </c>
      <c r="P126" s="8" t="s">
        <v>327</v>
      </c>
      <c r="Q126" s="8" t="n">
        <v>3.44</v>
      </c>
      <c r="R126" s="8" t="n">
        <v>1</v>
      </c>
      <c r="S126" s="11" t="n">
        <v>45687</v>
      </c>
      <c r="T126" s="8" t="str">
        <f aca="true">IF(S126="","",IF(EDATE(S126,60)&lt;TODAY(),"Expired",IF(EDATE(S126,60)&lt;TODAY()+180,"Expiring Soon","Valid")))</f>
        <v>Valid</v>
      </c>
      <c r="U126" s="8" t="str">
        <f aca="false">IF(P126="","",IF(P126="A++","Top Tier",IF(P126="A+","High",IF(P126="A","Strong",IF(LEFT(P126,1)="B","Acceptable",IF(LEFT(P126,1)="C","Below Avg","-"))))))</f>
        <v>High</v>
      </c>
      <c r="AT126" s="8"/>
      <c r="AU126" s="8"/>
    </row>
    <row r="127" customFormat="false" ht="15" hidden="false" customHeight="true" outlineLevel="0" collapsed="false">
      <c r="A127" s="8" t="n">
        <v>126</v>
      </c>
      <c r="B127" s="8" t="n">
        <v>20</v>
      </c>
      <c r="C127" s="8" t="s">
        <v>382</v>
      </c>
      <c r="D127" s="8" t="s">
        <v>333</v>
      </c>
      <c r="E127" s="9" t="s">
        <v>396</v>
      </c>
      <c r="F127" s="9" t="s">
        <v>326</v>
      </c>
      <c r="G127" s="8" t="s">
        <v>318</v>
      </c>
      <c r="H127" s="8" t="s">
        <v>290</v>
      </c>
      <c r="I127" s="8" t="s">
        <v>291</v>
      </c>
      <c r="J127" s="8" t="s">
        <v>292</v>
      </c>
      <c r="K127" s="8" t="s">
        <v>293</v>
      </c>
      <c r="L127" s="9" t="s">
        <v>294</v>
      </c>
      <c r="M127" s="8"/>
      <c r="N127" s="8" t="str">
        <f aca="true">IF(M127="","Active (per Notice 1)",IF(M127&lt;TODAY(),"Expired",IF(M127&lt;TODAY()+180,"Expiring Soon","Active")))</f>
        <v>Active (per Notice 1)</v>
      </c>
      <c r="O127" s="12" t="s">
        <v>305</v>
      </c>
      <c r="P127" s="8" t="s">
        <v>327</v>
      </c>
      <c r="Q127" s="8" t="n">
        <v>3.44</v>
      </c>
      <c r="R127" s="8" t="n">
        <v>1</v>
      </c>
      <c r="S127" s="11" t="n">
        <v>45687</v>
      </c>
      <c r="T127" s="8" t="str">
        <f aca="true">IF(S127="","",IF(EDATE(S127,60)&lt;TODAY(),"Expired",IF(EDATE(S127,60)&lt;TODAY()+180,"Expiring Soon","Valid")))</f>
        <v>Valid</v>
      </c>
      <c r="U127" s="8" t="str">
        <f aca="false">IF(P127="","",IF(P127="A++","Top Tier",IF(P127="A+","High",IF(P127="A","Strong",IF(LEFT(P127,1)="B","Acceptable",IF(LEFT(P127,1)="C","Below Avg","-"))))))</f>
        <v>High</v>
      </c>
      <c r="AT127" s="8"/>
      <c r="AU127" s="8"/>
    </row>
    <row r="128" customFormat="false" ht="15" hidden="false" customHeight="true" outlineLevel="0" collapsed="false">
      <c r="A128" s="8" t="n">
        <v>127</v>
      </c>
      <c r="B128" s="8" t="n">
        <v>20</v>
      </c>
      <c r="C128" s="8" t="s">
        <v>382</v>
      </c>
      <c r="D128" s="8" t="s">
        <v>333</v>
      </c>
      <c r="E128" s="9" t="s">
        <v>396</v>
      </c>
      <c r="F128" s="9" t="s">
        <v>364</v>
      </c>
      <c r="G128" s="8" t="s">
        <v>309</v>
      </c>
      <c r="H128" s="8" t="s">
        <v>302</v>
      </c>
      <c r="I128" s="8" t="s">
        <v>291</v>
      </c>
      <c r="J128" s="8" t="s">
        <v>292</v>
      </c>
      <c r="K128" s="8" t="s">
        <v>293</v>
      </c>
      <c r="L128" s="9" t="s">
        <v>294</v>
      </c>
      <c r="M128" s="8"/>
      <c r="N128" s="8" t="str">
        <f aca="true">IF(M128="","Active (per Notice 1)",IF(M128&lt;TODAY(),"Expired",IF(M128&lt;TODAY()+180,"Expiring Soon","Active")))</f>
        <v>Active (per Notice 1)</v>
      </c>
      <c r="O128" s="10" t="s">
        <v>295</v>
      </c>
      <c r="P128" s="8" t="s">
        <v>327</v>
      </c>
      <c r="Q128" s="8" t="n">
        <v>3.44</v>
      </c>
      <c r="R128" s="8" t="n">
        <v>1</v>
      </c>
      <c r="S128" s="11" t="n">
        <v>45687</v>
      </c>
      <c r="T128" s="8" t="str">
        <f aca="true">IF(S128="","",IF(EDATE(S128,60)&lt;TODAY(),"Expired",IF(EDATE(S128,60)&lt;TODAY()+180,"Expiring Soon","Valid")))</f>
        <v>Valid</v>
      </c>
      <c r="U128" s="8" t="str">
        <f aca="false">IF(P128="","",IF(P128="A++","Top Tier",IF(P128="A+","High",IF(P128="A","Strong",IF(LEFT(P128,1)="B","Acceptable",IF(LEFT(P128,1)="C","Below Avg","-"))))))</f>
        <v>High</v>
      </c>
      <c r="AT128" s="8"/>
      <c r="AU128" s="8"/>
    </row>
    <row r="129" customFormat="false" ht="15" hidden="false" customHeight="true" outlineLevel="0" collapsed="false">
      <c r="A129" s="8" t="n">
        <v>128</v>
      </c>
      <c r="B129" s="8" t="n">
        <v>20</v>
      </c>
      <c r="C129" s="8" t="s">
        <v>382</v>
      </c>
      <c r="D129" s="8" t="s">
        <v>333</v>
      </c>
      <c r="E129" s="9" t="s">
        <v>396</v>
      </c>
      <c r="F129" s="9" t="s">
        <v>398</v>
      </c>
      <c r="G129" s="8" t="s">
        <v>307</v>
      </c>
      <c r="H129" s="8" t="s">
        <v>302</v>
      </c>
      <c r="I129" s="8" t="s">
        <v>291</v>
      </c>
      <c r="J129" s="8" t="s">
        <v>292</v>
      </c>
      <c r="K129" s="8" t="s">
        <v>293</v>
      </c>
      <c r="L129" s="9" t="s">
        <v>294</v>
      </c>
      <c r="M129" s="8"/>
      <c r="N129" s="8" t="str">
        <f aca="true">IF(M129="","Active (per Notice 1)",IF(M129&lt;TODAY(),"Expired",IF(M129&lt;TODAY()+180,"Expiring Soon","Active")))</f>
        <v>Active (per Notice 1)</v>
      </c>
      <c r="O129" s="12" t="s">
        <v>305</v>
      </c>
      <c r="P129" s="8" t="s">
        <v>327</v>
      </c>
      <c r="Q129" s="8" t="n">
        <v>3.44</v>
      </c>
      <c r="R129" s="8" t="n">
        <v>1</v>
      </c>
      <c r="S129" s="11" t="n">
        <v>45687</v>
      </c>
      <c r="T129" s="8" t="str">
        <f aca="true">IF(S129="","",IF(EDATE(S129,60)&lt;TODAY(),"Expired",IF(EDATE(S129,60)&lt;TODAY()+180,"Expiring Soon","Valid")))</f>
        <v>Valid</v>
      </c>
      <c r="U129" s="8" t="str">
        <f aca="false">IF(P129="","",IF(P129="A++","Top Tier",IF(P129="A+","High",IF(P129="A","Strong",IF(LEFT(P129,1)="B","Acceptable",IF(LEFT(P129,1)="C","Below Avg","-"))))))</f>
        <v>High</v>
      </c>
      <c r="AT129" s="8"/>
      <c r="AU129" s="8"/>
    </row>
    <row r="130" customFormat="false" ht="15" hidden="false" customHeight="true" outlineLevel="0" collapsed="false">
      <c r="A130" s="8" t="n">
        <v>129</v>
      </c>
      <c r="B130" s="8" t="n">
        <v>20</v>
      </c>
      <c r="C130" s="8" t="s">
        <v>382</v>
      </c>
      <c r="D130" s="8" t="s">
        <v>333</v>
      </c>
      <c r="E130" s="9" t="s">
        <v>396</v>
      </c>
      <c r="F130" s="9" t="s">
        <v>332</v>
      </c>
      <c r="G130" s="8" t="s">
        <v>304</v>
      </c>
      <c r="H130" s="8" t="s">
        <v>302</v>
      </c>
      <c r="I130" s="8" t="s">
        <v>291</v>
      </c>
      <c r="J130" s="8" t="s">
        <v>292</v>
      </c>
      <c r="K130" s="8" t="s">
        <v>293</v>
      </c>
      <c r="L130" s="9" t="s">
        <v>294</v>
      </c>
      <c r="M130" s="8"/>
      <c r="N130" s="8" t="str">
        <f aca="true">IF(M130="","Active (per Notice 1)",IF(M130&lt;TODAY(),"Expired",IF(M130&lt;TODAY()+180,"Expiring Soon","Active")))</f>
        <v>Active (per Notice 1)</v>
      </c>
      <c r="O130" s="12" t="s">
        <v>305</v>
      </c>
      <c r="P130" s="8" t="s">
        <v>327</v>
      </c>
      <c r="Q130" s="8" t="n">
        <v>3.44</v>
      </c>
      <c r="R130" s="8" t="n">
        <v>1</v>
      </c>
      <c r="S130" s="11" t="n">
        <v>45687</v>
      </c>
      <c r="T130" s="8" t="str">
        <f aca="true">IF(S130="","",IF(EDATE(S130,60)&lt;TODAY(),"Expired",IF(EDATE(S130,60)&lt;TODAY()+180,"Expiring Soon","Valid")))</f>
        <v>Valid</v>
      </c>
      <c r="U130" s="8" t="str">
        <f aca="false">IF(P130="","",IF(P130="A++","Top Tier",IF(P130="A+","High",IF(P130="A","Strong",IF(LEFT(P130,1)="B","Acceptable",IF(LEFT(P130,1)="C","Below Avg","-"))))))</f>
        <v>High</v>
      </c>
      <c r="AT130" s="8"/>
      <c r="AU130" s="8"/>
    </row>
    <row r="131" customFormat="false" ht="15" hidden="false" customHeight="true" outlineLevel="0" collapsed="false">
      <c r="A131" s="8" t="n">
        <v>130</v>
      </c>
      <c r="B131" s="8" t="n">
        <v>21</v>
      </c>
      <c r="C131" s="8" t="s">
        <v>382</v>
      </c>
      <c r="D131" s="8" t="s">
        <v>333</v>
      </c>
      <c r="E131" s="9" t="s">
        <v>399</v>
      </c>
      <c r="F131" s="9" t="s">
        <v>319</v>
      </c>
      <c r="G131" s="8" t="s">
        <v>320</v>
      </c>
      <c r="H131" s="8" t="s">
        <v>290</v>
      </c>
      <c r="I131" s="8" t="s">
        <v>291</v>
      </c>
      <c r="J131" s="8" t="s">
        <v>292</v>
      </c>
      <c r="K131" s="8" t="s">
        <v>293</v>
      </c>
      <c r="L131" s="9" t="s">
        <v>294</v>
      </c>
      <c r="M131" s="8"/>
      <c r="N131" s="8" t="str">
        <f aca="true">IF(M131="","Active (per Notice 1)",IF(M131&lt;TODAY(),"Expired",IF(M131&lt;TODAY()+180,"Expiring Soon","Active")))</f>
        <v>Active (per Notice 1)</v>
      </c>
      <c r="O131" s="12" t="s">
        <v>305</v>
      </c>
      <c r="P131" s="8" t="s">
        <v>327</v>
      </c>
      <c r="Q131" s="8" t="n">
        <v>3.38</v>
      </c>
      <c r="R131" s="8" t="n">
        <v>1</v>
      </c>
      <c r="S131" s="11" t="n">
        <v>45736</v>
      </c>
      <c r="T131" s="8" t="str">
        <f aca="true">IF(S131="","",IF(EDATE(S131,60)&lt;TODAY(),"Expired",IF(EDATE(S131,60)&lt;TODAY()+180,"Expiring Soon","Valid")))</f>
        <v>Valid</v>
      </c>
      <c r="U131" s="8" t="str">
        <f aca="false">IF(P131="","",IF(P131="A++","Top Tier",IF(P131="A+","High",IF(P131="A","Strong",IF(LEFT(P131,1)="B","Acceptable",IF(LEFT(P131,1)="C","Below Avg","-"))))))</f>
        <v>High</v>
      </c>
      <c r="AT131" s="8"/>
      <c r="AU131" s="8"/>
    </row>
    <row r="132" customFormat="false" ht="15" hidden="false" customHeight="true" outlineLevel="0" collapsed="false">
      <c r="A132" s="8" t="n">
        <v>131</v>
      </c>
      <c r="B132" s="8" t="n">
        <v>21</v>
      </c>
      <c r="C132" s="8" t="s">
        <v>382</v>
      </c>
      <c r="D132" s="8" t="s">
        <v>333</v>
      </c>
      <c r="E132" s="9" t="s">
        <v>399</v>
      </c>
      <c r="F132" s="9" t="s">
        <v>400</v>
      </c>
      <c r="G132" s="8" t="s">
        <v>301</v>
      </c>
      <c r="H132" s="8" t="s">
        <v>302</v>
      </c>
      <c r="I132" s="8" t="s">
        <v>291</v>
      </c>
      <c r="J132" s="8" t="s">
        <v>292</v>
      </c>
      <c r="K132" s="8" t="s">
        <v>293</v>
      </c>
      <c r="L132" s="9" t="s">
        <v>294</v>
      </c>
      <c r="M132" s="8"/>
      <c r="N132" s="8" t="str">
        <f aca="true">IF(M132="","Active (per Notice 1)",IF(M132&lt;TODAY(),"Expired",IF(M132&lt;TODAY()+180,"Expiring Soon","Active")))</f>
        <v>Active (per Notice 1)</v>
      </c>
      <c r="O132" s="10" t="s">
        <v>295</v>
      </c>
      <c r="P132" s="8" t="s">
        <v>327</v>
      </c>
      <c r="Q132" s="8" t="n">
        <v>3.38</v>
      </c>
      <c r="R132" s="8" t="n">
        <v>1</v>
      </c>
      <c r="S132" s="11" t="n">
        <v>45736</v>
      </c>
      <c r="T132" s="8" t="str">
        <f aca="true">IF(S132="","",IF(EDATE(S132,60)&lt;TODAY(),"Expired",IF(EDATE(S132,60)&lt;TODAY()+180,"Expiring Soon","Valid")))</f>
        <v>Valid</v>
      </c>
      <c r="U132" s="8" t="str">
        <f aca="false">IF(P132="","",IF(P132="A++","Top Tier",IF(P132="A+","High",IF(P132="A","Strong",IF(LEFT(P132,1)="B","Acceptable",IF(LEFT(P132,1)="C","Below Avg","-"))))))</f>
        <v>High</v>
      </c>
      <c r="AT132" s="8"/>
      <c r="AU132" s="8"/>
    </row>
    <row r="133" customFormat="false" ht="15" hidden="false" customHeight="true" outlineLevel="0" collapsed="false">
      <c r="A133" s="8" t="n">
        <v>132</v>
      </c>
      <c r="B133" s="8" t="n">
        <v>21</v>
      </c>
      <c r="C133" s="8" t="s">
        <v>382</v>
      </c>
      <c r="D133" s="8" t="s">
        <v>333</v>
      </c>
      <c r="E133" s="9" t="s">
        <v>399</v>
      </c>
      <c r="F133" s="9" t="s">
        <v>364</v>
      </c>
      <c r="G133" s="8" t="s">
        <v>309</v>
      </c>
      <c r="H133" s="8" t="s">
        <v>302</v>
      </c>
      <c r="I133" s="8" t="s">
        <v>291</v>
      </c>
      <c r="J133" s="8" t="s">
        <v>292</v>
      </c>
      <c r="K133" s="8" t="s">
        <v>293</v>
      </c>
      <c r="L133" s="9" t="s">
        <v>294</v>
      </c>
      <c r="M133" s="8"/>
      <c r="N133" s="8" t="str">
        <f aca="true">IF(M133="","Active (per Notice 1)",IF(M133&lt;TODAY(),"Expired",IF(M133&lt;TODAY()+180,"Expiring Soon","Active")))</f>
        <v>Active (per Notice 1)</v>
      </c>
      <c r="O133" s="10" t="s">
        <v>295</v>
      </c>
      <c r="P133" s="8" t="s">
        <v>327</v>
      </c>
      <c r="Q133" s="8" t="n">
        <v>3.38</v>
      </c>
      <c r="R133" s="8" t="n">
        <v>1</v>
      </c>
      <c r="S133" s="11" t="n">
        <v>45736</v>
      </c>
      <c r="T133" s="8" t="str">
        <f aca="true">IF(S133="","",IF(EDATE(S133,60)&lt;TODAY(),"Expired",IF(EDATE(S133,60)&lt;TODAY()+180,"Expiring Soon","Valid")))</f>
        <v>Valid</v>
      </c>
      <c r="U133" s="8" t="str">
        <f aca="false">IF(P133="","",IF(P133="A++","Top Tier",IF(P133="A+","High",IF(P133="A","Strong",IF(LEFT(P133,1)="B","Acceptable",IF(LEFT(P133,1)="C","Below Avg","-"))))))</f>
        <v>High</v>
      </c>
      <c r="AT133" s="8"/>
      <c r="AU133" s="8"/>
    </row>
    <row r="134" customFormat="false" ht="15" hidden="false" customHeight="true" outlineLevel="0" collapsed="false">
      <c r="A134" s="8" t="n">
        <v>133</v>
      </c>
      <c r="B134" s="8" t="n">
        <v>21</v>
      </c>
      <c r="C134" s="8" t="s">
        <v>382</v>
      </c>
      <c r="D134" s="8" t="s">
        <v>333</v>
      </c>
      <c r="E134" s="9" t="s">
        <v>399</v>
      </c>
      <c r="F134" s="9" t="s">
        <v>303</v>
      </c>
      <c r="G134" s="8" t="s">
        <v>304</v>
      </c>
      <c r="H134" s="8" t="s">
        <v>302</v>
      </c>
      <c r="I134" s="8" t="s">
        <v>291</v>
      </c>
      <c r="J134" s="8" t="s">
        <v>292</v>
      </c>
      <c r="K134" s="8" t="s">
        <v>293</v>
      </c>
      <c r="L134" s="9" t="s">
        <v>294</v>
      </c>
      <c r="M134" s="8"/>
      <c r="N134" s="8" t="str">
        <f aca="true">IF(M134="","Active (per Notice 1)",IF(M134&lt;TODAY(),"Expired",IF(M134&lt;TODAY()+180,"Expiring Soon","Active")))</f>
        <v>Active (per Notice 1)</v>
      </c>
      <c r="O134" s="12" t="s">
        <v>305</v>
      </c>
      <c r="P134" s="8" t="s">
        <v>327</v>
      </c>
      <c r="Q134" s="8" t="n">
        <v>3.38</v>
      </c>
      <c r="R134" s="8" t="n">
        <v>1</v>
      </c>
      <c r="S134" s="11" t="n">
        <v>45736</v>
      </c>
      <c r="T134" s="8" t="str">
        <f aca="true">IF(S134="","",IF(EDATE(S134,60)&lt;TODAY(),"Expired",IF(EDATE(S134,60)&lt;TODAY()+180,"Expiring Soon","Valid")))</f>
        <v>Valid</v>
      </c>
      <c r="U134" s="8" t="str">
        <f aca="false">IF(P134="","",IF(P134="A++","Top Tier",IF(P134="A+","High",IF(P134="A","Strong",IF(LEFT(P134,1)="B","Acceptable",IF(LEFT(P134,1)="C","Below Avg","-"))))))</f>
        <v>High</v>
      </c>
      <c r="AT134" s="8"/>
      <c r="AU134" s="8"/>
    </row>
    <row r="135" customFormat="false" ht="15" hidden="false" customHeight="true" outlineLevel="0" collapsed="false">
      <c r="A135" s="8" t="n">
        <v>134</v>
      </c>
      <c r="B135" s="8" t="n">
        <v>21</v>
      </c>
      <c r="C135" s="8" t="s">
        <v>382</v>
      </c>
      <c r="D135" s="8" t="s">
        <v>333</v>
      </c>
      <c r="E135" s="9" t="s">
        <v>399</v>
      </c>
      <c r="F135" s="9" t="s">
        <v>401</v>
      </c>
      <c r="G135" s="8" t="s">
        <v>386</v>
      </c>
      <c r="H135" s="8" t="s">
        <v>302</v>
      </c>
      <c r="I135" s="8" t="s">
        <v>291</v>
      </c>
      <c r="J135" s="8" t="s">
        <v>292</v>
      </c>
      <c r="K135" s="8" t="s">
        <v>293</v>
      </c>
      <c r="L135" s="9" t="s">
        <v>294</v>
      </c>
      <c r="M135" s="8"/>
      <c r="N135" s="8" t="str">
        <f aca="true">IF(M135="","Active (per Notice 1)",IF(M135&lt;TODAY(),"Expired",IF(M135&lt;TODAY()+180,"Expiring Soon","Active")))</f>
        <v>Active (per Notice 1)</v>
      </c>
      <c r="O135" s="10" t="s">
        <v>295</v>
      </c>
      <c r="P135" s="8" t="s">
        <v>327</v>
      </c>
      <c r="Q135" s="8" t="n">
        <v>3.38</v>
      </c>
      <c r="R135" s="8" t="n">
        <v>1</v>
      </c>
      <c r="S135" s="11" t="n">
        <v>45736</v>
      </c>
      <c r="T135" s="8" t="str">
        <f aca="true">IF(S135="","",IF(EDATE(S135,60)&lt;TODAY(),"Expired",IF(EDATE(S135,60)&lt;TODAY()+180,"Expiring Soon","Valid")))</f>
        <v>Valid</v>
      </c>
      <c r="U135" s="8" t="str">
        <f aca="false">IF(P135="","",IF(P135="A++","Top Tier",IF(P135="A+","High",IF(P135="A","Strong",IF(LEFT(P135,1)="B","Acceptable",IF(LEFT(P135,1)="C","Below Avg","-"))))))</f>
        <v>High</v>
      </c>
      <c r="AT135" s="8"/>
      <c r="AU135" s="8"/>
    </row>
    <row r="136" customFormat="false" ht="23.25" hidden="false" customHeight="true" outlineLevel="0" collapsed="false">
      <c r="A136" s="8" t="n">
        <v>135</v>
      </c>
      <c r="B136" s="8" t="n">
        <v>22</v>
      </c>
      <c r="C136" s="8" t="s">
        <v>402</v>
      </c>
      <c r="D136" s="8" t="s">
        <v>286</v>
      </c>
      <c r="E136" s="9" t="s">
        <v>403</v>
      </c>
      <c r="F136" s="9" t="s">
        <v>359</v>
      </c>
      <c r="G136" s="8" t="s">
        <v>289</v>
      </c>
      <c r="H136" s="8" t="s">
        <v>290</v>
      </c>
      <c r="I136" s="8" t="s">
        <v>291</v>
      </c>
      <c r="J136" s="8" t="s">
        <v>292</v>
      </c>
      <c r="K136" s="8" t="s">
        <v>293</v>
      </c>
      <c r="L136" s="9" t="s">
        <v>294</v>
      </c>
      <c r="M136" s="8"/>
      <c r="N136" s="8" t="str">
        <f aca="true">IF(M136="","Active (per Notice 1)",IF(M136&lt;TODAY(),"Expired",IF(M136&lt;TODAY()+180,"Expiring Soon","Active")))</f>
        <v>Active (per Notice 1)</v>
      </c>
      <c r="O136" s="10" t="s">
        <v>295</v>
      </c>
      <c r="P136" s="8" t="s">
        <v>327</v>
      </c>
      <c r="Q136" s="8" t="n">
        <v>3.38</v>
      </c>
      <c r="R136" s="8" t="n">
        <v>4</v>
      </c>
      <c r="S136" s="11" t="n">
        <v>44852</v>
      </c>
      <c r="T136" s="8" t="str">
        <f aca="true">IF(S136="","",IF(EDATE(S136,60)&lt;TODAY(),"Expired",IF(EDATE(S136,60)&lt;TODAY()+180,"Expiring Soon","Valid")))</f>
        <v>Valid</v>
      </c>
      <c r="U136" s="8" t="str">
        <f aca="false">IF(P136="","",IF(P136="A++","Top Tier",IF(P136="A+","High",IF(P136="A","Strong",IF(LEFT(P136,1)="B","Acceptable",IF(LEFT(P136,1)="C","Below Avg","-"))))))</f>
        <v>High</v>
      </c>
      <c r="Y136" s="8" t="n">
        <v>6</v>
      </c>
      <c r="Z136" s="11" t="n">
        <v>45838</v>
      </c>
      <c r="AA136" s="8" t="s">
        <v>404</v>
      </c>
      <c r="AB136" s="8" t="s">
        <v>405</v>
      </c>
      <c r="AC136" s="8"/>
      <c r="AD136" s="8"/>
      <c r="AE136" s="8"/>
      <c r="AF136" s="8"/>
      <c r="AG136" s="8"/>
      <c r="AH136" s="8" t="n">
        <v>49</v>
      </c>
      <c r="AI136" s="8"/>
      <c r="AJ136" s="8"/>
      <c r="AK136" s="8"/>
      <c r="AL136" s="8"/>
      <c r="AM136" s="8"/>
      <c r="AN136" s="8"/>
      <c r="AO136" s="8" t="n">
        <v>32</v>
      </c>
      <c r="AP136" s="8"/>
      <c r="AQ136" s="8"/>
      <c r="AR136" s="8"/>
      <c r="AS136" s="8"/>
      <c r="AT136" s="8"/>
      <c r="AU136" s="8"/>
    </row>
    <row r="137" customFormat="false" ht="23.25" hidden="false" customHeight="true" outlineLevel="0" collapsed="false">
      <c r="A137" s="8" t="n">
        <v>136</v>
      </c>
      <c r="B137" s="8" t="n">
        <v>22</v>
      </c>
      <c r="C137" s="8" t="s">
        <v>402</v>
      </c>
      <c r="D137" s="8" t="s">
        <v>286</v>
      </c>
      <c r="E137" s="9" t="s">
        <v>403</v>
      </c>
      <c r="F137" s="9" t="s">
        <v>377</v>
      </c>
      <c r="G137" s="8" t="s">
        <v>301</v>
      </c>
      <c r="H137" s="8" t="s">
        <v>302</v>
      </c>
      <c r="I137" s="8" t="s">
        <v>291</v>
      </c>
      <c r="J137" s="8" t="s">
        <v>292</v>
      </c>
      <c r="K137" s="8" t="s">
        <v>293</v>
      </c>
      <c r="L137" s="9" t="s">
        <v>294</v>
      </c>
      <c r="M137" s="8"/>
      <c r="N137" s="8" t="str">
        <f aca="true">IF(M137="","Active (per Notice 1)",IF(M137&lt;TODAY(),"Expired",IF(M137&lt;TODAY()+180,"Expiring Soon","Active")))</f>
        <v>Active (per Notice 1)</v>
      </c>
      <c r="O137" s="10" t="s">
        <v>295</v>
      </c>
      <c r="P137" s="8" t="s">
        <v>327</v>
      </c>
      <c r="Q137" s="8" t="n">
        <v>3.38</v>
      </c>
      <c r="R137" s="8" t="n">
        <v>4</v>
      </c>
      <c r="S137" s="11" t="n">
        <v>44852</v>
      </c>
      <c r="T137" s="8" t="str">
        <f aca="true">IF(S137="","",IF(EDATE(S137,60)&lt;TODAY(),"Expired",IF(EDATE(S137,60)&lt;TODAY()+180,"Expiring Soon","Valid")))</f>
        <v>Valid</v>
      </c>
      <c r="U137" s="8" t="str">
        <f aca="false">IF(P137="","",IF(P137="A++","Top Tier",IF(P137="A+","High",IF(P137="A","Strong",IF(LEFT(P137,1)="B","Acceptable",IF(LEFT(P137,1)="C","Below Avg","-"))))))</f>
        <v>High</v>
      </c>
      <c r="Y137" s="8" t="n">
        <v>6</v>
      </c>
      <c r="Z137" s="11" t="n">
        <v>45838</v>
      </c>
      <c r="AA137" s="8" t="s">
        <v>404</v>
      </c>
      <c r="AB137" s="8" t="s">
        <v>405</v>
      </c>
      <c r="AC137" s="8"/>
      <c r="AD137" s="8"/>
      <c r="AE137" s="8"/>
      <c r="AF137" s="8"/>
      <c r="AG137" s="8"/>
      <c r="AH137" s="8" t="n">
        <v>49</v>
      </c>
      <c r="AI137" s="8"/>
      <c r="AJ137" s="8"/>
      <c r="AK137" s="8"/>
      <c r="AL137" s="8"/>
      <c r="AM137" s="8"/>
      <c r="AN137" s="8"/>
      <c r="AO137" s="8" t="n">
        <v>32</v>
      </c>
      <c r="AP137" s="8"/>
      <c r="AQ137" s="8"/>
      <c r="AR137" s="8"/>
      <c r="AS137" s="8"/>
      <c r="AT137" s="8"/>
      <c r="AU137" s="8"/>
    </row>
    <row r="138" customFormat="false" ht="23.25" hidden="false" customHeight="true" outlineLevel="0" collapsed="false">
      <c r="A138" s="8" t="n">
        <v>137</v>
      </c>
      <c r="B138" s="8" t="n">
        <v>22</v>
      </c>
      <c r="C138" s="8" t="s">
        <v>402</v>
      </c>
      <c r="D138" s="8" t="s">
        <v>286</v>
      </c>
      <c r="E138" s="9" t="s">
        <v>403</v>
      </c>
      <c r="F138" s="9" t="s">
        <v>364</v>
      </c>
      <c r="G138" s="8" t="s">
        <v>309</v>
      </c>
      <c r="H138" s="8" t="s">
        <v>302</v>
      </c>
      <c r="I138" s="8" t="s">
        <v>291</v>
      </c>
      <c r="J138" s="8" t="s">
        <v>292</v>
      </c>
      <c r="K138" s="8" t="s">
        <v>293</v>
      </c>
      <c r="L138" s="9" t="s">
        <v>294</v>
      </c>
      <c r="M138" s="8"/>
      <c r="N138" s="8" t="str">
        <f aca="true">IF(M138="","Active (per Notice 1)",IF(M138&lt;TODAY(),"Expired",IF(M138&lt;TODAY()+180,"Expiring Soon","Active")))</f>
        <v>Active (per Notice 1)</v>
      </c>
      <c r="O138" s="10" t="s">
        <v>295</v>
      </c>
      <c r="P138" s="8" t="s">
        <v>327</v>
      </c>
      <c r="Q138" s="8" t="n">
        <v>3.38</v>
      </c>
      <c r="R138" s="8" t="n">
        <v>4</v>
      </c>
      <c r="S138" s="11" t="n">
        <v>44852</v>
      </c>
      <c r="T138" s="8" t="str">
        <f aca="true">IF(S138="","",IF(EDATE(S138,60)&lt;TODAY(),"Expired",IF(EDATE(S138,60)&lt;TODAY()+180,"Expiring Soon","Valid")))</f>
        <v>Valid</v>
      </c>
      <c r="U138" s="8" t="str">
        <f aca="false">IF(P138="","",IF(P138="A++","Top Tier",IF(P138="A+","High",IF(P138="A","Strong",IF(LEFT(P138,1)="B","Acceptable",IF(LEFT(P138,1)="C","Below Avg","-"))))))</f>
        <v>High</v>
      </c>
      <c r="Y138" s="8" t="n">
        <v>6</v>
      </c>
      <c r="Z138" s="11" t="n">
        <v>45838</v>
      </c>
      <c r="AA138" s="8" t="s">
        <v>404</v>
      </c>
      <c r="AB138" s="8" t="s">
        <v>405</v>
      </c>
      <c r="AC138" s="8"/>
      <c r="AD138" s="8"/>
      <c r="AE138" s="8"/>
      <c r="AF138" s="8"/>
      <c r="AG138" s="8"/>
      <c r="AH138" s="8" t="n">
        <v>49</v>
      </c>
      <c r="AI138" s="8"/>
      <c r="AJ138" s="8"/>
      <c r="AK138" s="8"/>
      <c r="AL138" s="8"/>
      <c r="AM138" s="8"/>
      <c r="AN138" s="8"/>
      <c r="AO138" s="8" t="n">
        <v>32</v>
      </c>
      <c r="AP138" s="8"/>
      <c r="AQ138" s="8"/>
      <c r="AR138" s="8"/>
      <c r="AS138" s="8"/>
      <c r="AT138" s="8"/>
      <c r="AU138" s="8"/>
    </row>
    <row r="139" customFormat="false" ht="23.25" hidden="false" customHeight="true" outlineLevel="0" collapsed="false">
      <c r="A139" s="8" t="n">
        <v>138</v>
      </c>
      <c r="B139" s="8" t="n">
        <v>22</v>
      </c>
      <c r="C139" s="8" t="s">
        <v>402</v>
      </c>
      <c r="D139" s="8" t="s">
        <v>286</v>
      </c>
      <c r="E139" s="9" t="s">
        <v>403</v>
      </c>
      <c r="F139" s="9" t="s">
        <v>332</v>
      </c>
      <c r="G139" s="8" t="s">
        <v>304</v>
      </c>
      <c r="H139" s="8" t="s">
        <v>302</v>
      </c>
      <c r="I139" s="8" t="s">
        <v>291</v>
      </c>
      <c r="J139" s="8" t="s">
        <v>292</v>
      </c>
      <c r="K139" s="8" t="s">
        <v>293</v>
      </c>
      <c r="L139" s="9" t="s">
        <v>294</v>
      </c>
      <c r="M139" s="8"/>
      <c r="N139" s="8" t="str">
        <f aca="true">IF(M139="","Active (per Notice 1)",IF(M139&lt;TODAY(),"Expired",IF(M139&lt;TODAY()+180,"Expiring Soon","Active")))</f>
        <v>Active (per Notice 1)</v>
      </c>
      <c r="O139" s="12" t="s">
        <v>305</v>
      </c>
      <c r="P139" s="8" t="s">
        <v>327</v>
      </c>
      <c r="Q139" s="8" t="n">
        <v>3.38</v>
      </c>
      <c r="R139" s="8" t="n">
        <v>4</v>
      </c>
      <c r="S139" s="11" t="n">
        <v>44852</v>
      </c>
      <c r="T139" s="8" t="str">
        <f aca="true">IF(S139="","",IF(EDATE(S139,60)&lt;TODAY(),"Expired",IF(EDATE(S139,60)&lt;TODAY()+180,"Expiring Soon","Valid")))</f>
        <v>Valid</v>
      </c>
      <c r="U139" s="8" t="str">
        <f aca="false">IF(P139="","",IF(P139="A++","Top Tier",IF(P139="A+","High",IF(P139="A","Strong",IF(LEFT(P139,1)="B","Acceptable",IF(LEFT(P139,1)="C","Below Avg","-"))))))</f>
        <v>High</v>
      </c>
      <c r="Y139" s="8" t="n">
        <v>6</v>
      </c>
      <c r="Z139" s="11" t="n">
        <v>45838</v>
      </c>
      <c r="AA139" s="8" t="s">
        <v>404</v>
      </c>
      <c r="AB139" s="8" t="s">
        <v>405</v>
      </c>
      <c r="AC139" s="8"/>
      <c r="AD139" s="8"/>
      <c r="AE139" s="8"/>
      <c r="AF139" s="8"/>
      <c r="AG139" s="8"/>
      <c r="AH139" s="8" t="n">
        <v>49</v>
      </c>
      <c r="AI139" s="8"/>
      <c r="AJ139" s="8"/>
      <c r="AK139" s="8"/>
      <c r="AL139" s="8"/>
      <c r="AM139" s="8"/>
      <c r="AN139" s="8"/>
      <c r="AO139" s="8" t="n">
        <v>32</v>
      </c>
      <c r="AP139" s="8"/>
      <c r="AQ139" s="8"/>
      <c r="AR139" s="8"/>
      <c r="AS139" s="8"/>
      <c r="AT139" s="8"/>
      <c r="AU139" s="8"/>
    </row>
    <row r="140" customFormat="false" ht="23.25" hidden="false" customHeight="true" outlineLevel="0" collapsed="false">
      <c r="A140" s="8" t="n">
        <v>139</v>
      </c>
      <c r="B140" s="8" t="n">
        <v>22</v>
      </c>
      <c r="C140" s="8" t="s">
        <v>402</v>
      </c>
      <c r="D140" s="8" t="s">
        <v>286</v>
      </c>
      <c r="E140" s="9" t="s">
        <v>403</v>
      </c>
      <c r="F140" s="9" t="s">
        <v>306</v>
      </c>
      <c r="G140" s="8" t="s">
        <v>307</v>
      </c>
      <c r="H140" s="8" t="s">
        <v>302</v>
      </c>
      <c r="I140" s="8" t="s">
        <v>291</v>
      </c>
      <c r="J140" s="8" t="s">
        <v>292</v>
      </c>
      <c r="K140" s="8" t="s">
        <v>293</v>
      </c>
      <c r="L140" s="9" t="s">
        <v>294</v>
      </c>
      <c r="M140" s="8"/>
      <c r="N140" s="8" t="str">
        <f aca="true">IF(M140="","Active (per Notice 1)",IF(M140&lt;TODAY(),"Expired",IF(M140&lt;TODAY()+180,"Expiring Soon","Active")))</f>
        <v>Active (per Notice 1)</v>
      </c>
      <c r="O140" s="12" t="s">
        <v>305</v>
      </c>
      <c r="P140" s="8" t="s">
        <v>327</v>
      </c>
      <c r="Q140" s="8" t="n">
        <v>3.38</v>
      </c>
      <c r="R140" s="8" t="n">
        <v>4</v>
      </c>
      <c r="S140" s="11" t="n">
        <v>44852</v>
      </c>
      <c r="T140" s="8" t="str">
        <f aca="true">IF(S140="","",IF(EDATE(S140,60)&lt;TODAY(),"Expired",IF(EDATE(S140,60)&lt;TODAY()+180,"Expiring Soon","Valid")))</f>
        <v>Valid</v>
      </c>
      <c r="U140" s="8" t="str">
        <f aca="false">IF(P140="","",IF(P140="A++","Top Tier",IF(P140="A+","High",IF(P140="A","Strong",IF(LEFT(P140,1)="B","Acceptable",IF(LEFT(P140,1)="C","Below Avg","-"))))))</f>
        <v>High</v>
      </c>
      <c r="Y140" s="8" t="n">
        <v>6</v>
      </c>
      <c r="Z140" s="11" t="n">
        <v>45838</v>
      </c>
      <c r="AA140" s="8" t="s">
        <v>404</v>
      </c>
      <c r="AB140" s="8" t="s">
        <v>405</v>
      </c>
      <c r="AC140" s="8"/>
      <c r="AD140" s="8"/>
      <c r="AE140" s="8"/>
      <c r="AF140" s="8"/>
      <c r="AG140" s="8"/>
      <c r="AH140" s="8" t="n">
        <v>49</v>
      </c>
      <c r="AI140" s="8"/>
      <c r="AJ140" s="8"/>
      <c r="AK140" s="8"/>
      <c r="AL140" s="8"/>
      <c r="AM140" s="8"/>
      <c r="AN140" s="8"/>
      <c r="AO140" s="8" t="n">
        <v>32</v>
      </c>
      <c r="AP140" s="8"/>
      <c r="AQ140" s="8"/>
      <c r="AR140" s="8"/>
      <c r="AS140" s="8"/>
      <c r="AT140" s="8"/>
      <c r="AU140" s="8"/>
    </row>
    <row r="141" customFormat="false" ht="23.25" hidden="false" customHeight="true" outlineLevel="0" collapsed="false">
      <c r="A141" s="8" t="n">
        <v>140</v>
      </c>
      <c r="B141" s="8" t="n">
        <v>22</v>
      </c>
      <c r="C141" s="8" t="s">
        <v>402</v>
      </c>
      <c r="D141" s="8" t="s">
        <v>286</v>
      </c>
      <c r="E141" s="9" t="s">
        <v>403</v>
      </c>
      <c r="F141" s="9" t="s">
        <v>385</v>
      </c>
      <c r="G141" s="8" t="s">
        <v>386</v>
      </c>
      <c r="H141" s="8" t="s">
        <v>302</v>
      </c>
      <c r="I141" s="8" t="s">
        <v>291</v>
      </c>
      <c r="J141" s="8" t="s">
        <v>292</v>
      </c>
      <c r="K141" s="8" t="s">
        <v>293</v>
      </c>
      <c r="L141" s="9" t="s">
        <v>294</v>
      </c>
      <c r="M141" s="8"/>
      <c r="N141" s="8" t="str">
        <f aca="true">IF(M141="","Active (per Notice 1)",IF(M141&lt;TODAY(),"Expired",IF(M141&lt;TODAY()+180,"Expiring Soon","Active")))</f>
        <v>Active (per Notice 1)</v>
      </c>
      <c r="O141" s="10" t="s">
        <v>295</v>
      </c>
      <c r="P141" s="8" t="s">
        <v>327</v>
      </c>
      <c r="Q141" s="8" t="n">
        <v>3.38</v>
      </c>
      <c r="R141" s="8" t="n">
        <v>4</v>
      </c>
      <c r="S141" s="11" t="n">
        <v>44852</v>
      </c>
      <c r="T141" s="8" t="str">
        <f aca="true">IF(S141="","",IF(EDATE(S141,60)&lt;TODAY(),"Expired",IF(EDATE(S141,60)&lt;TODAY()+180,"Expiring Soon","Valid")))</f>
        <v>Valid</v>
      </c>
      <c r="U141" s="8" t="str">
        <f aca="false">IF(P141="","",IF(P141="A++","Top Tier",IF(P141="A+","High",IF(P141="A","Strong",IF(LEFT(P141,1)="B","Acceptable",IF(LEFT(P141,1)="C","Below Avg","-"))))))</f>
        <v>High</v>
      </c>
      <c r="Y141" s="8" t="n">
        <v>6</v>
      </c>
      <c r="Z141" s="11" t="n">
        <v>45838</v>
      </c>
      <c r="AA141" s="8" t="s">
        <v>404</v>
      </c>
      <c r="AB141" s="8" t="s">
        <v>405</v>
      </c>
      <c r="AC141" s="8"/>
      <c r="AD141" s="8"/>
      <c r="AE141" s="8"/>
      <c r="AF141" s="8"/>
      <c r="AG141" s="8"/>
      <c r="AH141" s="8" t="n">
        <v>49</v>
      </c>
      <c r="AI141" s="8"/>
      <c r="AJ141" s="8"/>
      <c r="AK141" s="8"/>
      <c r="AL141" s="8"/>
      <c r="AM141" s="8"/>
      <c r="AN141" s="8"/>
      <c r="AO141" s="8" t="n">
        <v>32</v>
      </c>
      <c r="AP141" s="8"/>
      <c r="AQ141" s="8"/>
      <c r="AR141" s="8"/>
      <c r="AS141" s="8"/>
      <c r="AT141" s="8"/>
      <c r="AU141" s="8"/>
    </row>
    <row r="142" customFormat="false" ht="23.25" hidden="false" customHeight="true" outlineLevel="0" collapsed="false">
      <c r="A142" s="8" t="n">
        <v>141</v>
      </c>
      <c r="B142" s="8" t="n">
        <v>22</v>
      </c>
      <c r="C142" s="8" t="s">
        <v>402</v>
      </c>
      <c r="D142" s="8" t="s">
        <v>286</v>
      </c>
      <c r="E142" s="9" t="s">
        <v>403</v>
      </c>
      <c r="F142" s="9" t="s">
        <v>362</v>
      </c>
      <c r="G142" s="8" t="s">
        <v>301</v>
      </c>
      <c r="H142" s="8" t="s">
        <v>302</v>
      </c>
      <c r="I142" s="8" t="s">
        <v>291</v>
      </c>
      <c r="J142" s="8" t="s">
        <v>292</v>
      </c>
      <c r="K142" s="8" t="s">
        <v>293</v>
      </c>
      <c r="L142" s="9" t="s">
        <v>294</v>
      </c>
      <c r="M142" s="8"/>
      <c r="N142" s="8" t="str">
        <f aca="true">IF(M142="","Active (per Notice 1)",IF(M142&lt;TODAY(),"Expired",IF(M142&lt;TODAY()+180,"Expiring Soon","Active")))</f>
        <v>Active (per Notice 1)</v>
      </c>
      <c r="O142" s="10" t="s">
        <v>295</v>
      </c>
      <c r="P142" s="8" t="s">
        <v>327</v>
      </c>
      <c r="Q142" s="8" t="n">
        <v>3.38</v>
      </c>
      <c r="R142" s="8" t="n">
        <v>4</v>
      </c>
      <c r="S142" s="11" t="n">
        <v>44852</v>
      </c>
      <c r="T142" s="8" t="str">
        <f aca="true">IF(S142="","",IF(EDATE(S142,60)&lt;TODAY(),"Expired",IF(EDATE(S142,60)&lt;TODAY()+180,"Expiring Soon","Valid")))</f>
        <v>Valid</v>
      </c>
      <c r="U142" s="8" t="str">
        <f aca="false">IF(P142="","",IF(P142="A++","Top Tier",IF(P142="A+","High",IF(P142="A","Strong",IF(LEFT(P142,1)="B","Acceptable",IF(LEFT(P142,1)="C","Below Avg","-"))))))</f>
        <v>High</v>
      </c>
      <c r="Y142" s="8" t="n">
        <v>6</v>
      </c>
      <c r="Z142" s="11" t="n">
        <v>45838</v>
      </c>
      <c r="AA142" s="8" t="s">
        <v>404</v>
      </c>
      <c r="AB142" s="8" t="s">
        <v>405</v>
      </c>
      <c r="AC142" s="8"/>
      <c r="AD142" s="8"/>
      <c r="AE142" s="8"/>
      <c r="AF142" s="8"/>
      <c r="AG142" s="8"/>
      <c r="AH142" s="8" t="n">
        <v>49</v>
      </c>
      <c r="AI142" s="8"/>
      <c r="AJ142" s="8"/>
      <c r="AK142" s="8"/>
      <c r="AL142" s="8"/>
      <c r="AM142" s="8"/>
      <c r="AN142" s="8"/>
      <c r="AO142" s="8" t="n">
        <v>32</v>
      </c>
      <c r="AP142" s="8"/>
      <c r="AQ142" s="8"/>
      <c r="AR142" s="8"/>
      <c r="AS142" s="8"/>
      <c r="AT142" s="8"/>
      <c r="AU142" s="8"/>
    </row>
    <row r="143" customFormat="false" ht="23.25" hidden="false" customHeight="true" outlineLevel="0" collapsed="false">
      <c r="A143" s="8" t="n">
        <v>142</v>
      </c>
      <c r="B143" s="8" t="n">
        <v>22</v>
      </c>
      <c r="C143" s="8" t="s">
        <v>402</v>
      </c>
      <c r="D143" s="8" t="s">
        <v>286</v>
      </c>
      <c r="E143" s="9" t="s">
        <v>403</v>
      </c>
      <c r="F143" s="9" t="s">
        <v>312</v>
      </c>
      <c r="G143" s="8" t="s">
        <v>301</v>
      </c>
      <c r="H143" s="8" t="s">
        <v>302</v>
      </c>
      <c r="I143" s="8" t="s">
        <v>291</v>
      </c>
      <c r="J143" s="8" t="s">
        <v>292</v>
      </c>
      <c r="K143" s="8" t="s">
        <v>293</v>
      </c>
      <c r="L143" s="9" t="s">
        <v>294</v>
      </c>
      <c r="M143" s="8"/>
      <c r="N143" s="8" t="str">
        <f aca="true">IF(M143="","Active (per Notice 1)",IF(M143&lt;TODAY(),"Expired",IF(M143&lt;TODAY()+180,"Expiring Soon","Active")))</f>
        <v>Active (per Notice 1)</v>
      </c>
      <c r="O143" s="10" t="s">
        <v>295</v>
      </c>
      <c r="P143" s="8" t="s">
        <v>327</v>
      </c>
      <c r="Q143" s="8" t="n">
        <v>3.38</v>
      </c>
      <c r="R143" s="8" t="n">
        <v>4</v>
      </c>
      <c r="S143" s="11" t="n">
        <v>44852</v>
      </c>
      <c r="T143" s="8" t="str">
        <f aca="true">IF(S143="","",IF(EDATE(S143,60)&lt;TODAY(),"Expired",IF(EDATE(S143,60)&lt;TODAY()+180,"Expiring Soon","Valid")))</f>
        <v>Valid</v>
      </c>
      <c r="U143" s="8" t="str">
        <f aca="false">IF(P143="","",IF(P143="A++","Top Tier",IF(P143="A+","High",IF(P143="A","Strong",IF(LEFT(P143,1)="B","Acceptable",IF(LEFT(P143,1)="C","Below Avg","-"))))))</f>
        <v>High</v>
      </c>
      <c r="Y143" s="8" t="n">
        <v>6</v>
      </c>
      <c r="Z143" s="11" t="n">
        <v>45838</v>
      </c>
      <c r="AA143" s="8" t="s">
        <v>404</v>
      </c>
      <c r="AB143" s="8" t="s">
        <v>405</v>
      </c>
      <c r="AC143" s="8"/>
      <c r="AD143" s="8"/>
      <c r="AE143" s="8"/>
      <c r="AF143" s="8"/>
      <c r="AG143" s="8"/>
      <c r="AH143" s="8" t="n">
        <v>49</v>
      </c>
      <c r="AI143" s="8"/>
      <c r="AJ143" s="8"/>
      <c r="AK143" s="8"/>
      <c r="AL143" s="8"/>
      <c r="AM143" s="8"/>
      <c r="AN143" s="8"/>
      <c r="AO143" s="8" t="n">
        <v>32</v>
      </c>
      <c r="AP143" s="8"/>
      <c r="AQ143" s="8"/>
      <c r="AR143" s="8"/>
      <c r="AS143" s="8"/>
      <c r="AT143" s="8"/>
      <c r="AU143" s="8"/>
    </row>
    <row r="144" customFormat="false" ht="15" hidden="false" customHeight="true" outlineLevel="0" collapsed="false">
      <c r="A144" s="8" t="n">
        <v>143</v>
      </c>
      <c r="B144" s="8" t="n">
        <v>23</v>
      </c>
      <c r="C144" s="8" t="s">
        <v>402</v>
      </c>
      <c r="D144" s="8" t="s">
        <v>286</v>
      </c>
      <c r="E144" s="9" t="s">
        <v>406</v>
      </c>
      <c r="F144" s="9" t="s">
        <v>407</v>
      </c>
      <c r="G144" s="8" t="s">
        <v>318</v>
      </c>
      <c r="H144" s="8" t="s">
        <v>290</v>
      </c>
      <c r="I144" s="8" t="s">
        <v>291</v>
      </c>
      <c r="J144" s="8" t="s">
        <v>292</v>
      </c>
      <c r="K144" s="8" t="s">
        <v>293</v>
      </c>
      <c r="L144" s="9" t="s">
        <v>294</v>
      </c>
      <c r="M144" s="8"/>
      <c r="N144" s="8" t="str">
        <f aca="true">IF(M144="","Active (per Notice 1)",IF(M144&lt;TODAY(),"Expired",IF(M144&lt;TODAY()+180,"Expiring Soon","Active")))</f>
        <v>Active (per Notice 1)</v>
      </c>
      <c r="O144" s="12" t="s">
        <v>305</v>
      </c>
      <c r="P144" s="8" t="s">
        <v>296</v>
      </c>
      <c r="Q144" s="8" t="n">
        <v>3.56</v>
      </c>
      <c r="R144" s="8" t="n">
        <v>4</v>
      </c>
      <c r="S144" s="11" t="n">
        <v>45191</v>
      </c>
      <c r="T144" s="8" t="str">
        <f aca="true">IF(S144="","",IF(EDATE(S144,60)&lt;TODAY(),"Expired",IF(EDATE(S144,60)&lt;TODAY()+180,"Expiring Soon","Valid")))</f>
        <v>Valid</v>
      </c>
      <c r="U144" s="8" t="str">
        <f aca="false">IF(P144="","",IF(P144="A++","Top Tier",IF(P144="A+","High",IF(P144="A","Strong",IF(LEFT(P144,1)="B","Acceptable",IF(LEFT(P144,1)="C","Below Avg","-"))))))</f>
        <v>Top Tier</v>
      </c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 t="n">
        <v>35</v>
      </c>
      <c r="AP144" s="8"/>
      <c r="AQ144" s="8"/>
      <c r="AR144" s="8"/>
      <c r="AS144" s="8"/>
      <c r="AT144" s="8"/>
      <c r="AU144" s="8"/>
    </row>
    <row r="145" customFormat="false" ht="15" hidden="false" customHeight="true" outlineLevel="0" collapsed="false">
      <c r="A145" s="8" t="n">
        <v>144</v>
      </c>
      <c r="B145" s="8" t="n">
        <v>23</v>
      </c>
      <c r="C145" s="8" t="s">
        <v>402</v>
      </c>
      <c r="D145" s="8" t="s">
        <v>286</v>
      </c>
      <c r="E145" s="9" t="s">
        <v>406</v>
      </c>
      <c r="F145" s="9" t="s">
        <v>408</v>
      </c>
      <c r="G145" s="8" t="s">
        <v>298</v>
      </c>
      <c r="H145" s="8" t="s">
        <v>290</v>
      </c>
      <c r="I145" s="8" t="s">
        <v>291</v>
      </c>
      <c r="J145" s="8" t="s">
        <v>292</v>
      </c>
      <c r="K145" s="8" t="s">
        <v>293</v>
      </c>
      <c r="L145" s="9" t="s">
        <v>294</v>
      </c>
      <c r="M145" s="8"/>
      <c r="N145" s="8" t="str">
        <f aca="true">IF(M145="","Active (per Notice 1)",IF(M145&lt;TODAY(),"Expired",IF(M145&lt;TODAY()+180,"Expiring Soon","Active")))</f>
        <v>Active (per Notice 1)</v>
      </c>
      <c r="O145" s="10" t="s">
        <v>295</v>
      </c>
      <c r="P145" s="8" t="s">
        <v>296</v>
      </c>
      <c r="Q145" s="8" t="n">
        <v>3.56</v>
      </c>
      <c r="R145" s="8" t="n">
        <v>4</v>
      </c>
      <c r="S145" s="11" t="n">
        <v>45191</v>
      </c>
      <c r="T145" s="8" t="str">
        <f aca="true">IF(S145="","",IF(EDATE(S145,60)&lt;TODAY(),"Expired",IF(EDATE(S145,60)&lt;TODAY()+180,"Expiring Soon","Valid")))</f>
        <v>Valid</v>
      </c>
      <c r="U145" s="8" t="str">
        <f aca="false">IF(P145="","",IF(P145="A++","Top Tier",IF(P145="A+","High",IF(P145="A","Strong",IF(LEFT(P145,1)="B","Acceptable",IF(LEFT(P145,1)="C","Below Avg","-"))))))</f>
        <v>Top Tier</v>
      </c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 t="n">
        <v>35</v>
      </c>
      <c r="AP145" s="8"/>
      <c r="AQ145" s="8"/>
      <c r="AR145" s="8"/>
      <c r="AS145" s="8"/>
      <c r="AT145" s="8"/>
      <c r="AU145" s="8"/>
    </row>
    <row r="146" customFormat="false" ht="15" hidden="false" customHeight="true" outlineLevel="0" collapsed="false">
      <c r="A146" s="8" t="n">
        <v>145</v>
      </c>
      <c r="B146" s="8" t="n">
        <v>23</v>
      </c>
      <c r="C146" s="8" t="s">
        <v>402</v>
      </c>
      <c r="D146" s="8" t="s">
        <v>286</v>
      </c>
      <c r="E146" s="9" t="s">
        <v>406</v>
      </c>
      <c r="F146" s="9" t="s">
        <v>299</v>
      </c>
      <c r="G146" s="8" t="s">
        <v>289</v>
      </c>
      <c r="H146" s="8" t="s">
        <v>290</v>
      </c>
      <c r="I146" s="8" t="s">
        <v>291</v>
      </c>
      <c r="J146" s="8" t="s">
        <v>292</v>
      </c>
      <c r="K146" s="8" t="s">
        <v>293</v>
      </c>
      <c r="L146" s="9" t="s">
        <v>294</v>
      </c>
      <c r="M146" s="8"/>
      <c r="N146" s="8" t="str">
        <f aca="true">IF(M146="","Active (per Notice 1)",IF(M146&lt;TODAY(),"Expired",IF(M146&lt;TODAY()+180,"Expiring Soon","Active")))</f>
        <v>Active (per Notice 1)</v>
      </c>
      <c r="O146" s="10" t="s">
        <v>295</v>
      </c>
      <c r="P146" s="8" t="s">
        <v>296</v>
      </c>
      <c r="Q146" s="8" t="n">
        <v>3.56</v>
      </c>
      <c r="R146" s="8" t="n">
        <v>4</v>
      </c>
      <c r="S146" s="11" t="n">
        <v>45191</v>
      </c>
      <c r="T146" s="8" t="str">
        <f aca="true">IF(S146="","",IF(EDATE(S146,60)&lt;TODAY(),"Expired",IF(EDATE(S146,60)&lt;TODAY()+180,"Expiring Soon","Valid")))</f>
        <v>Valid</v>
      </c>
      <c r="U146" s="8" t="str">
        <f aca="false">IF(P146="","",IF(P146="A++","Top Tier",IF(P146="A+","High",IF(P146="A","Strong",IF(LEFT(P146,1)="B","Acceptable",IF(LEFT(P146,1)="C","Below Avg","-"))))))</f>
        <v>Top Tier</v>
      </c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 t="n">
        <v>35</v>
      </c>
      <c r="AP146" s="8"/>
      <c r="AQ146" s="8"/>
      <c r="AR146" s="8"/>
      <c r="AS146" s="8"/>
      <c r="AT146" s="8"/>
      <c r="AU146" s="8"/>
    </row>
    <row r="147" customFormat="false" ht="15" hidden="false" customHeight="true" outlineLevel="0" collapsed="false">
      <c r="A147" s="8" t="n">
        <v>146</v>
      </c>
      <c r="B147" s="8" t="n">
        <v>23</v>
      </c>
      <c r="C147" s="8" t="s">
        <v>402</v>
      </c>
      <c r="D147" s="8" t="s">
        <v>286</v>
      </c>
      <c r="E147" s="9" t="s">
        <v>406</v>
      </c>
      <c r="F147" s="9" t="s">
        <v>377</v>
      </c>
      <c r="G147" s="8" t="s">
        <v>301</v>
      </c>
      <c r="H147" s="8" t="s">
        <v>302</v>
      </c>
      <c r="I147" s="8" t="s">
        <v>291</v>
      </c>
      <c r="J147" s="8" t="s">
        <v>292</v>
      </c>
      <c r="K147" s="8" t="s">
        <v>293</v>
      </c>
      <c r="L147" s="9" t="s">
        <v>294</v>
      </c>
      <c r="M147" s="8"/>
      <c r="N147" s="8" t="str">
        <f aca="true">IF(M147="","Active (per Notice 1)",IF(M147&lt;TODAY(),"Expired",IF(M147&lt;TODAY()+180,"Expiring Soon","Active")))</f>
        <v>Active (per Notice 1)</v>
      </c>
      <c r="O147" s="10" t="s">
        <v>295</v>
      </c>
      <c r="P147" s="8" t="s">
        <v>296</v>
      </c>
      <c r="Q147" s="8" t="n">
        <v>3.56</v>
      </c>
      <c r="R147" s="8" t="n">
        <v>4</v>
      </c>
      <c r="S147" s="11" t="n">
        <v>45191</v>
      </c>
      <c r="T147" s="8" t="str">
        <f aca="true">IF(S147="","",IF(EDATE(S147,60)&lt;TODAY(),"Expired",IF(EDATE(S147,60)&lt;TODAY()+180,"Expiring Soon","Valid")))</f>
        <v>Valid</v>
      </c>
      <c r="U147" s="8" t="str">
        <f aca="false">IF(P147="","",IF(P147="A++","Top Tier",IF(P147="A+","High",IF(P147="A","Strong",IF(LEFT(P147,1)="B","Acceptable",IF(LEFT(P147,1)="C","Below Avg","-"))))))</f>
        <v>Top Tier</v>
      </c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 t="n">
        <v>35</v>
      </c>
      <c r="AP147" s="8"/>
      <c r="AQ147" s="8"/>
      <c r="AR147" s="8"/>
      <c r="AS147" s="8"/>
      <c r="AT147" s="8"/>
      <c r="AU147" s="8"/>
    </row>
    <row r="148" customFormat="false" ht="15" hidden="false" customHeight="true" outlineLevel="0" collapsed="false">
      <c r="A148" s="8" t="n">
        <v>147</v>
      </c>
      <c r="B148" s="8" t="n">
        <v>23</v>
      </c>
      <c r="C148" s="8" t="s">
        <v>402</v>
      </c>
      <c r="D148" s="8" t="s">
        <v>286</v>
      </c>
      <c r="E148" s="9" t="s">
        <v>406</v>
      </c>
      <c r="F148" s="9" t="s">
        <v>308</v>
      </c>
      <c r="G148" s="8" t="s">
        <v>309</v>
      </c>
      <c r="H148" s="8" t="s">
        <v>302</v>
      </c>
      <c r="I148" s="8" t="s">
        <v>291</v>
      </c>
      <c r="J148" s="8" t="s">
        <v>292</v>
      </c>
      <c r="K148" s="8" t="s">
        <v>293</v>
      </c>
      <c r="L148" s="9" t="s">
        <v>294</v>
      </c>
      <c r="M148" s="8"/>
      <c r="N148" s="8" t="str">
        <f aca="true">IF(M148="","Active (per Notice 1)",IF(M148&lt;TODAY(),"Expired",IF(M148&lt;TODAY()+180,"Expiring Soon","Active")))</f>
        <v>Active (per Notice 1)</v>
      </c>
      <c r="O148" s="10" t="s">
        <v>295</v>
      </c>
      <c r="P148" s="8" t="s">
        <v>296</v>
      </c>
      <c r="Q148" s="8" t="n">
        <v>3.56</v>
      </c>
      <c r="R148" s="8" t="n">
        <v>4</v>
      </c>
      <c r="S148" s="11" t="n">
        <v>45191</v>
      </c>
      <c r="T148" s="8" t="str">
        <f aca="true">IF(S148="","",IF(EDATE(S148,60)&lt;TODAY(),"Expired",IF(EDATE(S148,60)&lt;TODAY()+180,"Expiring Soon","Valid")))</f>
        <v>Valid</v>
      </c>
      <c r="U148" s="8" t="str">
        <f aca="false">IF(P148="","",IF(P148="A++","Top Tier",IF(P148="A+","High",IF(P148="A","Strong",IF(LEFT(P148,1)="B","Acceptable",IF(LEFT(P148,1)="C","Below Avg","-"))))))</f>
        <v>Top Tier</v>
      </c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 t="n">
        <v>35</v>
      </c>
      <c r="AP148" s="8"/>
      <c r="AQ148" s="8"/>
      <c r="AR148" s="8"/>
      <c r="AS148" s="8"/>
      <c r="AT148" s="8"/>
      <c r="AU148" s="8"/>
    </row>
    <row r="149" customFormat="false" ht="15" hidden="false" customHeight="true" outlineLevel="0" collapsed="false">
      <c r="A149" s="8" t="n">
        <v>148</v>
      </c>
      <c r="B149" s="8" t="n">
        <v>23</v>
      </c>
      <c r="C149" s="8" t="s">
        <v>402</v>
      </c>
      <c r="D149" s="8" t="s">
        <v>286</v>
      </c>
      <c r="E149" s="9" t="s">
        <v>406</v>
      </c>
      <c r="F149" s="9" t="s">
        <v>312</v>
      </c>
      <c r="G149" s="8" t="s">
        <v>301</v>
      </c>
      <c r="H149" s="8" t="s">
        <v>302</v>
      </c>
      <c r="I149" s="8" t="s">
        <v>291</v>
      </c>
      <c r="J149" s="8" t="s">
        <v>292</v>
      </c>
      <c r="K149" s="8" t="s">
        <v>293</v>
      </c>
      <c r="L149" s="9" t="s">
        <v>294</v>
      </c>
      <c r="M149" s="8"/>
      <c r="N149" s="8" t="str">
        <f aca="true">IF(M149="","Active (per Notice 1)",IF(M149&lt;TODAY(),"Expired",IF(M149&lt;TODAY()+180,"Expiring Soon","Active")))</f>
        <v>Active (per Notice 1)</v>
      </c>
      <c r="O149" s="10" t="s">
        <v>295</v>
      </c>
      <c r="P149" s="8" t="s">
        <v>296</v>
      </c>
      <c r="Q149" s="8" t="n">
        <v>3.56</v>
      </c>
      <c r="R149" s="8" t="n">
        <v>4</v>
      </c>
      <c r="S149" s="11" t="n">
        <v>45191</v>
      </c>
      <c r="T149" s="8" t="str">
        <f aca="true">IF(S149="","",IF(EDATE(S149,60)&lt;TODAY(),"Expired",IF(EDATE(S149,60)&lt;TODAY()+180,"Expiring Soon","Valid")))</f>
        <v>Valid</v>
      </c>
      <c r="U149" s="8" t="str">
        <f aca="false">IF(P149="","",IF(P149="A++","Top Tier",IF(P149="A+","High",IF(P149="A","Strong",IF(LEFT(P149,1)="B","Acceptable",IF(LEFT(P149,1)="C","Below Avg","-"))))))</f>
        <v>Top Tier</v>
      </c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 t="n">
        <v>35</v>
      </c>
      <c r="AP149" s="8"/>
      <c r="AQ149" s="8"/>
      <c r="AR149" s="8"/>
      <c r="AS149" s="8"/>
      <c r="AT149" s="8"/>
      <c r="AU149" s="8"/>
    </row>
    <row r="150" customFormat="false" ht="15" hidden="false" customHeight="true" outlineLevel="0" collapsed="false">
      <c r="A150" s="8" t="n">
        <v>149</v>
      </c>
      <c r="B150" s="8" t="n">
        <v>23</v>
      </c>
      <c r="C150" s="8" t="s">
        <v>402</v>
      </c>
      <c r="D150" s="8" t="s">
        <v>286</v>
      </c>
      <c r="E150" s="9" t="s">
        <v>406</v>
      </c>
      <c r="F150" s="9" t="s">
        <v>310</v>
      </c>
      <c r="G150" s="8" t="s">
        <v>301</v>
      </c>
      <c r="H150" s="8" t="s">
        <v>302</v>
      </c>
      <c r="I150" s="8" t="s">
        <v>291</v>
      </c>
      <c r="J150" s="8" t="s">
        <v>292</v>
      </c>
      <c r="K150" s="8" t="s">
        <v>293</v>
      </c>
      <c r="L150" s="9" t="s">
        <v>294</v>
      </c>
      <c r="M150" s="8"/>
      <c r="N150" s="8" t="str">
        <f aca="true">IF(M150="","Active (per Notice 1)",IF(M150&lt;TODAY(),"Expired",IF(M150&lt;TODAY()+180,"Expiring Soon","Active")))</f>
        <v>Active (per Notice 1)</v>
      </c>
      <c r="O150" s="10" t="s">
        <v>295</v>
      </c>
      <c r="P150" s="8" t="s">
        <v>296</v>
      </c>
      <c r="Q150" s="8" t="n">
        <v>3.56</v>
      </c>
      <c r="R150" s="8" t="n">
        <v>4</v>
      </c>
      <c r="S150" s="11" t="n">
        <v>45191</v>
      </c>
      <c r="T150" s="8" t="str">
        <f aca="true">IF(S150="","",IF(EDATE(S150,60)&lt;TODAY(),"Expired",IF(EDATE(S150,60)&lt;TODAY()+180,"Expiring Soon","Valid")))</f>
        <v>Valid</v>
      </c>
      <c r="U150" s="8" t="str">
        <f aca="false">IF(P150="","",IF(P150="A++","Top Tier",IF(P150="A+","High",IF(P150="A","Strong",IF(LEFT(P150,1)="B","Acceptable",IF(LEFT(P150,1)="C","Below Avg","-"))))))</f>
        <v>Top Tier</v>
      </c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 t="n">
        <v>35</v>
      </c>
      <c r="AP150" s="8"/>
      <c r="AQ150" s="8"/>
      <c r="AR150" s="8"/>
      <c r="AS150" s="8"/>
      <c r="AT150" s="8"/>
      <c r="AU150" s="8"/>
    </row>
    <row r="151" customFormat="false" ht="15" hidden="false" customHeight="true" outlineLevel="0" collapsed="false">
      <c r="A151" s="8" t="n">
        <v>150</v>
      </c>
      <c r="B151" s="8" t="n">
        <v>23</v>
      </c>
      <c r="C151" s="8" t="s">
        <v>402</v>
      </c>
      <c r="D151" s="8" t="s">
        <v>286</v>
      </c>
      <c r="E151" s="9" t="s">
        <v>406</v>
      </c>
      <c r="F151" s="9" t="s">
        <v>306</v>
      </c>
      <c r="G151" s="8" t="s">
        <v>307</v>
      </c>
      <c r="H151" s="8" t="s">
        <v>302</v>
      </c>
      <c r="I151" s="8" t="s">
        <v>291</v>
      </c>
      <c r="J151" s="8" t="s">
        <v>292</v>
      </c>
      <c r="K151" s="8" t="s">
        <v>293</v>
      </c>
      <c r="L151" s="9" t="s">
        <v>294</v>
      </c>
      <c r="M151" s="8"/>
      <c r="N151" s="8" t="str">
        <f aca="true">IF(M151="","Active (per Notice 1)",IF(M151&lt;TODAY(),"Expired",IF(M151&lt;TODAY()+180,"Expiring Soon","Active")))</f>
        <v>Active (per Notice 1)</v>
      </c>
      <c r="O151" s="12" t="s">
        <v>305</v>
      </c>
      <c r="P151" s="8" t="s">
        <v>296</v>
      </c>
      <c r="Q151" s="8" t="n">
        <v>3.56</v>
      </c>
      <c r="R151" s="8" t="n">
        <v>4</v>
      </c>
      <c r="S151" s="11" t="n">
        <v>45191</v>
      </c>
      <c r="T151" s="8" t="str">
        <f aca="true">IF(S151="","",IF(EDATE(S151,60)&lt;TODAY(),"Expired",IF(EDATE(S151,60)&lt;TODAY()+180,"Expiring Soon","Valid")))</f>
        <v>Valid</v>
      </c>
      <c r="U151" s="8" t="str">
        <f aca="false">IF(P151="","",IF(P151="A++","Top Tier",IF(P151="A+","High",IF(P151="A","Strong",IF(LEFT(P151,1)="B","Acceptable",IF(LEFT(P151,1)="C","Below Avg","-"))))))</f>
        <v>Top Tier</v>
      </c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 t="n">
        <v>35</v>
      </c>
      <c r="AP151" s="8"/>
      <c r="AQ151" s="8"/>
      <c r="AR151" s="8"/>
      <c r="AS151" s="8"/>
      <c r="AT151" s="8"/>
      <c r="AU151" s="8"/>
    </row>
    <row r="152" customFormat="false" ht="15" hidden="false" customHeight="true" outlineLevel="0" collapsed="false">
      <c r="A152" s="8" t="n">
        <v>151</v>
      </c>
      <c r="B152" s="8" t="n">
        <v>23</v>
      </c>
      <c r="C152" s="8" t="s">
        <v>402</v>
      </c>
      <c r="D152" s="8" t="s">
        <v>286</v>
      </c>
      <c r="E152" s="9" t="s">
        <v>406</v>
      </c>
      <c r="F152" s="9" t="s">
        <v>303</v>
      </c>
      <c r="G152" s="8" t="s">
        <v>304</v>
      </c>
      <c r="H152" s="8" t="s">
        <v>302</v>
      </c>
      <c r="I152" s="8" t="s">
        <v>291</v>
      </c>
      <c r="J152" s="8" t="s">
        <v>292</v>
      </c>
      <c r="K152" s="8" t="s">
        <v>293</v>
      </c>
      <c r="L152" s="9" t="s">
        <v>294</v>
      </c>
      <c r="M152" s="8"/>
      <c r="N152" s="8" t="str">
        <f aca="true">IF(M152="","Active (per Notice 1)",IF(M152&lt;TODAY(),"Expired",IF(M152&lt;TODAY()+180,"Expiring Soon","Active")))</f>
        <v>Active (per Notice 1)</v>
      </c>
      <c r="O152" s="12" t="s">
        <v>305</v>
      </c>
      <c r="P152" s="8" t="s">
        <v>296</v>
      </c>
      <c r="Q152" s="8" t="n">
        <v>3.56</v>
      </c>
      <c r="R152" s="8" t="n">
        <v>4</v>
      </c>
      <c r="S152" s="11" t="n">
        <v>45191</v>
      </c>
      <c r="T152" s="8" t="str">
        <f aca="true">IF(S152="","",IF(EDATE(S152,60)&lt;TODAY(),"Expired",IF(EDATE(S152,60)&lt;TODAY()+180,"Expiring Soon","Valid")))</f>
        <v>Valid</v>
      </c>
      <c r="U152" s="8" t="str">
        <f aca="false">IF(P152="","",IF(P152="A++","Top Tier",IF(P152="A+","High",IF(P152="A","Strong",IF(LEFT(P152,1)="B","Acceptable",IF(LEFT(P152,1)="C","Below Avg","-"))))))</f>
        <v>Top Tier</v>
      </c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 t="n">
        <v>35</v>
      </c>
      <c r="AP152" s="8"/>
      <c r="AQ152" s="8"/>
      <c r="AR152" s="8"/>
      <c r="AS152" s="8"/>
      <c r="AT152" s="8"/>
      <c r="AU152" s="8"/>
    </row>
    <row r="153" customFormat="false" ht="23.25" hidden="false" customHeight="true" outlineLevel="0" collapsed="false">
      <c r="A153" s="8" t="n">
        <v>152</v>
      </c>
      <c r="B153" s="8" t="n">
        <v>24</v>
      </c>
      <c r="C153" s="8" t="s">
        <v>402</v>
      </c>
      <c r="D153" s="8" t="s">
        <v>286</v>
      </c>
      <c r="E153" s="9" t="s">
        <v>409</v>
      </c>
      <c r="F153" s="9" t="s">
        <v>410</v>
      </c>
      <c r="G153" s="8" t="s">
        <v>298</v>
      </c>
      <c r="H153" s="8" t="s">
        <v>290</v>
      </c>
      <c r="I153" s="8" t="s">
        <v>291</v>
      </c>
      <c r="J153" s="8" t="s">
        <v>292</v>
      </c>
      <c r="K153" s="8" t="s">
        <v>293</v>
      </c>
      <c r="L153" s="9" t="s">
        <v>294</v>
      </c>
      <c r="M153" s="8"/>
      <c r="N153" s="8" t="str">
        <f aca="true">IF(M153="","Active (per Notice 1)",IF(M153&lt;TODAY(),"Expired",IF(M153&lt;TODAY()+180,"Expiring Soon","Active")))</f>
        <v>Active (per Notice 1)</v>
      </c>
      <c r="O153" s="10" t="s">
        <v>295</v>
      </c>
      <c r="P153" s="8"/>
      <c r="Q153" s="8"/>
      <c r="AC153" s="8"/>
      <c r="AD153" s="8"/>
      <c r="AE153" s="8"/>
      <c r="AF153" s="8"/>
      <c r="AG153" s="8"/>
      <c r="AH153" s="8" t="n">
        <v>43</v>
      </c>
      <c r="AI153" s="8"/>
      <c r="AJ153" s="8"/>
      <c r="AK153" s="8"/>
      <c r="AL153" s="8"/>
      <c r="AM153" s="8"/>
      <c r="AN153" s="8"/>
      <c r="AO153" s="8" t="n">
        <v>46</v>
      </c>
      <c r="AP153" s="8"/>
      <c r="AQ153" s="8"/>
      <c r="AR153" s="8"/>
      <c r="AS153" s="8"/>
      <c r="AT153" s="8"/>
      <c r="AU153" s="8"/>
    </row>
    <row r="154" customFormat="false" ht="15" hidden="false" customHeight="true" outlineLevel="0" collapsed="false">
      <c r="A154" s="8" t="n">
        <v>153</v>
      </c>
      <c r="B154" s="8" t="n">
        <v>24</v>
      </c>
      <c r="C154" s="8" t="s">
        <v>402</v>
      </c>
      <c r="D154" s="8" t="s">
        <v>286</v>
      </c>
      <c r="E154" s="9" t="s">
        <v>409</v>
      </c>
      <c r="F154" s="9" t="s">
        <v>364</v>
      </c>
      <c r="G154" s="8" t="s">
        <v>309</v>
      </c>
      <c r="H154" s="8" t="s">
        <v>302</v>
      </c>
      <c r="I154" s="8" t="s">
        <v>291</v>
      </c>
      <c r="J154" s="8" t="s">
        <v>292</v>
      </c>
      <c r="K154" s="8" t="s">
        <v>293</v>
      </c>
      <c r="L154" s="9" t="s">
        <v>294</v>
      </c>
      <c r="M154" s="8"/>
      <c r="N154" s="8" t="str">
        <f aca="true">IF(M154="","Active (per Notice 1)",IF(M154&lt;TODAY(),"Expired",IF(M154&lt;TODAY()+180,"Expiring Soon","Active")))</f>
        <v>Active (per Notice 1)</v>
      </c>
      <c r="O154" s="10" t="s">
        <v>295</v>
      </c>
      <c r="P154" s="8"/>
      <c r="Q154" s="8"/>
      <c r="AC154" s="8"/>
      <c r="AD154" s="8"/>
      <c r="AE154" s="8"/>
      <c r="AF154" s="8"/>
      <c r="AG154" s="8"/>
      <c r="AH154" s="8" t="n">
        <v>43</v>
      </c>
      <c r="AI154" s="8"/>
      <c r="AJ154" s="8"/>
      <c r="AK154" s="8"/>
      <c r="AL154" s="8"/>
      <c r="AM154" s="8"/>
      <c r="AN154" s="8"/>
      <c r="AO154" s="8" t="n">
        <v>46</v>
      </c>
      <c r="AP154" s="8"/>
      <c r="AQ154" s="8"/>
      <c r="AR154" s="8"/>
      <c r="AS154" s="8"/>
      <c r="AT154" s="8"/>
      <c r="AU154" s="8"/>
    </row>
    <row r="155" customFormat="false" ht="15" hidden="false" customHeight="true" outlineLevel="0" collapsed="false">
      <c r="A155" s="8" t="n">
        <v>154</v>
      </c>
      <c r="B155" s="8" t="n">
        <v>24</v>
      </c>
      <c r="C155" s="8" t="s">
        <v>402</v>
      </c>
      <c r="D155" s="8" t="s">
        <v>286</v>
      </c>
      <c r="E155" s="9" t="s">
        <v>409</v>
      </c>
      <c r="F155" s="9" t="s">
        <v>385</v>
      </c>
      <c r="G155" s="8" t="s">
        <v>386</v>
      </c>
      <c r="H155" s="8" t="s">
        <v>302</v>
      </c>
      <c r="I155" s="8" t="s">
        <v>291</v>
      </c>
      <c r="J155" s="8" t="s">
        <v>292</v>
      </c>
      <c r="K155" s="8" t="s">
        <v>293</v>
      </c>
      <c r="L155" s="9" t="s">
        <v>294</v>
      </c>
      <c r="M155" s="8"/>
      <c r="N155" s="8" t="str">
        <f aca="true">IF(M155="","Active (per Notice 1)",IF(M155&lt;TODAY(),"Expired",IF(M155&lt;TODAY()+180,"Expiring Soon","Active")))</f>
        <v>Active (per Notice 1)</v>
      </c>
      <c r="O155" s="10" t="s">
        <v>295</v>
      </c>
      <c r="P155" s="8"/>
      <c r="Q155" s="8"/>
      <c r="AC155" s="8"/>
      <c r="AD155" s="8"/>
      <c r="AE155" s="8"/>
      <c r="AF155" s="8"/>
      <c r="AG155" s="8"/>
      <c r="AH155" s="8" t="n">
        <v>43</v>
      </c>
      <c r="AI155" s="8"/>
      <c r="AJ155" s="8"/>
      <c r="AK155" s="8"/>
      <c r="AL155" s="8"/>
      <c r="AM155" s="8"/>
      <c r="AN155" s="8"/>
      <c r="AO155" s="8" t="n">
        <v>46</v>
      </c>
      <c r="AP155" s="8"/>
      <c r="AQ155" s="8"/>
      <c r="AR155" s="8"/>
      <c r="AS155" s="8"/>
      <c r="AT155" s="8"/>
      <c r="AU155" s="8"/>
    </row>
    <row r="156" customFormat="false" ht="15" hidden="false" customHeight="true" outlineLevel="0" collapsed="false">
      <c r="A156" s="8" t="n">
        <v>155</v>
      </c>
      <c r="B156" s="8" t="n">
        <v>24</v>
      </c>
      <c r="C156" s="8" t="s">
        <v>402</v>
      </c>
      <c r="D156" s="8" t="s">
        <v>286</v>
      </c>
      <c r="E156" s="9" t="s">
        <v>409</v>
      </c>
      <c r="F156" s="9" t="s">
        <v>362</v>
      </c>
      <c r="G156" s="8" t="s">
        <v>301</v>
      </c>
      <c r="H156" s="8" t="s">
        <v>302</v>
      </c>
      <c r="I156" s="8" t="s">
        <v>291</v>
      </c>
      <c r="J156" s="8" t="s">
        <v>292</v>
      </c>
      <c r="K156" s="8" t="s">
        <v>293</v>
      </c>
      <c r="L156" s="9" t="s">
        <v>294</v>
      </c>
      <c r="M156" s="8"/>
      <c r="N156" s="8" t="str">
        <f aca="true">IF(M156="","Active (per Notice 1)",IF(M156&lt;TODAY(),"Expired",IF(M156&lt;TODAY()+180,"Expiring Soon","Active")))</f>
        <v>Active (per Notice 1)</v>
      </c>
      <c r="O156" s="10" t="s">
        <v>295</v>
      </c>
      <c r="P156" s="8"/>
      <c r="Q156" s="8"/>
      <c r="AC156" s="8"/>
      <c r="AD156" s="8"/>
      <c r="AE156" s="8"/>
      <c r="AF156" s="8"/>
      <c r="AG156" s="8"/>
      <c r="AH156" s="8" t="n">
        <v>43</v>
      </c>
      <c r="AI156" s="8"/>
      <c r="AJ156" s="8"/>
      <c r="AK156" s="8"/>
      <c r="AL156" s="8"/>
      <c r="AM156" s="8"/>
      <c r="AN156" s="8"/>
      <c r="AO156" s="8" t="n">
        <v>46</v>
      </c>
      <c r="AP156" s="8"/>
      <c r="AQ156" s="8"/>
      <c r="AR156" s="8"/>
      <c r="AS156" s="8"/>
      <c r="AT156" s="8"/>
      <c r="AU156" s="8"/>
    </row>
    <row r="157" customFormat="false" ht="15" hidden="false" customHeight="true" outlineLevel="0" collapsed="false">
      <c r="A157" s="8" t="n">
        <v>156</v>
      </c>
      <c r="B157" s="8" t="n">
        <v>24</v>
      </c>
      <c r="C157" s="8" t="s">
        <v>402</v>
      </c>
      <c r="D157" s="8" t="s">
        <v>286</v>
      </c>
      <c r="E157" s="9" t="s">
        <v>409</v>
      </c>
      <c r="F157" s="9" t="s">
        <v>347</v>
      </c>
      <c r="G157" s="8" t="s">
        <v>301</v>
      </c>
      <c r="H157" s="8" t="s">
        <v>302</v>
      </c>
      <c r="I157" s="8" t="s">
        <v>291</v>
      </c>
      <c r="J157" s="8" t="s">
        <v>292</v>
      </c>
      <c r="K157" s="8" t="s">
        <v>293</v>
      </c>
      <c r="L157" s="9" t="s">
        <v>294</v>
      </c>
      <c r="M157" s="8"/>
      <c r="N157" s="8" t="str">
        <f aca="true">IF(M157="","Active (per Notice 1)",IF(M157&lt;TODAY(),"Expired",IF(M157&lt;TODAY()+180,"Expiring Soon","Active")))</f>
        <v>Active (per Notice 1)</v>
      </c>
      <c r="O157" s="10" t="s">
        <v>295</v>
      </c>
      <c r="P157" s="8"/>
      <c r="Q157" s="8"/>
      <c r="AC157" s="8"/>
      <c r="AD157" s="8"/>
      <c r="AE157" s="8"/>
      <c r="AF157" s="8"/>
      <c r="AG157" s="8"/>
      <c r="AH157" s="8" t="n">
        <v>43</v>
      </c>
      <c r="AI157" s="8"/>
      <c r="AJ157" s="8"/>
      <c r="AK157" s="8"/>
      <c r="AL157" s="8"/>
      <c r="AM157" s="8"/>
      <c r="AN157" s="8"/>
      <c r="AO157" s="8" t="n">
        <v>46</v>
      </c>
      <c r="AP157" s="8"/>
      <c r="AQ157" s="8"/>
      <c r="AR157" s="8"/>
      <c r="AS157" s="8"/>
      <c r="AT157" s="8"/>
      <c r="AU157" s="8"/>
    </row>
    <row r="158" customFormat="false" ht="15" hidden="false" customHeight="true" outlineLevel="0" collapsed="false">
      <c r="A158" s="8" t="n">
        <v>157</v>
      </c>
      <c r="B158" s="8" t="n">
        <v>24</v>
      </c>
      <c r="C158" s="8" t="s">
        <v>402</v>
      </c>
      <c r="D158" s="8" t="s">
        <v>286</v>
      </c>
      <c r="E158" s="9" t="s">
        <v>409</v>
      </c>
      <c r="F158" s="9" t="s">
        <v>310</v>
      </c>
      <c r="G158" s="8" t="s">
        <v>301</v>
      </c>
      <c r="H158" s="8" t="s">
        <v>302</v>
      </c>
      <c r="I158" s="8" t="s">
        <v>291</v>
      </c>
      <c r="J158" s="8" t="s">
        <v>292</v>
      </c>
      <c r="K158" s="8" t="s">
        <v>293</v>
      </c>
      <c r="L158" s="9" t="s">
        <v>294</v>
      </c>
      <c r="M158" s="8"/>
      <c r="N158" s="8" t="str">
        <f aca="true">IF(M158="","Active (per Notice 1)",IF(M158&lt;TODAY(),"Expired",IF(M158&lt;TODAY()+180,"Expiring Soon","Active")))</f>
        <v>Active (per Notice 1)</v>
      </c>
      <c r="O158" s="10" t="s">
        <v>295</v>
      </c>
      <c r="P158" s="8"/>
      <c r="Q158" s="8"/>
      <c r="AC158" s="8"/>
      <c r="AD158" s="8"/>
      <c r="AE158" s="8"/>
      <c r="AF158" s="8"/>
      <c r="AG158" s="8"/>
      <c r="AH158" s="8" t="n">
        <v>43</v>
      </c>
      <c r="AI158" s="8"/>
      <c r="AJ158" s="8"/>
      <c r="AK158" s="8"/>
      <c r="AL158" s="8"/>
      <c r="AM158" s="8"/>
      <c r="AN158" s="8"/>
      <c r="AO158" s="8" t="n">
        <v>46</v>
      </c>
      <c r="AP158" s="8"/>
      <c r="AQ158" s="8"/>
      <c r="AR158" s="8"/>
      <c r="AS158" s="8"/>
      <c r="AT158" s="8"/>
      <c r="AU158" s="8"/>
    </row>
    <row r="159" customFormat="false" ht="15" hidden="false" customHeight="true" outlineLevel="0" collapsed="false">
      <c r="A159" s="8" t="n">
        <v>158</v>
      </c>
      <c r="B159" s="8" t="n">
        <v>24</v>
      </c>
      <c r="C159" s="8" t="s">
        <v>402</v>
      </c>
      <c r="D159" s="8" t="s">
        <v>286</v>
      </c>
      <c r="E159" s="9" t="s">
        <v>409</v>
      </c>
      <c r="F159" s="9" t="s">
        <v>311</v>
      </c>
      <c r="G159" s="8" t="s">
        <v>301</v>
      </c>
      <c r="H159" s="8" t="s">
        <v>302</v>
      </c>
      <c r="I159" s="8" t="s">
        <v>291</v>
      </c>
      <c r="J159" s="8" t="s">
        <v>292</v>
      </c>
      <c r="K159" s="8" t="s">
        <v>293</v>
      </c>
      <c r="L159" s="9" t="s">
        <v>294</v>
      </c>
      <c r="M159" s="8"/>
      <c r="N159" s="8" t="str">
        <f aca="true">IF(M159="","Active (per Notice 1)",IF(M159&lt;TODAY(),"Expired",IF(M159&lt;TODAY()+180,"Expiring Soon","Active")))</f>
        <v>Active (per Notice 1)</v>
      </c>
      <c r="O159" s="10" t="s">
        <v>295</v>
      </c>
      <c r="P159" s="8"/>
      <c r="Q159" s="8"/>
      <c r="AC159" s="8"/>
      <c r="AD159" s="8"/>
      <c r="AE159" s="8"/>
      <c r="AF159" s="8"/>
      <c r="AG159" s="8"/>
      <c r="AH159" s="8" t="n">
        <v>43</v>
      </c>
      <c r="AI159" s="8"/>
      <c r="AJ159" s="8"/>
      <c r="AK159" s="8"/>
      <c r="AL159" s="8"/>
      <c r="AM159" s="8"/>
      <c r="AN159" s="8"/>
      <c r="AO159" s="8" t="n">
        <v>46</v>
      </c>
      <c r="AP159" s="8"/>
      <c r="AQ159" s="8"/>
      <c r="AR159" s="8"/>
      <c r="AS159" s="8"/>
      <c r="AT159" s="8"/>
      <c r="AU159" s="8"/>
    </row>
    <row r="160" customFormat="false" ht="15" hidden="false" customHeight="true" outlineLevel="0" collapsed="false">
      <c r="A160" s="8" t="n">
        <v>159</v>
      </c>
      <c r="B160" s="8" t="n">
        <v>24</v>
      </c>
      <c r="C160" s="8" t="s">
        <v>402</v>
      </c>
      <c r="D160" s="8" t="s">
        <v>286</v>
      </c>
      <c r="E160" s="9" t="s">
        <v>409</v>
      </c>
      <c r="F160" s="9" t="s">
        <v>361</v>
      </c>
      <c r="G160" s="8" t="s">
        <v>301</v>
      </c>
      <c r="H160" s="8" t="s">
        <v>302</v>
      </c>
      <c r="I160" s="8" t="s">
        <v>291</v>
      </c>
      <c r="J160" s="8" t="s">
        <v>292</v>
      </c>
      <c r="K160" s="8" t="s">
        <v>293</v>
      </c>
      <c r="L160" s="9" t="s">
        <v>294</v>
      </c>
      <c r="M160" s="8"/>
      <c r="N160" s="8" t="str">
        <f aca="true">IF(M160="","Active (per Notice 1)",IF(M160&lt;TODAY(),"Expired",IF(M160&lt;TODAY()+180,"Expiring Soon","Active")))</f>
        <v>Active (per Notice 1)</v>
      </c>
      <c r="O160" s="10" t="s">
        <v>295</v>
      </c>
      <c r="P160" s="8"/>
      <c r="Q160" s="8"/>
      <c r="AC160" s="8"/>
      <c r="AD160" s="8"/>
      <c r="AE160" s="8"/>
      <c r="AF160" s="8"/>
      <c r="AG160" s="8"/>
      <c r="AH160" s="8" t="n">
        <v>43</v>
      </c>
      <c r="AI160" s="8"/>
      <c r="AJ160" s="8"/>
      <c r="AK160" s="8"/>
      <c r="AL160" s="8"/>
      <c r="AM160" s="8"/>
      <c r="AN160" s="8"/>
      <c r="AO160" s="8" t="n">
        <v>46</v>
      </c>
      <c r="AP160" s="8"/>
      <c r="AQ160" s="8"/>
      <c r="AR160" s="8"/>
      <c r="AS160" s="8"/>
      <c r="AT160" s="8"/>
      <c r="AU160" s="8"/>
    </row>
    <row r="161" customFormat="false" ht="15" hidden="false" customHeight="true" outlineLevel="0" collapsed="false">
      <c r="A161" s="8" t="n">
        <v>160</v>
      </c>
      <c r="B161" s="8" t="n">
        <v>25</v>
      </c>
      <c r="C161" s="8" t="s">
        <v>402</v>
      </c>
      <c r="D161" s="8" t="s">
        <v>315</v>
      </c>
      <c r="E161" s="9" t="s">
        <v>411</v>
      </c>
      <c r="F161" s="9" t="s">
        <v>317</v>
      </c>
      <c r="G161" s="8" t="s">
        <v>318</v>
      </c>
      <c r="H161" s="8" t="s">
        <v>290</v>
      </c>
      <c r="I161" s="8" t="s">
        <v>291</v>
      </c>
      <c r="J161" s="8" t="s">
        <v>292</v>
      </c>
      <c r="K161" s="8" t="s">
        <v>293</v>
      </c>
      <c r="L161" s="9" t="s">
        <v>294</v>
      </c>
      <c r="M161" s="8"/>
      <c r="N161" s="8" t="str">
        <f aca="true">IF(M161="","Active (per Notice 1)",IF(M161&lt;TODAY(),"Expired",IF(M161&lt;TODAY()+180,"Expiring Soon","Active")))</f>
        <v>Active (per Notice 1)</v>
      </c>
      <c r="O161" s="13" t="s">
        <v>292</v>
      </c>
      <c r="P161" s="8" t="s">
        <v>296</v>
      </c>
      <c r="Q161" s="8" t="n">
        <v>3.53</v>
      </c>
      <c r="R161" s="8" t="n">
        <v>2</v>
      </c>
      <c r="S161" s="11" t="n">
        <v>44551</v>
      </c>
      <c r="T161" s="8" t="str">
        <f aca="true">IF(S161="","",IF(EDATE(S161,60)&lt;TODAY(),"Expired",IF(EDATE(S161,60)&lt;TODAY()+180,"Expiring Soon","Valid")))</f>
        <v>Valid</v>
      </c>
      <c r="U161" s="8" t="str">
        <f aca="false">IF(P161="","",IF(P161="A++","Top Tier",IF(P161="A+","High",IF(P161="A","Strong",IF(LEFT(P161,1)="B","Acceptable",IF(LEFT(P161,1)="C","Below Avg","-"))))))</f>
        <v>Top Tier</v>
      </c>
      <c r="Y161" s="8" t="n">
        <v>2</v>
      </c>
      <c r="Z161" s="11" t="n">
        <v>46203</v>
      </c>
      <c r="AA161" s="8" t="s">
        <v>328</v>
      </c>
      <c r="AB161" s="8" t="s">
        <v>329</v>
      </c>
      <c r="AC161" s="8"/>
      <c r="AD161" s="8" t="n">
        <v>85</v>
      </c>
      <c r="AE161" s="8"/>
      <c r="AF161" s="8"/>
      <c r="AG161" s="8"/>
      <c r="AH161" s="8" t="n">
        <v>26</v>
      </c>
      <c r="AI161" s="8" t="n">
        <v>33</v>
      </c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customFormat="false" ht="15" hidden="false" customHeight="true" outlineLevel="0" collapsed="false">
      <c r="A162" s="8" t="n">
        <v>161</v>
      </c>
      <c r="B162" s="8" t="n">
        <v>25</v>
      </c>
      <c r="C162" s="8" t="s">
        <v>402</v>
      </c>
      <c r="D162" s="8" t="s">
        <v>315</v>
      </c>
      <c r="E162" s="9" t="s">
        <v>411</v>
      </c>
      <c r="F162" s="9" t="s">
        <v>340</v>
      </c>
      <c r="G162" s="8" t="s">
        <v>289</v>
      </c>
      <c r="H162" s="8" t="s">
        <v>290</v>
      </c>
      <c r="I162" s="8" t="s">
        <v>291</v>
      </c>
      <c r="J162" s="8" t="s">
        <v>292</v>
      </c>
      <c r="K162" s="8" t="s">
        <v>293</v>
      </c>
      <c r="L162" s="9" t="s">
        <v>294</v>
      </c>
      <c r="M162" s="8"/>
      <c r="N162" s="8" t="str">
        <f aca="true">IF(M162="","Active (per Notice 1)",IF(M162&lt;TODAY(),"Expired",IF(M162&lt;TODAY()+180,"Expiring Soon","Active")))</f>
        <v>Active (per Notice 1)</v>
      </c>
      <c r="O162" s="10" t="s">
        <v>295</v>
      </c>
      <c r="P162" s="8" t="s">
        <v>296</v>
      </c>
      <c r="Q162" s="8" t="n">
        <v>3.53</v>
      </c>
      <c r="R162" s="8" t="n">
        <v>2</v>
      </c>
      <c r="S162" s="11" t="n">
        <v>44551</v>
      </c>
      <c r="T162" s="8" t="str">
        <f aca="true">IF(S162="","",IF(EDATE(S162,60)&lt;TODAY(),"Expired",IF(EDATE(S162,60)&lt;TODAY()+180,"Expiring Soon","Valid")))</f>
        <v>Valid</v>
      </c>
      <c r="U162" s="8" t="str">
        <f aca="false">IF(P162="","",IF(P162="A++","Top Tier",IF(P162="A+","High",IF(P162="A","Strong",IF(LEFT(P162,1)="B","Acceptable",IF(LEFT(P162,1)="C","Below Avg","-"))))))</f>
        <v>Top Tier</v>
      </c>
      <c r="Y162" s="8" t="n">
        <v>2</v>
      </c>
      <c r="Z162" s="11" t="n">
        <v>46203</v>
      </c>
      <c r="AA162" s="8" t="s">
        <v>328</v>
      </c>
      <c r="AB162" s="8" t="s">
        <v>329</v>
      </c>
      <c r="AC162" s="8"/>
      <c r="AD162" s="8" t="n">
        <v>85</v>
      </c>
      <c r="AE162" s="8"/>
      <c r="AF162" s="8"/>
      <c r="AG162" s="8"/>
      <c r="AH162" s="8" t="n">
        <v>26</v>
      </c>
      <c r="AI162" s="8" t="n">
        <v>33</v>
      </c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customFormat="false" ht="15" hidden="false" customHeight="true" outlineLevel="0" collapsed="false">
      <c r="A163" s="8" t="n">
        <v>162</v>
      </c>
      <c r="B163" s="8" t="n">
        <v>25</v>
      </c>
      <c r="C163" s="8" t="s">
        <v>402</v>
      </c>
      <c r="D163" s="8" t="s">
        <v>315</v>
      </c>
      <c r="E163" s="9" t="s">
        <v>411</v>
      </c>
      <c r="F163" s="9" t="s">
        <v>319</v>
      </c>
      <c r="G163" s="8" t="s">
        <v>320</v>
      </c>
      <c r="H163" s="8" t="s">
        <v>290</v>
      </c>
      <c r="I163" s="8" t="s">
        <v>291</v>
      </c>
      <c r="J163" s="8" t="s">
        <v>292</v>
      </c>
      <c r="K163" s="8" t="s">
        <v>293</v>
      </c>
      <c r="L163" s="9" t="s">
        <v>294</v>
      </c>
      <c r="M163" s="8"/>
      <c r="N163" s="8" t="str">
        <f aca="true">IF(M163="","Active (per Notice 1)",IF(M163&lt;TODAY(),"Expired",IF(M163&lt;TODAY()+180,"Expiring Soon","Active")))</f>
        <v>Active (per Notice 1)</v>
      </c>
      <c r="O163" s="12" t="s">
        <v>305</v>
      </c>
      <c r="P163" s="8" t="s">
        <v>296</v>
      </c>
      <c r="Q163" s="8" t="n">
        <v>3.53</v>
      </c>
      <c r="R163" s="8" t="n">
        <v>2</v>
      </c>
      <c r="S163" s="11" t="n">
        <v>44551</v>
      </c>
      <c r="T163" s="8" t="str">
        <f aca="true">IF(S163="","",IF(EDATE(S163,60)&lt;TODAY(),"Expired",IF(EDATE(S163,60)&lt;TODAY()+180,"Expiring Soon","Valid")))</f>
        <v>Valid</v>
      </c>
      <c r="U163" s="8" t="str">
        <f aca="false">IF(P163="","",IF(P163="A++","Top Tier",IF(P163="A+","High",IF(P163="A","Strong",IF(LEFT(P163,1)="B","Acceptable",IF(LEFT(P163,1)="C","Below Avg","-"))))))</f>
        <v>Top Tier</v>
      </c>
      <c r="Y163" s="8" t="n">
        <v>2</v>
      </c>
      <c r="Z163" s="11" t="n">
        <v>46203</v>
      </c>
      <c r="AA163" s="8" t="s">
        <v>328</v>
      </c>
      <c r="AB163" s="8" t="s">
        <v>329</v>
      </c>
      <c r="AC163" s="8"/>
      <c r="AD163" s="8" t="n">
        <v>85</v>
      </c>
      <c r="AE163" s="8"/>
      <c r="AF163" s="8"/>
      <c r="AG163" s="8"/>
      <c r="AH163" s="8" t="n">
        <v>26</v>
      </c>
      <c r="AI163" s="8" t="n">
        <v>33</v>
      </c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customFormat="false" ht="15" hidden="false" customHeight="true" outlineLevel="0" collapsed="false">
      <c r="A164" s="8" t="n">
        <v>163</v>
      </c>
      <c r="B164" s="8" t="n">
        <v>25</v>
      </c>
      <c r="C164" s="8" t="s">
        <v>402</v>
      </c>
      <c r="D164" s="8" t="s">
        <v>315</v>
      </c>
      <c r="E164" s="9" t="s">
        <v>411</v>
      </c>
      <c r="F164" s="9" t="s">
        <v>303</v>
      </c>
      <c r="G164" s="8" t="s">
        <v>304</v>
      </c>
      <c r="H164" s="8" t="s">
        <v>302</v>
      </c>
      <c r="I164" s="8" t="s">
        <v>291</v>
      </c>
      <c r="J164" s="8" t="s">
        <v>292</v>
      </c>
      <c r="K164" s="8" t="s">
        <v>293</v>
      </c>
      <c r="L164" s="9" t="s">
        <v>294</v>
      </c>
      <c r="M164" s="8"/>
      <c r="N164" s="8" t="str">
        <f aca="true">IF(M164="","Active (per Notice 1)",IF(M164&lt;TODAY(),"Expired",IF(M164&lt;TODAY()+180,"Expiring Soon","Active")))</f>
        <v>Active (per Notice 1)</v>
      </c>
      <c r="O164" s="13" t="s">
        <v>292</v>
      </c>
      <c r="P164" s="8" t="s">
        <v>296</v>
      </c>
      <c r="Q164" s="8" t="n">
        <v>3.53</v>
      </c>
      <c r="R164" s="8" t="n">
        <v>2</v>
      </c>
      <c r="S164" s="11" t="n">
        <v>44551</v>
      </c>
      <c r="T164" s="8" t="str">
        <f aca="true">IF(S164="","",IF(EDATE(S164,60)&lt;TODAY(),"Expired",IF(EDATE(S164,60)&lt;TODAY()+180,"Expiring Soon","Valid")))</f>
        <v>Valid</v>
      </c>
      <c r="U164" s="8" t="str">
        <f aca="false">IF(P164="","",IF(P164="A++","Top Tier",IF(P164="A+","High",IF(P164="A","Strong",IF(LEFT(P164,1)="B","Acceptable",IF(LEFT(P164,1)="C","Below Avg","-"))))))</f>
        <v>Top Tier</v>
      </c>
      <c r="Y164" s="8" t="n">
        <v>2</v>
      </c>
      <c r="Z164" s="11" t="n">
        <v>46203</v>
      </c>
      <c r="AA164" s="8" t="s">
        <v>328</v>
      </c>
      <c r="AB164" s="8" t="s">
        <v>329</v>
      </c>
      <c r="AC164" s="8"/>
      <c r="AD164" s="8" t="n">
        <v>85</v>
      </c>
      <c r="AE164" s="8"/>
      <c r="AF164" s="8"/>
      <c r="AG164" s="8"/>
      <c r="AH164" s="8" t="n">
        <v>26</v>
      </c>
      <c r="AI164" s="8" t="n">
        <v>33</v>
      </c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customFormat="false" ht="15" hidden="false" customHeight="true" outlineLevel="0" collapsed="false">
      <c r="A165" s="8" t="n">
        <v>164</v>
      </c>
      <c r="B165" s="8" t="n">
        <v>25</v>
      </c>
      <c r="C165" s="8" t="s">
        <v>402</v>
      </c>
      <c r="D165" s="8" t="s">
        <v>315</v>
      </c>
      <c r="E165" s="9" t="s">
        <v>411</v>
      </c>
      <c r="F165" s="9" t="s">
        <v>385</v>
      </c>
      <c r="G165" s="8" t="s">
        <v>386</v>
      </c>
      <c r="H165" s="8" t="s">
        <v>302</v>
      </c>
      <c r="I165" s="8" t="s">
        <v>291</v>
      </c>
      <c r="J165" s="8" t="s">
        <v>292</v>
      </c>
      <c r="K165" s="8" t="s">
        <v>293</v>
      </c>
      <c r="L165" s="9" t="s">
        <v>294</v>
      </c>
      <c r="M165" s="8"/>
      <c r="N165" s="8" t="str">
        <f aca="true">IF(M165="","Active (per Notice 1)",IF(M165&lt;TODAY(),"Expired",IF(M165&lt;TODAY()+180,"Expiring Soon","Active")))</f>
        <v>Active (per Notice 1)</v>
      </c>
      <c r="O165" s="10" t="s">
        <v>295</v>
      </c>
      <c r="P165" s="8" t="s">
        <v>296</v>
      </c>
      <c r="Q165" s="8" t="n">
        <v>3.53</v>
      </c>
      <c r="R165" s="8" t="n">
        <v>2</v>
      </c>
      <c r="S165" s="11" t="n">
        <v>44551</v>
      </c>
      <c r="T165" s="8" t="str">
        <f aca="true">IF(S165="","",IF(EDATE(S165,60)&lt;TODAY(),"Expired",IF(EDATE(S165,60)&lt;TODAY()+180,"Expiring Soon","Valid")))</f>
        <v>Valid</v>
      </c>
      <c r="U165" s="8" t="str">
        <f aca="false">IF(P165="","",IF(P165="A++","Top Tier",IF(P165="A+","High",IF(P165="A","Strong",IF(LEFT(P165,1)="B","Acceptable",IF(LEFT(P165,1)="C","Below Avg","-"))))))</f>
        <v>Top Tier</v>
      </c>
      <c r="Y165" s="8" t="n">
        <v>2</v>
      </c>
      <c r="Z165" s="11" t="n">
        <v>46203</v>
      </c>
      <c r="AA165" s="8" t="s">
        <v>328</v>
      </c>
      <c r="AB165" s="8" t="s">
        <v>329</v>
      </c>
      <c r="AC165" s="8"/>
      <c r="AD165" s="8" t="n">
        <v>85</v>
      </c>
      <c r="AE165" s="8"/>
      <c r="AF165" s="8"/>
      <c r="AG165" s="8"/>
      <c r="AH165" s="8" t="n">
        <v>26</v>
      </c>
      <c r="AI165" s="8" t="n">
        <v>33</v>
      </c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customFormat="false" ht="15" hidden="false" customHeight="true" outlineLevel="0" collapsed="false">
      <c r="A166" s="8" t="n">
        <v>165</v>
      </c>
      <c r="B166" s="8" t="n">
        <v>25</v>
      </c>
      <c r="C166" s="8" t="s">
        <v>402</v>
      </c>
      <c r="D166" s="8" t="s">
        <v>315</v>
      </c>
      <c r="E166" s="9" t="s">
        <v>411</v>
      </c>
      <c r="F166" s="9" t="s">
        <v>306</v>
      </c>
      <c r="G166" s="8" t="s">
        <v>307</v>
      </c>
      <c r="H166" s="8" t="s">
        <v>302</v>
      </c>
      <c r="I166" s="8" t="s">
        <v>291</v>
      </c>
      <c r="J166" s="8" t="s">
        <v>292</v>
      </c>
      <c r="K166" s="8" t="s">
        <v>293</v>
      </c>
      <c r="L166" s="9" t="s">
        <v>294</v>
      </c>
      <c r="M166" s="8"/>
      <c r="N166" s="8" t="str">
        <f aca="true">IF(M166="","Active (per Notice 1)",IF(M166&lt;TODAY(),"Expired",IF(M166&lt;TODAY()+180,"Expiring Soon","Active")))</f>
        <v>Active (per Notice 1)</v>
      </c>
      <c r="O166" s="12" t="s">
        <v>305</v>
      </c>
      <c r="P166" s="8" t="s">
        <v>296</v>
      </c>
      <c r="Q166" s="8" t="n">
        <v>3.53</v>
      </c>
      <c r="R166" s="8" t="n">
        <v>2</v>
      </c>
      <c r="S166" s="11" t="n">
        <v>44551</v>
      </c>
      <c r="T166" s="8" t="str">
        <f aca="true">IF(S166="","",IF(EDATE(S166,60)&lt;TODAY(),"Expired",IF(EDATE(S166,60)&lt;TODAY()+180,"Expiring Soon","Valid")))</f>
        <v>Valid</v>
      </c>
      <c r="U166" s="8" t="str">
        <f aca="false">IF(P166="","",IF(P166="A++","Top Tier",IF(P166="A+","High",IF(P166="A","Strong",IF(LEFT(P166,1)="B","Acceptable",IF(LEFT(P166,1)="C","Below Avg","-"))))))</f>
        <v>Top Tier</v>
      </c>
      <c r="Y166" s="8" t="n">
        <v>2</v>
      </c>
      <c r="Z166" s="11" t="n">
        <v>46203</v>
      </c>
      <c r="AA166" s="8" t="s">
        <v>328</v>
      </c>
      <c r="AB166" s="8" t="s">
        <v>329</v>
      </c>
      <c r="AC166" s="8"/>
      <c r="AD166" s="8" t="n">
        <v>85</v>
      </c>
      <c r="AE166" s="8"/>
      <c r="AF166" s="8"/>
      <c r="AG166" s="8"/>
      <c r="AH166" s="8" t="n">
        <v>26</v>
      </c>
      <c r="AI166" s="8" t="n">
        <v>33</v>
      </c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customFormat="false" ht="23.25" hidden="false" customHeight="true" outlineLevel="0" collapsed="false">
      <c r="A167" s="8" t="n">
        <v>166</v>
      </c>
      <c r="B167" s="8" t="n">
        <v>26</v>
      </c>
      <c r="C167" s="8" t="s">
        <v>402</v>
      </c>
      <c r="D167" s="8" t="s">
        <v>315</v>
      </c>
      <c r="E167" s="9" t="s">
        <v>412</v>
      </c>
      <c r="F167" s="9" t="s">
        <v>413</v>
      </c>
      <c r="G167" s="8" t="s">
        <v>298</v>
      </c>
      <c r="H167" s="8" t="s">
        <v>290</v>
      </c>
      <c r="I167" s="8" t="s">
        <v>291</v>
      </c>
      <c r="J167" s="8" t="s">
        <v>292</v>
      </c>
      <c r="K167" s="8" t="s">
        <v>293</v>
      </c>
      <c r="L167" s="9" t="s">
        <v>294</v>
      </c>
      <c r="M167" s="8"/>
      <c r="N167" s="8" t="str">
        <f aca="true">IF(M167="","Active (per Notice 1)",IF(M167&lt;TODAY(),"Expired",IF(M167&lt;TODAY()+180,"Expiring Soon","Active")))</f>
        <v>Active (per Notice 1)</v>
      </c>
      <c r="O167" s="10" t="s">
        <v>295</v>
      </c>
      <c r="P167" s="8" t="s">
        <v>296</v>
      </c>
      <c r="Q167" s="8" t="n">
        <v>3.53</v>
      </c>
      <c r="R167" s="8" t="n">
        <v>2</v>
      </c>
      <c r="S167" s="11" t="n">
        <v>44977</v>
      </c>
      <c r="T167" s="8" t="str">
        <f aca="true">IF(S167="","",IF(EDATE(S167,60)&lt;TODAY(),"Expired",IF(EDATE(S167,60)&lt;TODAY()+180,"Expiring Soon","Valid")))</f>
        <v>Valid</v>
      </c>
      <c r="U167" s="8" t="str">
        <f aca="false">IF(P167="","",IF(P167="A++","Top Tier",IF(P167="A+","High",IF(P167="A","Strong",IF(LEFT(P167,1)="B","Acceptable",IF(LEFT(P167,1)="C","Below Avg","-"))))))</f>
        <v>Top Tier</v>
      </c>
      <c r="Y167" s="8" t="n">
        <v>2</v>
      </c>
      <c r="Z167" s="11" t="n">
        <v>45838</v>
      </c>
      <c r="AA167" s="8" t="s">
        <v>404</v>
      </c>
      <c r="AB167" s="8" t="s">
        <v>329</v>
      </c>
      <c r="AC167" s="8"/>
      <c r="AD167" s="8" t="n">
        <v>96</v>
      </c>
      <c r="AE167" s="8"/>
      <c r="AF167" s="8"/>
      <c r="AG167" s="8"/>
      <c r="AH167" s="8"/>
      <c r="AI167" s="8"/>
      <c r="AJ167" s="8" t="n">
        <v>33</v>
      </c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customFormat="false" ht="23.25" hidden="false" customHeight="true" outlineLevel="0" collapsed="false">
      <c r="A168" s="8" t="n">
        <v>167</v>
      </c>
      <c r="B168" s="8" t="n">
        <v>26</v>
      </c>
      <c r="C168" s="8" t="s">
        <v>402</v>
      </c>
      <c r="D168" s="8" t="s">
        <v>315</v>
      </c>
      <c r="E168" s="9" t="s">
        <v>412</v>
      </c>
      <c r="F168" s="9" t="s">
        <v>303</v>
      </c>
      <c r="G168" s="8" t="s">
        <v>304</v>
      </c>
      <c r="H168" s="8" t="s">
        <v>302</v>
      </c>
      <c r="I168" s="8" t="s">
        <v>291</v>
      </c>
      <c r="J168" s="8" t="s">
        <v>292</v>
      </c>
      <c r="K168" s="8" t="s">
        <v>293</v>
      </c>
      <c r="L168" s="9" t="s">
        <v>294</v>
      </c>
      <c r="M168" s="8"/>
      <c r="N168" s="8" t="str">
        <f aca="true">IF(M168="","Active (per Notice 1)",IF(M168&lt;TODAY(),"Expired",IF(M168&lt;TODAY()+180,"Expiring Soon","Active")))</f>
        <v>Active (per Notice 1)</v>
      </c>
      <c r="O168" s="13" t="s">
        <v>292</v>
      </c>
      <c r="P168" s="8" t="s">
        <v>296</v>
      </c>
      <c r="Q168" s="8" t="n">
        <v>3.53</v>
      </c>
      <c r="R168" s="8" t="n">
        <v>2</v>
      </c>
      <c r="S168" s="11" t="n">
        <v>44977</v>
      </c>
      <c r="T168" s="8" t="str">
        <f aca="true">IF(S168="","",IF(EDATE(S168,60)&lt;TODAY(),"Expired",IF(EDATE(S168,60)&lt;TODAY()+180,"Expiring Soon","Valid")))</f>
        <v>Valid</v>
      </c>
      <c r="U168" s="8" t="str">
        <f aca="false">IF(P168="","",IF(P168="A++","Top Tier",IF(P168="A+","High",IF(P168="A","Strong",IF(LEFT(P168,1)="B","Acceptable",IF(LEFT(P168,1)="C","Below Avg","-"))))))</f>
        <v>Top Tier</v>
      </c>
      <c r="Y168" s="8" t="n">
        <v>2</v>
      </c>
      <c r="Z168" s="11" t="n">
        <v>45838</v>
      </c>
      <c r="AA168" s="8" t="s">
        <v>404</v>
      </c>
      <c r="AB168" s="8" t="s">
        <v>329</v>
      </c>
      <c r="AC168" s="8"/>
      <c r="AD168" s="8" t="n">
        <v>96</v>
      </c>
      <c r="AE168" s="8"/>
      <c r="AF168" s="8"/>
      <c r="AG168" s="8"/>
      <c r="AH168" s="8"/>
      <c r="AI168" s="8"/>
      <c r="AJ168" s="8" t="n">
        <v>33</v>
      </c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customFormat="false" ht="23.25" hidden="false" customHeight="true" outlineLevel="0" collapsed="false">
      <c r="A169" s="8" t="n">
        <v>168</v>
      </c>
      <c r="B169" s="8" t="n">
        <v>26</v>
      </c>
      <c r="C169" s="8" t="s">
        <v>402</v>
      </c>
      <c r="D169" s="8" t="s">
        <v>315</v>
      </c>
      <c r="E169" s="9" t="s">
        <v>412</v>
      </c>
      <c r="F169" s="9" t="s">
        <v>306</v>
      </c>
      <c r="G169" s="8" t="s">
        <v>307</v>
      </c>
      <c r="H169" s="8" t="s">
        <v>302</v>
      </c>
      <c r="I169" s="8" t="s">
        <v>291</v>
      </c>
      <c r="J169" s="8" t="s">
        <v>292</v>
      </c>
      <c r="K169" s="8" t="s">
        <v>293</v>
      </c>
      <c r="L169" s="9" t="s">
        <v>294</v>
      </c>
      <c r="M169" s="8"/>
      <c r="N169" s="8" t="str">
        <f aca="true">IF(M169="","Active (per Notice 1)",IF(M169&lt;TODAY(),"Expired",IF(M169&lt;TODAY()+180,"Expiring Soon","Active")))</f>
        <v>Active (per Notice 1)</v>
      </c>
      <c r="O169" s="13" t="s">
        <v>292</v>
      </c>
      <c r="P169" s="8" t="s">
        <v>296</v>
      </c>
      <c r="Q169" s="8" t="n">
        <v>3.53</v>
      </c>
      <c r="R169" s="8" t="n">
        <v>2</v>
      </c>
      <c r="S169" s="11" t="n">
        <v>44977</v>
      </c>
      <c r="T169" s="8" t="str">
        <f aca="true">IF(S169="","",IF(EDATE(S169,60)&lt;TODAY(),"Expired",IF(EDATE(S169,60)&lt;TODAY()+180,"Expiring Soon","Valid")))</f>
        <v>Valid</v>
      </c>
      <c r="U169" s="8" t="str">
        <f aca="false">IF(P169="","",IF(P169="A++","Top Tier",IF(P169="A+","High",IF(P169="A","Strong",IF(LEFT(P169,1)="B","Acceptable",IF(LEFT(P169,1)="C","Below Avg","-"))))))</f>
        <v>Top Tier</v>
      </c>
      <c r="Y169" s="8" t="n">
        <v>2</v>
      </c>
      <c r="Z169" s="11" t="n">
        <v>45838</v>
      </c>
      <c r="AA169" s="8" t="s">
        <v>404</v>
      </c>
      <c r="AB169" s="8" t="s">
        <v>329</v>
      </c>
      <c r="AC169" s="8"/>
      <c r="AD169" s="8" t="n">
        <v>96</v>
      </c>
      <c r="AE169" s="8"/>
      <c r="AF169" s="8"/>
      <c r="AG169" s="8"/>
      <c r="AH169" s="8"/>
      <c r="AI169" s="8"/>
      <c r="AJ169" s="8" t="n">
        <v>33</v>
      </c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customFormat="false" ht="23.25" hidden="false" customHeight="true" outlineLevel="0" collapsed="false">
      <c r="A170" s="8" t="n">
        <v>169</v>
      </c>
      <c r="B170" s="8" t="n">
        <v>26</v>
      </c>
      <c r="C170" s="8" t="s">
        <v>402</v>
      </c>
      <c r="D170" s="8" t="s">
        <v>315</v>
      </c>
      <c r="E170" s="9" t="s">
        <v>412</v>
      </c>
      <c r="F170" s="9" t="s">
        <v>311</v>
      </c>
      <c r="G170" s="8" t="s">
        <v>301</v>
      </c>
      <c r="H170" s="8" t="s">
        <v>302</v>
      </c>
      <c r="I170" s="8" t="s">
        <v>291</v>
      </c>
      <c r="J170" s="8" t="s">
        <v>292</v>
      </c>
      <c r="K170" s="8" t="s">
        <v>293</v>
      </c>
      <c r="L170" s="9" t="s">
        <v>294</v>
      </c>
      <c r="M170" s="8"/>
      <c r="N170" s="8" t="str">
        <f aca="true">IF(M170="","Active (per Notice 1)",IF(M170&lt;TODAY(),"Expired",IF(M170&lt;TODAY()+180,"Expiring Soon","Active")))</f>
        <v>Active (per Notice 1)</v>
      </c>
      <c r="O170" s="10" t="s">
        <v>295</v>
      </c>
      <c r="P170" s="8" t="s">
        <v>296</v>
      </c>
      <c r="Q170" s="8" t="n">
        <v>3.53</v>
      </c>
      <c r="R170" s="8" t="n">
        <v>2</v>
      </c>
      <c r="S170" s="11" t="n">
        <v>44977</v>
      </c>
      <c r="T170" s="8" t="str">
        <f aca="true">IF(S170="","",IF(EDATE(S170,60)&lt;TODAY(),"Expired",IF(EDATE(S170,60)&lt;TODAY()+180,"Expiring Soon","Valid")))</f>
        <v>Valid</v>
      </c>
      <c r="U170" s="8" t="str">
        <f aca="false">IF(P170="","",IF(P170="A++","Top Tier",IF(P170="A+","High",IF(P170="A","Strong",IF(LEFT(P170,1)="B","Acceptable",IF(LEFT(P170,1)="C","Below Avg","-"))))))</f>
        <v>Top Tier</v>
      </c>
      <c r="Y170" s="8" t="n">
        <v>2</v>
      </c>
      <c r="Z170" s="11" t="n">
        <v>45838</v>
      </c>
      <c r="AA170" s="8" t="s">
        <v>404</v>
      </c>
      <c r="AB170" s="8" t="s">
        <v>329</v>
      </c>
      <c r="AC170" s="8"/>
      <c r="AD170" s="8" t="n">
        <v>96</v>
      </c>
      <c r="AE170" s="8"/>
      <c r="AF170" s="8"/>
      <c r="AG170" s="8"/>
      <c r="AH170" s="8"/>
      <c r="AI170" s="8"/>
      <c r="AJ170" s="8" t="n">
        <v>33</v>
      </c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customFormat="false" ht="23.25" hidden="false" customHeight="true" outlineLevel="0" collapsed="false">
      <c r="A171" s="8" t="n">
        <v>170</v>
      </c>
      <c r="B171" s="8" t="n">
        <v>26</v>
      </c>
      <c r="C171" s="8" t="s">
        <v>402</v>
      </c>
      <c r="D171" s="8" t="s">
        <v>315</v>
      </c>
      <c r="E171" s="9" t="s">
        <v>412</v>
      </c>
      <c r="F171" s="9" t="s">
        <v>312</v>
      </c>
      <c r="G171" s="8" t="s">
        <v>301</v>
      </c>
      <c r="H171" s="8" t="s">
        <v>302</v>
      </c>
      <c r="I171" s="8" t="s">
        <v>291</v>
      </c>
      <c r="J171" s="8" t="s">
        <v>292</v>
      </c>
      <c r="K171" s="8" t="s">
        <v>293</v>
      </c>
      <c r="L171" s="9" t="s">
        <v>294</v>
      </c>
      <c r="M171" s="8"/>
      <c r="N171" s="8" t="str">
        <f aca="true">IF(M171="","Active (per Notice 1)",IF(M171&lt;TODAY(),"Expired",IF(M171&lt;TODAY()+180,"Expiring Soon","Active")))</f>
        <v>Active (per Notice 1)</v>
      </c>
      <c r="O171" s="10" t="s">
        <v>295</v>
      </c>
      <c r="P171" s="8" t="s">
        <v>296</v>
      </c>
      <c r="Q171" s="8" t="n">
        <v>3.53</v>
      </c>
      <c r="R171" s="8" t="n">
        <v>2</v>
      </c>
      <c r="S171" s="11" t="n">
        <v>44977</v>
      </c>
      <c r="T171" s="8" t="str">
        <f aca="true">IF(S171="","",IF(EDATE(S171,60)&lt;TODAY(),"Expired",IF(EDATE(S171,60)&lt;TODAY()+180,"Expiring Soon","Valid")))</f>
        <v>Valid</v>
      </c>
      <c r="U171" s="8" t="str">
        <f aca="false">IF(P171="","",IF(P171="A++","Top Tier",IF(P171="A+","High",IF(P171="A","Strong",IF(LEFT(P171,1)="B","Acceptable",IF(LEFT(P171,1)="C","Below Avg","-"))))))</f>
        <v>Top Tier</v>
      </c>
      <c r="Y171" s="8" t="n">
        <v>2</v>
      </c>
      <c r="Z171" s="11" t="n">
        <v>45838</v>
      </c>
      <c r="AA171" s="8" t="s">
        <v>404</v>
      </c>
      <c r="AB171" s="8" t="s">
        <v>329</v>
      </c>
      <c r="AC171" s="8"/>
      <c r="AD171" s="8" t="n">
        <v>96</v>
      </c>
      <c r="AE171" s="8"/>
      <c r="AF171" s="8"/>
      <c r="AG171" s="8"/>
      <c r="AH171" s="8"/>
      <c r="AI171" s="8"/>
      <c r="AJ171" s="8" t="n">
        <v>33</v>
      </c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customFormat="false" ht="23.25" hidden="false" customHeight="true" outlineLevel="0" collapsed="false">
      <c r="A172" s="8" t="n">
        <v>171</v>
      </c>
      <c r="B172" s="8" t="n">
        <v>27</v>
      </c>
      <c r="C172" s="8" t="s">
        <v>402</v>
      </c>
      <c r="D172" s="8" t="s">
        <v>333</v>
      </c>
      <c r="E172" s="9" t="s">
        <v>414</v>
      </c>
      <c r="F172" s="9" t="s">
        <v>317</v>
      </c>
      <c r="G172" s="8" t="s">
        <v>318</v>
      </c>
      <c r="H172" s="8" t="s">
        <v>290</v>
      </c>
      <c r="I172" s="8" t="s">
        <v>291</v>
      </c>
      <c r="J172" s="8" t="s">
        <v>292</v>
      </c>
      <c r="K172" s="8" t="s">
        <v>293</v>
      </c>
      <c r="L172" s="9" t="s">
        <v>294</v>
      </c>
      <c r="M172" s="8"/>
      <c r="N172" s="8" t="str">
        <f aca="true">IF(M172="","Active (per Notice 1)",IF(M172&lt;TODAY(),"Expired",IF(M172&lt;TODAY()+180,"Expiring Soon","Active")))</f>
        <v>Active (per Notice 1)</v>
      </c>
      <c r="O172" s="12" t="s">
        <v>305</v>
      </c>
      <c r="P172" s="8" t="s">
        <v>327</v>
      </c>
      <c r="Q172" s="8" t="n">
        <v>3.33</v>
      </c>
      <c r="R172" s="8" t="n">
        <v>1</v>
      </c>
      <c r="S172" s="11" t="n">
        <v>45211</v>
      </c>
      <c r="T172" s="8" t="str">
        <f aca="true">IF(S172="","",IF(EDATE(S172,60)&lt;TODAY(),"Expired",IF(EDATE(S172,60)&lt;TODAY()+180,"Expiring Soon","Valid")))</f>
        <v>Valid</v>
      </c>
      <c r="U172" s="8" t="str">
        <f aca="false">IF(P172="","",IF(P172="A++","Top Tier",IF(P172="A+","High",IF(P172="A","Strong",IF(LEFT(P172,1)="B","Acceptable",IF(LEFT(P172,1)="C","Below Avg","-"))))))</f>
        <v>High</v>
      </c>
      <c r="AC172" s="8"/>
      <c r="AD172" s="8"/>
      <c r="AE172" s="8"/>
      <c r="AF172" s="8"/>
      <c r="AG172" s="8"/>
      <c r="AH172" s="8" t="n">
        <v>100</v>
      </c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customFormat="false" ht="23.25" hidden="false" customHeight="true" outlineLevel="0" collapsed="false">
      <c r="A173" s="8" t="n">
        <v>172</v>
      </c>
      <c r="B173" s="8" t="n">
        <v>27</v>
      </c>
      <c r="C173" s="8" t="s">
        <v>402</v>
      </c>
      <c r="D173" s="8" t="s">
        <v>333</v>
      </c>
      <c r="E173" s="9" t="s">
        <v>414</v>
      </c>
      <c r="F173" s="9" t="s">
        <v>319</v>
      </c>
      <c r="G173" s="8" t="s">
        <v>320</v>
      </c>
      <c r="H173" s="8" t="s">
        <v>290</v>
      </c>
      <c r="I173" s="8" t="s">
        <v>291</v>
      </c>
      <c r="J173" s="8" t="s">
        <v>292</v>
      </c>
      <c r="K173" s="8" t="s">
        <v>293</v>
      </c>
      <c r="L173" s="9" t="s">
        <v>294</v>
      </c>
      <c r="M173" s="8"/>
      <c r="N173" s="8" t="str">
        <f aca="true">IF(M173="","Active (per Notice 1)",IF(M173&lt;TODAY(),"Expired",IF(M173&lt;TODAY()+180,"Expiring Soon","Active")))</f>
        <v>Active (per Notice 1)</v>
      </c>
      <c r="O173" s="12" t="s">
        <v>305</v>
      </c>
      <c r="P173" s="8" t="s">
        <v>327</v>
      </c>
      <c r="Q173" s="8" t="n">
        <v>3.33</v>
      </c>
      <c r="R173" s="8" t="n">
        <v>1</v>
      </c>
      <c r="S173" s="11" t="n">
        <v>45211</v>
      </c>
      <c r="T173" s="8" t="str">
        <f aca="true">IF(S173="","",IF(EDATE(S173,60)&lt;TODAY(),"Expired",IF(EDATE(S173,60)&lt;TODAY()+180,"Expiring Soon","Valid")))</f>
        <v>Valid</v>
      </c>
      <c r="U173" s="8" t="str">
        <f aca="false">IF(P173="","",IF(P173="A++","Top Tier",IF(P173="A+","High",IF(P173="A","Strong",IF(LEFT(P173,1)="B","Acceptable",IF(LEFT(P173,1)="C","Below Avg","-"))))))</f>
        <v>High</v>
      </c>
      <c r="AC173" s="8"/>
      <c r="AD173" s="8"/>
      <c r="AE173" s="8"/>
      <c r="AF173" s="8"/>
      <c r="AG173" s="8"/>
      <c r="AH173" s="8" t="n">
        <v>100</v>
      </c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customFormat="false" ht="23.25" hidden="false" customHeight="true" outlineLevel="0" collapsed="false">
      <c r="A174" s="8" t="n">
        <v>173</v>
      </c>
      <c r="B174" s="8" t="n">
        <v>27</v>
      </c>
      <c r="C174" s="8" t="s">
        <v>402</v>
      </c>
      <c r="D174" s="8" t="s">
        <v>333</v>
      </c>
      <c r="E174" s="9" t="s">
        <v>414</v>
      </c>
      <c r="F174" s="9" t="s">
        <v>359</v>
      </c>
      <c r="G174" s="8" t="s">
        <v>289</v>
      </c>
      <c r="H174" s="8" t="s">
        <v>290</v>
      </c>
      <c r="I174" s="8" t="s">
        <v>291</v>
      </c>
      <c r="J174" s="8" t="s">
        <v>292</v>
      </c>
      <c r="K174" s="8" t="s">
        <v>293</v>
      </c>
      <c r="L174" s="9" t="s">
        <v>294</v>
      </c>
      <c r="M174" s="8"/>
      <c r="N174" s="8" t="str">
        <f aca="true">IF(M174="","Active (per Notice 1)",IF(M174&lt;TODAY(),"Expired",IF(M174&lt;TODAY()+180,"Expiring Soon","Active")))</f>
        <v>Active (per Notice 1)</v>
      </c>
      <c r="O174" s="10" t="s">
        <v>295</v>
      </c>
      <c r="P174" s="8" t="s">
        <v>327</v>
      </c>
      <c r="Q174" s="8" t="n">
        <v>3.33</v>
      </c>
      <c r="R174" s="8" t="n">
        <v>1</v>
      </c>
      <c r="S174" s="11" t="n">
        <v>45211</v>
      </c>
      <c r="T174" s="8" t="str">
        <f aca="true">IF(S174="","",IF(EDATE(S174,60)&lt;TODAY(),"Expired",IF(EDATE(S174,60)&lt;TODAY()+180,"Expiring Soon","Valid")))</f>
        <v>Valid</v>
      </c>
      <c r="U174" s="8" t="str">
        <f aca="false">IF(P174="","",IF(P174="A++","Top Tier",IF(P174="A+","High",IF(P174="A","Strong",IF(LEFT(P174,1)="B","Acceptable",IF(LEFT(P174,1)="C","Below Avg","-"))))))</f>
        <v>High</v>
      </c>
      <c r="AC174" s="8"/>
      <c r="AD174" s="8"/>
      <c r="AE174" s="8"/>
      <c r="AF174" s="8"/>
      <c r="AG174" s="8"/>
      <c r="AH174" s="8" t="n">
        <v>100</v>
      </c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customFormat="false" ht="23.25" hidden="false" customHeight="true" outlineLevel="0" collapsed="false">
      <c r="A175" s="8" t="n">
        <v>174</v>
      </c>
      <c r="B175" s="8" t="n">
        <v>27</v>
      </c>
      <c r="C175" s="8" t="s">
        <v>402</v>
      </c>
      <c r="D175" s="8" t="s">
        <v>333</v>
      </c>
      <c r="E175" s="9" t="s">
        <v>414</v>
      </c>
      <c r="F175" s="9" t="s">
        <v>303</v>
      </c>
      <c r="G175" s="8" t="s">
        <v>304</v>
      </c>
      <c r="H175" s="8" t="s">
        <v>302</v>
      </c>
      <c r="I175" s="8" t="s">
        <v>291</v>
      </c>
      <c r="J175" s="8" t="s">
        <v>292</v>
      </c>
      <c r="K175" s="8" t="s">
        <v>293</v>
      </c>
      <c r="L175" s="9" t="s">
        <v>294</v>
      </c>
      <c r="M175" s="8"/>
      <c r="N175" s="8" t="str">
        <f aca="true">IF(M175="","Active (per Notice 1)",IF(M175&lt;TODAY(),"Expired",IF(M175&lt;TODAY()+180,"Expiring Soon","Active")))</f>
        <v>Active (per Notice 1)</v>
      </c>
      <c r="O175" s="12" t="s">
        <v>305</v>
      </c>
      <c r="P175" s="8" t="s">
        <v>327</v>
      </c>
      <c r="Q175" s="8" t="n">
        <v>3.33</v>
      </c>
      <c r="R175" s="8" t="n">
        <v>1</v>
      </c>
      <c r="S175" s="11" t="n">
        <v>45211</v>
      </c>
      <c r="T175" s="8" t="str">
        <f aca="true">IF(S175="","",IF(EDATE(S175,60)&lt;TODAY(),"Expired",IF(EDATE(S175,60)&lt;TODAY()+180,"Expiring Soon","Valid")))</f>
        <v>Valid</v>
      </c>
      <c r="U175" s="8" t="str">
        <f aca="false">IF(P175="","",IF(P175="A++","Top Tier",IF(P175="A+","High",IF(P175="A","Strong",IF(LEFT(P175,1)="B","Acceptable",IF(LEFT(P175,1)="C","Below Avg","-"))))))</f>
        <v>High</v>
      </c>
      <c r="AC175" s="8"/>
      <c r="AD175" s="8"/>
      <c r="AE175" s="8"/>
      <c r="AF175" s="8"/>
      <c r="AG175" s="8"/>
      <c r="AH175" s="8" t="n">
        <v>100</v>
      </c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customFormat="false" ht="23.25" hidden="false" customHeight="true" outlineLevel="0" collapsed="false">
      <c r="A176" s="8" t="n">
        <v>175</v>
      </c>
      <c r="B176" s="8" t="n">
        <v>27</v>
      </c>
      <c r="C176" s="8" t="s">
        <v>402</v>
      </c>
      <c r="D176" s="8" t="s">
        <v>333</v>
      </c>
      <c r="E176" s="9" t="s">
        <v>414</v>
      </c>
      <c r="F176" s="9" t="s">
        <v>306</v>
      </c>
      <c r="G176" s="8" t="s">
        <v>307</v>
      </c>
      <c r="H176" s="8" t="s">
        <v>302</v>
      </c>
      <c r="I176" s="8" t="s">
        <v>291</v>
      </c>
      <c r="J176" s="8" t="s">
        <v>292</v>
      </c>
      <c r="K176" s="8" t="s">
        <v>293</v>
      </c>
      <c r="L176" s="9" t="s">
        <v>294</v>
      </c>
      <c r="M176" s="8"/>
      <c r="N176" s="8" t="str">
        <f aca="true">IF(M176="","Active (per Notice 1)",IF(M176&lt;TODAY(),"Expired",IF(M176&lt;TODAY()+180,"Expiring Soon","Active")))</f>
        <v>Active (per Notice 1)</v>
      </c>
      <c r="O176" s="12" t="s">
        <v>305</v>
      </c>
      <c r="P176" s="8" t="s">
        <v>327</v>
      </c>
      <c r="Q176" s="8" t="n">
        <v>3.33</v>
      </c>
      <c r="R176" s="8" t="n">
        <v>1</v>
      </c>
      <c r="S176" s="11" t="n">
        <v>45211</v>
      </c>
      <c r="T176" s="8" t="str">
        <f aca="true">IF(S176="","",IF(EDATE(S176,60)&lt;TODAY(),"Expired",IF(EDATE(S176,60)&lt;TODAY()+180,"Expiring Soon","Valid")))</f>
        <v>Valid</v>
      </c>
      <c r="U176" s="8" t="str">
        <f aca="false">IF(P176="","",IF(P176="A++","Top Tier",IF(P176="A+","High",IF(P176="A","Strong",IF(LEFT(P176,1)="B","Acceptable",IF(LEFT(P176,1)="C","Below Avg","-"))))))</f>
        <v>High</v>
      </c>
      <c r="AC176" s="8"/>
      <c r="AD176" s="8"/>
      <c r="AE176" s="8"/>
      <c r="AF176" s="8"/>
      <c r="AG176" s="8"/>
      <c r="AH176" s="8" t="n">
        <v>100</v>
      </c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customFormat="false" ht="23.25" hidden="false" customHeight="true" outlineLevel="0" collapsed="false">
      <c r="A177" s="8" t="n">
        <v>176</v>
      </c>
      <c r="B177" s="8" t="n">
        <v>28</v>
      </c>
      <c r="C177" s="8" t="s">
        <v>415</v>
      </c>
      <c r="D177" s="8" t="s">
        <v>333</v>
      </c>
      <c r="E177" s="9" t="s">
        <v>416</v>
      </c>
      <c r="F177" s="9" t="s">
        <v>319</v>
      </c>
      <c r="G177" s="8" t="s">
        <v>320</v>
      </c>
      <c r="H177" s="8" t="s">
        <v>290</v>
      </c>
      <c r="I177" s="8" t="s">
        <v>291</v>
      </c>
      <c r="J177" s="8" t="s">
        <v>292</v>
      </c>
      <c r="K177" s="8" t="s">
        <v>293</v>
      </c>
      <c r="L177" s="9" t="s">
        <v>294</v>
      </c>
      <c r="M177" s="8"/>
      <c r="N177" s="8" t="str">
        <f aca="true">IF(M177="","Active (per Notice 1)",IF(M177&lt;TODAY(),"Expired",IF(M177&lt;TODAY()+180,"Expiring Soon","Active")))</f>
        <v>Active (per Notice 1)</v>
      </c>
      <c r="O177" s="12" t="s">
        <v>305</v>
      </c>
      <c r="P177" s="8" t="s">
        <v>327</v>
      </c>
      <c r="Q177" s="8" t="n">
        <v>3.3</v>
      </c>
      <c r="R177" s="8" t="n">
        <v>2</v>
      </c>
      <c r="S177" s="11" t="n">
        <v>45617</v>
      </c>
      <c r="T177" s="8" t="str">
        <f aca="true">IF(S177="","",IF(EDATE(S177,60)&lt;TODAY(),"Expired",IF(EDATE(S177,60)&lt;TODAY()+180,"Expiring Soon","Valid")))</f>
        <v>Valid</v>
      </c>
      <c r="U177" s="8" t="str">
        <f aca="false">IF(P177="","",IF(P177="A++","Top Tier",IF(P177="A+","High",IF(P177="A","Strong",IF(LEFT(P177,1)="B","Acceptable",IF(LEFT(P177,1)="C","Below Avg","-"))))))</f>
        <v>High</v>
      </c>
      <c r="AC177" s="8"/>
      <c r="AD177" s="8" t="n">
        <v>69</v>
      </c>
      <c r="AE177" s="8"/>
      <c r="AF177" s="8"/>
      <c r="AG177" s="8"/>
      <c r="AH177" s="8" t="n">
        <v>44</v>
      </c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customFormat="false" ht="23.25" hidden="false" customHeight="true" outlineLevel="0" collapsed="false">
      <c r="A178" s="8" t="n">
        <v>177</v>
      </c>
      <c r="B178" s="8" t="n">
        <v>28</v>
      </c>
      <c r="C178" s="8" t="s">
        <v>415</v>
      </c>
      <c r="D178" s="8" t="s">
        <v>333</v>
      </c>
      <c r="E178" s="9" t="s">
        <v>416</v>
      </c>
      <c r="F178" s="9" t="s">
        <v>317</v>
      </c>
      <c r="G178" s="8" t="s">
        <v>318</v>
      </c>
      <c r="H178" s="8" t="s">
        <v>290</v>
      </c>
      <c r="I178" s="8" t="s">
        <v>291</v>
      </c>
      <c r="J178" s="8" t="s">
        <v>292</v>
      </c>
      <c r="K178" s="8" t="s">
        <v>293</v>
      </c>
      <c r="L178" s="9" t="s">
        <v>294</v>
      </c>
      <c r="M178" s="8"/>
      <c r="N178" s="8" t="str">
        <f aca="true">IF(M178="","Active (per Notice 1)",IF(M178&lt;TODAY(),"Expired",IF(M178&lt;TODAY()+180,"Expiring Soon","Active")))</f>
        <v>Active (per Notice 1)</v>
      </c>
      <c r="O178" s="12" t="s">
        <v>305</v>
      </c>
      <c r="P178" s="8" t="s">
        <v>327</v>
      </c>
      <c r="Q178" s="8" t="n">
        <v>3.3</v>
      </c>
      <c r="R178" s="8" t="n">
        <v>2</v>
      </c>
      <c r="S178" s="11" t="n">
        <v>45617</v>
      </c>
      <c r="T178" s="8" t="str">
        <f aca="true">IF(S178="","",IF(EDATE(S178,60)&lt;TODAY(),"Expired",IF(EDATE(S178,60)&lt;TODAY()+180,"Expiring Soon","Valid")))</f>
        <v>Valid</v>
      </c>
      <c r="U178" s="8" t="str">
        <f aca="false">IF(P178="","",IF(P178="A++","Top Tier",IF(P178="A+","High",IF(P178="A","Strong",IF(LEFT(P178,1)="B","Acceptable",IF(LEFT(P178,1)="C","Below Avg","-"))))))</f>
        <v>High</v>
      </c>
      <c r="AC178" s="8"/>
      <c r="AD178" s="8" t="n">
        <v>69</v>
      </c>
      <c r="AE178" s="8"/>
      <c r="AF178" s="8"/>
      <c r="AG178" s="8"/>
      <c r="AH178" s="8" t="n">
        <v>44</v>
      </c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customFormat="false" ht="23.25" hidden="false" customHeight="true" outlineLevel="0" collapsed="false">
      <c r="A179" s="8" t="n">
        <v>178</v>
      </c>
      <c r="B179" s="8" t="n">
        <v>28</v>
      </c>
      <c r="C179" s="8" t="s">
        <v>415</v>
      </c>
      <c r="D179" s="8" t="s">
        <v>333</v>
      </c>
      <c r="E179" s="9" t="s">
        <v>416</v>
      </c>
      <c r="F179" s="9" t="s">
        <v>417</v>
      </c>
      <c r="G179" s="8" t="s">
        <v>289</v>
      </c>
      <c r="H179" s="8" t="s">
        <v>290</v>
      </c>
      <c r="I179" s="8" t="s">
        <v>291</v>
      </c>
      <c r="J179" s="8" t="s">
        <v>292</v>
      </c>
      <c r="K179" s="8" t="s">
        <v>293</v>
      </c>
      <c r="L179" s="9" t="s">
        <v>294</v>
      </c>
      <c r="M179" s="8"/>
      <c r="N179" s="8" t="str">
        <f aca="true">IF(M179="","Active (per Notice 1)",IF(M179&lt;TODAY(),"Expired",IF(M179&lt;TODAY()+180,"Expiring Soon","Active")))</f>
        <v>Active (per Notice 1)</v>
      </c>
      <c r="O179" s="10" t="s">
        <v>295</v>
      </c>
      <c r="P179" s="8" t="s">
        <v>327</v>
      </c>
      <c r="Q179" s="8" t="n">
        <v>3.3</v>
      </c>
      <c r="R179" s="8" t="n">
        <v>2</v>
      </c>
      <c r="S179" s="11" t="n">
        <v>45617</v>
      </c>
      <c r="T179" s="8" t="str">
        <f aca="true">IF(S179="","",IF(EDATE(S179,60)&lt;TODAY(),"Expired",IF(EDATE(S179,60)&lt;TODAY()+180,"Expiring Soon","Valid")))</f>
        <v>Valid</v>
      </c>
      <c r="U179" s="8" t="str">
        <f aca="false">IF(P179="","",IF(P179="A++","Top Tier",IF(P179="A+","High",IF(P179="A","Strong",IF(LEFT(P179,1)="B","Acceptable",IF(LEFT(P179,1)="C","Below Avg","-"))))))</f>
        <v>High</v>
      </c>
      <c r="AC179" s="8"/>
      <c r="AD179" s="8" t="n">
        <v>69</v>
      </c>
      <c r="AE179" s="8"/>
      <c r="AF179" s="8"/>
      <c r="AG179" s="8"/>
      <c r="AH179" s="8" t="n">
        <v>44</v>
      </c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customFormat="false" ht="23.25" hidden="false" customHeight="true" outlineLevel="0" collapsed="false">
      <c r="A180" s="8" t="n">
        <v>179</v>
      </c>
      <c r="B180" s="8" t="n">
        <v>28</v>
      </c>
      <c r="C180" s="8" t="s">
        <v>415</v>
      </c>
      <c r="D180" s="8" t="s">
        <v>333</v>
      </c>
      <c r="E180" s="9" t="s">
        <v>416</v>
      </c>
      <c r="F180" s="9" t="s">
        <v>348</v>
      </c>
      <c r="G180" s="8" t="s">
        <v>301</v>
      </c>
      <c r="H180" s="8" t="s">
        <v>302</v>
      </c>
      <c r="I180" s="8" t="s">
        <v>291</v>
      </c>
      <c r="J180" s="8" t="s">
        <v>292</v>
      </c>
      <c r="K180" s="8" t="s">
        <v>293</v>
      </c>
      <c r="L180" s="9" t="s">
        <v>294</v>
      </c>
      <c r="M180" s="8"/>
      <c r="N180" s="8" t="str">
        <f aca="true">IF(M180="","Active (per Notice 1)",IF(M180&lt;TODAY(),"Expired",IF(M180&lt;TODAY()+180,"Expiring Soon","Active")))</f>
        <v>Active (per Notice 1)</v>
      </c>
      <c r="O180" s="10" t="s">
        <v>295</v>
      </c>
      <c r="P180" s="8" t="s">
        <v>327</v>
      </c>
      <c r="Q180" s="8" t="n">
        <v>3.3</v>
      </c>
      <c r="R180" s="8" t="n">
        <v>2</v>
      </c>
      <c r="S180" s="11" t="n">
        <v>45617</v>
      </c>
      <c r="T180" s="8" t="str">
        <f aca="true">IF(S180="","",IF(EDATE(S180,60)&lt;TODAY(),"Expired",IF(EDATE(S180,60)&lt;TODAY()+180,"Expiring Soon","Valid")))</f>
        <v>Valid</v>
      </c>
      <c r="U180" s="8" t="str">
        <f aca="false">IF(P180="","",IF(P180="A++","Top Tier",IF(P180="A+","High",IF(P180="A","Strong",IF(LEFT(P180,1)="B","Acceptable",IF(LEFT(P180,1)="C","Below Avg","-"))))))</f>
        <v>High</v>
      </c>
      <c r="AC180" s="8"/>
      <c r="AD180" s="8" t="n">
        <v>69</v>
      </c>
      <c r="AE180" s="8"/>
      <c r="AF180" s="8"/>
      <c r="AG180" s="8"/>
      <c r="AH180" s="8" t="n">
        <v>44</v>
      </c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customFormat="false" ht="23.25" hidden="false" customHeight="true" outlineLevel="0" collapsed="false">
      <c r="A181" s="8" t="n">
        <v>180</v>
      </c>
      <c r="B181" s="8" t="n">
        <v>28</v>
      </c>
      <c r="C181" s="8" t="s">
        <v>415</v>
      </c>
      <c r="D181" s="8" t="s">
        <v>333</v>
      </c>
      <c r="E181" s="9" t="s">
        <v>416</v>
      </c>
      <c r="F181" s="9" t="s">
        <v>303</v>
      </c>
      <c r="G181" s="8" t="s">
        <v>304</v>
      </c>
      <c r="H181" s="8" t="s">
        <v>302</v>
      </c>
      <c r="I181" s="8" t="s">
        <v>291</v>
      </c>
      <c r="J181" s="8" t="s">
        <v>292</v>
      </c>
      <c r="K181" s="8" t="s">
        <v>293</v>
      </c>
      <c r="L181" s="9" t="s">
        <v>294</v>
      </c>
      <c r="M181" s="8"/>
      <c r="N181" s="8" t="str">
        <f aca="true">IF(M181="","Active (per Notice 1)",IF(M181&lt;TODAY(),"Expired",IF(M181&lt;TODAY()+180,"Expiring Soon","Active")))</f>
        <v>Active (per Notice 1)</v>
      </c>
      <c r="O181" s="12" t="s">
        <v>305</v>
      </c>
      <c r="P181" s="8" t="s">
        <v>327</v>
      </c>
      <c r="Q181" s="8" t="n">
        <v>3.3</v>
      </c>
      <c r="R181" s="8" t="n">
        <v>2</v>
      </c>
      <c r="S181" s="11" t="n">
        <v>45617</v>
      </c>
      <c r="T181" s="8" t="str">
        <f aca="true">IF(S181="","",IF(EDATE(S181,60)&lt;TODAY(),"Expired",IF(EDATE(S181,60)&lt;TODAY()+180,"Expiring Soon","Valid")))</f>
        <v>Valid</v>
      </c>
      <c r="U181" s="8" t="str">
        <f aca="false">IF(P181="","",IF(P181="A++","Top Tier",IF(P181="A+","High",IF(P181="A","Strong",IF(LEFT(P181,1)="B","Acceptable",IF(LEFT(P181,1)="C","Below Avg","-"))))))</f>
        <v>High</v>
      </c>
      <c r="AC181" s="8"/>
      <c r="AD181" s="8" t="n">
        <v>69</v>
      </c>
      <c r="AE181" s="8"/>
      <c r="AF181" s="8"/>
      <c r="AG181" s="8"/>
      <c r="AH181" s="8" t="n">
        <v>44</v>
      </c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customFormat="false" ht="23.25" hidden="false" customHeight="true" outlineLevel="0" collapsed="false">
      <c r="A182" s="8" t="n">
        <v>181</v>
      </c>
      <c r="B182" s="8" t="n">
        <v>28</v>
      </c>
      <c r="C182" s="8" t="s">
        <v>415</v>
      </c>
      <c r="D182" s="8" t="s">
        <v>333</v>
      </c>
      <c r="E182" s="9" t="s">
        <v>416</v>
      </c>
      <c r="F182" s="9" t="s">
        <v>418</v>
      </c>
      <c r="G182" s="8" t="s">
        <v>307</v>
      </c>
      <c r="H182" s="8" t="s">
        <v>302</v>
      </c>
      <c r="I182" s="8" t="s">
        <v>291</v>
      </c>
      <c r="J182" s="8" t="s">
        <v>292</v>
      </c>
      <c r="K182" s="8" t="s">
        <v>293</v>
      </c>
      <c r="L182" s="9" t="s">
        <v>294</v>
      </c>
      <c r="M182" s="8"/>
      <c r="N182" s="8" t="str">
        <f aca="true">IF(M182="","Active (per Notice 1)",IF(M182&lt;TODAY(),"Expired",IF(M182&lt;TODAY()+180,"Expiring Soon","Active")))</f>
        <v>Active (per Notice 1)</v>
      </c>
      <c r="O182" s="12" t="s">
        <v>305</v>
      </c>
      <c r="P182" s="8" t="s">
        <v>327</v>
      </c>
      <c r="Q182" s="8" t="n">
        <v>3.3</v>
      </c>
      <c r="R182" s="8" t="n">
        <v>2</v>
      </c>
      <c r="S182" s="11" t="n">
        <v>45617</v>
      </c>
      <c r="T182" s="8" t="str">
        <f aca="true">IF(S182="","",IF(EDATE(S182,60)&lt;TODAY(),"Expired",IF(EDATE(S182,60)&lt;TODAY()+180,"Expiring Soon","Valid")))</f>
        <v>Valid</v>
      </c>
      <c r="U182" s="8" t="str">
        <f aca="false">IF(P182="","",IF(P182="A++","Top Tier",IF(P182="A+","High",IF(P182="A","Strong",IF(LEFT(P182,1)="B","Acceptable",IF(LEFT(P182,1)="C","Below Avg","-"))))))</f>
        <v>High</v>
      </c>
      <c r="AC182" s="8"/>
      <c r="AD182" s="8" t="n">
        <v>69</v>
      </c>
      <c r="AE182" s="8"/>
      <c r="AF182" s="8"/>
      <c r="AG182" s="8"/>
      <c r="AH182" s="8" t="n">
        <v>44</v>
      </c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customFormat="false" ht="23.25" hidden="false" customHeight="true" outlineLevel="0" collapsed="false">
      <c r="A183" s="8" t="n">
        <v>182</v>
      </c>
      <c r="B183" s="8" t="n">
        <v>28</v>
      </c>
      <c r="C183" s="8" t="s">
        <v>415</v>
      </c>
      <c r="D183" s="8" t="s">
        <v>333</v>
      </c>
      <c r="E183" s="9" t="s">
        <v>416</v>
      </c>
      <c r="F183" s="9" t="s">
        <v>401</v>
      </c>
      <c r="G183" s="8" t="s">
        <v>386</v>
      </c>
      <c r="H183" s="8" t="s">
        <v>302</v>
      </c>
      <c r="I183" s="8" t="s">
        <v>291</v>
      </c>
      <c r="J183" s="8" t="s">
        <v>292</v>
      </c>
      <c r="K183" s="8" t="s">
        <v>293</v>
      </c>
      <c r="L183" s="9" t="s">
        <v>294</v>
      </c>
      <c r="M183" s="8"/>
      <c r="N183" s="8" t="str">
        <f aca="true">IF(M183="","Active (per Notice 1)",IF(M183&lt;TODAY(),"Expired",IF(M183&lt;TODAY()+180,"Expiring Soon","Active")))</f>
        <v>Active (per Notice 1)</v>
      </c>
      <c r="O183" s="10" t="s">
        <v>295</v>
      </c>
      <c r="P183" s="8" t="s">
        <v>327</v>
      </c>
      <c r="Q183" s="8" t="n">
        <v>3.3</v>
      </c>
      <c r="R183" s="8" t="n">
        <v>2</v>
      </c>
      <c r="S183" s="11" t="n">
        <v>45617</v>
      </c>
      <c r="T183" s="8" t="str">
        <f aca="true">IF(S183="","",IF(EDATE(S183,60)&lt;TODAY(),"Expired",IF(EDATE(S183,60)&lt;TODAY()+180,"Expiring Soon","Valid")))</f>
        <v>Valid</v>
      </c>
      <c r="U183" s="8" t="str">
        <f aca="false">IF(P183="","",IF(P183="A++","Top Tier",IF(P183="A+","High",IF(P183="A","Strong",IF(LEFT(P183,1)="B","Acceptable",IF(LEFT(P183,1)="C","Below Avg","-"))))))</f>
        <v>High</v>
      </c>
      <c r="AC183" s="8"/>
      <c r="AD183" s="8" t="n">
        <v>69</v>
      </c>
      <c r="AE183" s="8"/>
      <c r="AF183" s="8"/>
      <c r="AG183" s="8"/>
      <c r="AH183" s="8" t="n">
        <v>44</v>
      </c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customFormat="false" ht="23.25" hidden="false" customHeight="true" outlineLevel="0" collapsed="false">
      <c r="A184" s="8" t="n">
        <v>183</v>
      </c>
      <c r="B184" s="8" t="n">
        <v>28</v>
      </c>
      <c r="C184" s="8" t="s">
        <v>415</v>
      </c>
      <c r="D184" s="8" t="s">
        <v>333</v>
      </c>
      <c r="E184" s="9" t="s">
        <v>416</v>
      </c>
      <c r="F184" s="9" t="s">
        <v>314</v>
      </c>
      <c r="G184" s="8" t="s">
        <v>301</v>
      </c>
      <c r="H184" s="8" t="s">
        <v>302</v>
      </c>
      <c r="I184" s="8" t="s">
        <v>291</v>
      </c>
      <c r="J184" s="8" t="s">
        <v>292</v>
      </c>
      <c r="K184" s="8" t="s">
        <v>293</v>
      </c>
      <c r="L184" s="9" t="s">
        <v>294</v>
      </c>
      <c r="M184" s="8"/>
      <c r="N184" s="8" t="str">
        <f aca="true">IF(M184="","Active (per Notice 1)",IF(M184&lt;TODAY(),"Expired",IF(M184&lt;TODAY()+180,"Expiring Soon","Active")))</f>
        <v>Active (per Notice 1)</v>
      </c>
      <c r="O184" s="10" t="s">
        <v>295</v>
      </c>
      <c r="P184" s="8" t="s">
        <v>327</v>
      </c>
      <c r="Q184" s="8" t="n">
        <v>3.3</v>
      </c>
      <c r="R184" s="8" t="n">
        <v>2</v>
      </c>
      <c r="S184" s="11" t="n">
        <v>45617</v>
      </c>
      <c r="T184" s="8" t="str">
        <f aca="true">IF(S184="","",IF(EDATE(S184,60)&lt;TODAY(),"Expired",IF(EDATE(S184,60)&lt;TODAY()+180,"Expiring Soon","Valid")))</f>
        <v>Valid</v>
      </c>
      <c r="U184" s="8" t="str">
        <f aca="false">IF(P184="","",IF(P184="A++","Top Tier",IF(P184="A+","High",IF(P184="A","Strong",IF(LEFT(P184,1)="B","Acceptable",IF(LEFT(P184,1)="C","Below Avg","-"))))))</f>
        <v>High</v>
      </c>
      <c r="AC184" s="8"/>
      <c r="AD184" s="8" t="n">
        <v>69</v>
      </c>
      <c r="AE184" s="8"/>
      <c r="AF184" s="8"/>
      <c r="AG184" s="8"/>
      <c r="AH184" s="8" t="n">
        <v>44</v>
      </c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customFormat="false" ht="15" hidden="false" customHeight="true" outlineLevel="0" collapsed="false">
      <c r="A185" s="8" t="n">
        <v>184</v>
      </c>
      <c r="B185" s="8" t="n">
        <v>29</v>
      </c>
      <c r="C185" s="8" t="s">
        <v>415</v>
      </c>
      <c r="D185" s="8" t="s">
        <v>338</v>
      </c>
      <c r="E185" s="9" t="s">
        <v>419</v>
      </c>
      <c r="F185" s="9" t="s">
        <v>306</v>
      </c>
      <c r="G185" s="8" t="s">
        <v>307</v>
      </c>
      <c r="H185" s="8" t="s">
        <v>302</v>
      </c>
      <c r="I185" s="8" t="s">
        <v>291</v>
      </c>
      <c r="J185" s="8" t="s">
        <v>292</v>
      </c>
      <c r="K185" s="8" t="s">
        <v>293</v>
      </c>
      <c r="L185" s="9" t="s">
        <v>294</v>
      </c>
      <c r="M185" s="8"/>
      <c r="N185" s="8" t="str">
        <f aca="true">IF(M185="","Active (per Notice 1)",IF(M185&lt;TODAY(),"Expired",IF(M185&lt;TODAY()+180,"Expiring Soon","Active")))</f>
        <v>Active (per Notice 1)</v>
      </c>
      <c r="O185" s="12" t="s">
        <v>305</v>
      </c>
      <c r="P185" s="8" t="s">
        <v>327</v>
      </c>
      <c r="Q185" s="8" t="n">
        <v>3.42</v>
      </c>
      <c r="R185" s="8" t="n">
        <v>2</v>
      </c>
      <c r="S185" s="11" t="n">
        <v>45126</v>
      </c>
      <c r="T185" s="8" t="str">
        <f aca="true">IF(S185="","",IF(EDATE(S185,60)&lt;TODAY(),"Expired",IF(EDATE(S185,60)&lt;TODAY()+180,"Expiring Soon","Valid")))</f>
        <v>Valid</v>
      </c>
      <c r="U185" s="8" t="str">
        <f aca="false">IF(P185="","",IF(P185="A++","Top Tier",IF(P185="A+","High",IF(P185="A","Strong",IF(LEFT(P185,1)="B","Acceptable",IF(LEFT(P185,1)="C","Below Avg","-"))))))</f>
        <v>High</v>
      </c>
      <c r="AT185" s="8"/>
      <c r="AU185" s="8"/>
    </row>
    <row r="186" customFormat="false" ht="15" hidden="false" customHeight="true" outlineLevel="0" collapsed="false">
      <c r="A186" s="8" t="n">
        <v>185</v>
      </c>
      <c r="B186" s="8" t="n">
        <v>29</v>
      </c>
      <c r="C186" s="8" t="s">
        <v>415</v>
      </c>
      <c r="D186" s="8" t="s">
        <v>338</v>
      </c>
      <c r="E186" s="9" t="s">
        <v>419</v>
      </c>
      <c r="F186" s="9" t="s">
        <v>303</v>
      </c>
      <c r="G186" s="8" t="s">
        <v>304</v>
      </c>
      <c r="H186" s="8" t="s">
        <v>302</v>
      </c>
      <c r="I186" s="8" t="s">
        <v>291</v>
      </c>
      <c r="J186" s="8" t="s">
        <v>292</v>
      </c>
      <c r="K186" s="8" t="s">
        <v>293</v>
      </c>
      <c r="L186" s="9" t="s">
        <v>294</v>
      </c>
      <c r="M186" s="8"/>
      <c r="N186" s="8" t="str">
        <f aca="true">IF(M186="","Active (per Notice 1)",IF(M186&lt;TODAY(),"Expired",IF(M186&lt;TODAY()+180,"Expiring Soon","Active")))</f>
        <v>Active (per Notice 1)</v>
      </c>
      <c r="O186" s="12" t="s">
        <v>305</v>
      </c>
      <c r="P186" s="8" t="s">
        <v>327</v>
      </c>
      <c r="Q186" s="8" t="n">
        <v>3.42</v>
      </c>
      <c r="R186" s="8" t="n">
        <v>2</v>
      </c>
      <c r="S186" s="11" t="n">
        <v>45126</v>
      </c>
      <c r="T186" s="8" t="str">
        <f aca="true">IF(S186="","",IF(EDATE(S186,60)&lt;TODAY(),"Expired",IF(EDATE(S186,60)&lt;TODAY()+180,"Expiring Soon","Valid")))</f>
        <v>Valid</v>
      </c>
      <c r="U186" s="8" t="str">
        <f aca="false">IF(P186="","",IF(P186="A++","Top Tier",IF(P186="A+","High",IF(P186="A","Strong",IF(LEFT(P186,1)="B","Acceptable",IF(LEFT(P186,1)="C","Below Avg","-"))))))</f>
        <v>High</v>
      </c>
      <c r="AT186" s="8"/>
      <c r="AU186" s="8"/>
    </row>
    <row r="187" customFormat="false" ht="15" hidden="false" customHeight="true" outlineLevel="0" collapsed="false">
      <c r="A187" s="8" t="n">
        <v>186</v>
      </c>
      <c r="B187" s="8" t="n">
        <v>29</v>
      </c>
      <c r="C187" s="8" t="s">
        <v>415</v>
      </c>
      <c r="D187" s="8" t="s">
        <v>338</v>
      </c>
      <c r="E187" s="9" t="s">
        <v>419</v>
      </c>
      <c r="F187" s="9" t="s">
        <v>310</v>
      </c>
      <c r="G187" s="8" t="s">
        <v>301</v>
      </c>
      <c r="H187" s="8" t="s">
        <v>302</v>
      </c>
      <c r="I187" s="8" t="s">
        <v>291</v>
      </c>
      <c r="J187" s="8" t="s">
        <v>292</v>
      </c>
      <c r="K187" s="8" t="s">
        <v>293</v>
      </c>
      <c r="L187" s="9" t="s">
        <v>294</v>
      </c>
      <c r="M187" s="8"/>
      <c r="N187" s="8" t="str">
        <f aca="true">IF(M187="","Active (per Notice 1)",IF(M187&lt;TODAY(),"Expired",IF(M187&lt;TODAY()+180,"Expiring Soon","Active")))</f>
        <v>Active (per Notice 1)</v>
      </c>
      <c r="O187" s="10" t="s">
        <v>295</v>
      </c>
      <c r="P187" s="8" t="s">
        <v>327</v>
      </c>
      <c r="Q187" s="8" t="n">
        <v>3.42</v>
      </c>
      <c r="R187" s="8" t="n">
        <v>2</v>
      </c>
      <c r="S187" s="11" t="n">
        <v>45126</v>
      </c>
      <c r="T187" s="8" t="str">
        <f aca="true">IF(S187="","",IF(EDATE(S187,60)&lt;TODAY(),"Expired",IF(EDATE(S187,60)&lt;TODAY()+180,"Expiring Soon","Valid")))</f>
        <v>Valid</v>
      </c>
      <c r="U187" s="8" t="str">
        <f aca="false">IF(P187="","",IF(P187="A++","Top Tier",IF(P187="A+","High",IF(P187="A","Strong",IF(LEFT(P187,1)="B","Acceptable",IF(LEFT(P187,1)="C","Below Avg","-"))))))</f>
        <v>High</v>
      </c>
      <c r="AT187" s="8"/>
      <c r="AU187" s="8"/>
    </row>
    <row r="188" customFormat="false" ht="15" hidden="false" customHeight="true" outlineLevel="0" collapsed="false">
      <c r="A188" s="8" t="n">
        <v>187</v>
      </c>
      <c r="B188" s="8" t="n">
        <v>29</v>
      </c>
      <c r="C188" s="8" t="s">
        <v>415</v>
      </c>
      <c r="D188" s="8" t="s">
        <v>338</v>
      </c>
      <c r="E188" s="9" t="s">
        <v>419</v>
      </c>
      <c r="F188" s="9" t="s">
        <v>347</v>
      </c>
      <c r="G188" s="8" t="s">
        <v>301</v>
      </c>
      <c r="H188" s="8" t="s">
        <v>302</v>
      </c>
      <c r="I188" s="8" t="s">
        <v>291</v>
      </c>
      <c r="J188" s="8" t="s">
        <v>292</v>
      </c>
      <c r="K188" s="8" t="s">
        <v>293</v>
      </c>
      <c r="L188" s="9" t="s">
        <v>294</v>
      </c>
      <c r="M188" s="8"/>
      <c r="N188" s="8" t="str">
        <f aca="true">IF(M188="","Active (per Notice 1)",IF(M188&lt;TODAY(),"Expired",IF(M188&lt;TODAY()+180,"Expiring Soon","Active")))</f>
        <v>Active (per Notice 1)</v>
      </c>
      <c r="O188" s="10" t="s">
        <v>295</v>
      </c>
      <c r="P188" s="8" t="s">
        <v>327</v>
      </c>
      <c r="Q188" s="8" t="n">
        <v>3.42</v>
      </c>
      <c r="R188" s="8" t="n">
        <v>2</v>
      </c>
      <c r="S188" s="11" t="n">
        <v>45126</v>
      </c>
      <c r="T188" s="8" t="str">
        <f aca="true">IF(S188="","",IF(EDATE(S188,60)&lt;TODAY(),"Expired",IF(EDATE(S188,60)&lt;TODAY()+180,"Expiring Soon","Valid")))</f>
        <v>Valid</v>
      </c>
      <c r="U188" s="8" t="str">
        <f aca="false">IF(P188="","",IF(P188="A++","Top Tier",IF(P188="A+","High",IF(P188="A","Strong",IF(LEFT(P188,1)="B","Acceptable",IF(LEFT(P188,1)="C","Below Avg","-"))))))</f>
        <v>High</v>
      </c>
      <c r="AT188" s="8"/>
      <c r="AU188" s="8"/>
    </row>
    <row r="189" customFormat="false" ht="15" hidden="false" customHeight="true" outlineLevel="0" collapsed="false">
      <c r="A189" s="8" t="n">
        <v>188</v>
      </c>
      <c r="B189" s="8" t="n">
        <v>29</v>
      </c>
      <c r="C189" s="8" t="s">
        <v>415</v>
      </c>
      <c r="D189" s="8" t="s">
        <v>338</v>
      </c>
      <c r="E189" s="9" t="s">
        <v>419</v>
      </c>
      <c r="F189" s="9" t="s">
        <v>311</v>
      </c>
      <c r="G189" s="8" t="s">
        <v>301</v>
      </c>
      <c r="H189" s="8" t="s">
        <v>302</v>
      </c>
      <c r="I189" s="8" t="s">
        <v>291</v>
      </c>
      <c r="J189" s="8" t="s">
        <v>292</v>
      </c>
      <c r="K189" s="8" t="s">
        <v>293</v>
      </c>
      <c r="L189" s="9" t="s">
        <v>294</v>
      </c>
      <c r="M189" s="8"/>
      <c r="N189" s="8" t="str">
        <f aca="true">IF(M189="","Active (per Notice 1)",IF(M189&lt;TODAY(),"Expired",IF(M189&lt;TODAY()+180,"Expiring Soon","Active")))</f>
        <v>Active (per Notice 1)</v>
      </c>
      <c r="O189" s="10" t="s">
        <v>295</v>
      </c>
      <c r="P189" s="8" t="s">
        <v>327</v>
      </c>
      <c r="Q189" s="8" t="n">
        <v>3.42</v>
      </c>
      <c r="R189" s="8" t="n">
        <v>2</v>
      </c>
      <c r="S189" s="11" t="n">
        <v>45126</v>
      </c>
      <c r="T189" s="8" t="str">
        <f aca="true">IF(S189="","",IF(EDATE(S189,60)&lt;TODAY(),"Expired",IF(EDATE(S189,60)&lt;TODAY()+180,"Expiring Soon","Valid")))</f>
        <v>Valid</v>
      </c>
      <c r="U189" s="8" t="str">
        <f aca="false">IF(P189="","",IF(P189="A++","Top Tier",IF(P189="A+","High",IF(P189="A","Strong",IF(LEFT(P189,1)="B","Acceptable",IF(LEFT(P189,1)="C","Below Avg","-"))))))</f>
        <v>High</v>
      </c>
      <c r="AT189" s="8"/>
      <c r="AU189" s="8"/>
    </row>
    <row r="190" customFormat="false" ht="15" hidden="false" customHeight="true" outlineLevel="0" collapsed="false">
      <c r="A190" s="8" t="n">
        <v>189</v>
      </c>
      <c r="B190" s="8" t="n">
        <v>30</v>
      </c>
      <c r="C190" s="8" t="s">
        <v>420</v>
      </c>
      <c r="D190" s="8" t="s">
        <v>286</v>
      </c>
      <c r="E190" s="9" t="s">
        <v>421</v>
      </c>
      <c r="F190" s="9" t="s">
        <v>312</v>
      </c>
      <c r="G190" s="8" t="s">
        <v>301</v>
      </c>
      <c r="H190" s="8" t="s">
        <v>302</v>
      </c>
      <c r="I190" s="8" t="s">
        <v>291</v>
      </c>
      <c r="J190" s="8" t="s">
        <v>292</v>
      </c>
      <c r="K190" s="8" t="s">
        <v>293</v>
      </c>
      <c r="L190" s="9" t="s">
        <v>294</v>
      </c>
      <c r="M190" s="8"/>
      <c r="N190" s="8" t="str">
        <f aca="true">IF(M190="","Active (per Notice 1)",IF(M190&lt;TODAY(),"Expired",IF(M190&lt;TODAY()+180,"Expiring Soon","Active")))</f>
        <v>Active (per Notice 1)</v>
      </c>
      <c r="O190" s="10" t="s">
        <v>295</v>
      </c>
      <c r="P190" s="8" t="s">
        <v>296</v>
      </c>
      <c r="Q190" s="8" t="n">
        <v>3.72</v>
      </c>
      <c r="R190" s="8" t="n">
        <v>4</v>
      </c>
      <c r="S190" s="11" t="n">
        <v>45646</v>
      </c>
      <c r="T190" s="8" t="str">
        <f aca="true">IF(S190="","",IF(EDATE(S190,60)&lt;TODAY(),"Expired",IF(EDATE(S190,60)&lt;TODAY()+180,"Expiring Soon","Valid")))</f>
        <v>Valid</v>
      </c>
      <c r="U190" s="8" t="str">
        <f aca="false">IF(P190="","",IF(P190="A++","Top Tier",IF(P190="A+","High",IF(P190="A","Strong",IF(LEFT(P190,1)="B","Acceptable",IF(LEFT(P190,1)="C","Below Avg","-"))))))</f>
        <v>Top Tier</v>
      </c>
      <c r="AC190" s="8" t="n">
        <v>87</v>
      </c>
      <c r="AD190" s="8" t="n">
        <v>51</v>
      </c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 t="n">
        <v>21</v>
      </c>
      <c r="AP190" s="8"/>
      <c r="AQ190" s="8"/>
      <c r="AR190" s="8"/>
      <c r="AS190" s="8"/>
      <c r="AT190" s="8"/>
      <c r="AU190" s="8"/>
    </row>
    <row r="191" customFormat="false" ht="15" hidden="false" customHeight="true" outlineLevel="0" collapsed="false">
      <c r="A191" s="8" t="n">
        <v>190</v>
      </c>
      <c r="B191" s="8" t="n">
        <v>30</v>
      </c>
      <c r="C191" s="8" t="s">
        <v>420</v>
      </c>
      <c r="D191" s="8" t="s">
        <v>286</v>
      </c>
      <c r="E191" s="9" t="s">
        <v>421</v>
      </c>
      <c r="F191" s="9" t="s">
        <v>308</v>
      </c>
      <c r="G191" s="8" t="s">
        <v>309</v>
      </c>
      <c r="H191" s="8" t="s">
        <v>302</v>
      </c>
      <c r="I191" s="8" t="s">
        <v>291</v>
      </c>
      <c r="J191" s="8" t="s">
        <v>292</v>
      </c>
      <c r="K191" s="8" t="s">
        <v>293</v>
      </c>
      <c r="L191" s="9" t="s">
        <v>294</v>
      </c>
      <c r="M191" s="8"/>
      <c r="N191" s="8" t="str">
        <f aca="true">IF(M191="","Active (per Notice 1)",IF(M191&lt;TODAY(),"Expired",IF(M191&lt;TODAY()+180,"Expiring Soon","Active")))</f>
        <v>Active (per Notice 1)</v>
      </c>
      <c r="O191" s="10" t="s">
        <v>295</v>
      </c>
      <c r="P191" s="8" t="s">
        <v>296</v>
      </c>
      <c r="Q191" s="8" t="n">
        <v>3.72</v>
      </c>
      <c r="R191" s="8" t="n">
        <v>4</v>
      </c>
      <c r="S191" s="11" t="n">
        <v>45646</v>
      </c>
      <c r="T191" s="8" t="str">
        <f aca="true">IF(S191="","",IF(EDATE(S191,60)&lt;TODAY(),"Expired",IF(EDATE(S191,60)&lt;TODAY()+180,"Expiring Soon","Valid")))</f>
        <v>Valid</v>
      </c>
      <c r="U191" s="8" t="str">
        <f aca="false">IF(P191="","",IF(P191="A++","Top Tier",IF(P191="A+","High",IF(P191="A","Strong",IF(LEFT(P191,1)="B","Acceptable",IF(LEFT(P191,1)="C","Below Avg","-"))))))</f>
        <v>Top Tier</v>
      </c>
      <c r="AC191" s="8" t="n">
        <v>87</v>
      </c>
      <c r="AD191" s="8" t="n">
        <v>51</v>
      </c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 t="n">
        <v>21</v>
      </c>
      <c r="AP191" s="8"/>
      <c r="AQ191" s="8"/>
      <c r="AR191" s="8"/>
      <c r="AS191" s="8"/>
      <c r="AT191" s="8"/>
      <c r="AU191" s="8"/>
    </row>
    <row r="192" customFormat="false" ht="15" hidden="false" customHeight="true" outlineLevel="0" collapsed="false">
      <c r="A192" s="8" t="n">
        <v>191</v>
      </c>
      <c r="B192" s="8" t="n">
        <v>31</v>
      </c>
      <c r="C192" s="8" t="s">
        <v>422</v>
      </c>
      <c r="D192" s="8" t="s">
        <v>315</v>
      </c>
      <c r="E192" s="9" t="s">
        <v>423</v>
      </c>
      <c r="F192" s="9" t="s">
        <v>303</v>
      </c>
      <c r="G192" s="8" t="s">
        <v>304</v>
      </c>
      <c r="H192" s="8" t="s">
        <v>302</v>
      </c>
      <c r="I192" s="8" t="s">
        <v>291</v>
      </c>
      <c r="J192" s="8" t="s">
        <v>292</v>
      </c>
      <c r="K192" s="8" t="s">
        <v>293</v>
      </c>
      <c r="L192" s="9" t="s">
        <v>294</v>
      </c>
      <c r="M192" s="8"/>
      <c r="N192" s="8" t="str">
        <f aca="true">IF(M192="","Active (per Notice 1)",IF(M192&lt;TODAY(),"Expired",IF(M192&lt;TODAY()+180,"Expiring Soon","Active")))</f>
        <v>Active (per Notice 1)</v>
      </c>
      <c r="O192" s="13" t="s">
        <v>292</v>
      </c>
      <c r="P192" s="8" t="s">
        <v>424</v>
      </c>
      <c r="Q192" s="8" t="n">
        <v>3.17</v>
      </c>
      <c r="R192" s="8" t="n">
        <v>2</v>
      </c>
      <c r="S192" s="11" t="n">
        <v>44887</v>
      </c>
      <c r="T192" s="8" t="str">
        <f aca="true">IF(S192="","",IF(EDATE(S192,60)&lt;TODAY(),"Expired",IF(EDATE(S192,60)&lt;TODAY()+180,"Expiring Soon","Valid")))</f>
        <v>Valid</v>
      </c>
      <c r="U192" s="8" t="str">
        <f aca="false">IF(P192="","",IF(P192="A++","Top Tier",IF(P192="A+","High",IF(P192="A","Strong",IF(LEFT(P192,1)="B","Acceptable",IF(LEFT(P192,1)="C","Below Avg","-"))))))</f>
        <v>Strong</v>
      </c>
      <c r="Y192" s="8" t="n">
        <v>8</v>
      </c>
      <c r="Z192" s="11" t="n">
        <v>45838</v>
      </c>
      <c r="AA192" s="8" t="s">
        <v>357</v>
      </c>
      <c r="AB192" s="8" t="s">
        <v>405</v>
      </c>
      <c r="AC192" s="8"/>
      <c r="AD192" s="8" t="n">
        <v>92</v>
      </c>
      <c r="AE192" s="8"/>
      <c r="AF192" s="8" t="n">
        <v>51</v>
      </c>
      <c r="AG192" s="8" t="n">
        <v>97</v>
      </c>
      <c r="AH192" s="8" t="n">
        <v>28</v>
      </c>
      <c r="AI192" s="8"/>
      <c r="AJ192" s="8"/>
      <c r="AK192" s="8"/>
      <c r="AL192" s="8" t="n">
        <v>22</v>
      </c>
      <c r="AM192" s="8"/>
      <c r="AN192" s="8"/>
      <c r="AO192" s="8"/>
      <c r="AP192" s="8"/>
      <c r="AQ192" s="8"/>
      <c r="AR192" s="8"/>
      <c r="AS192" s="8"/>
      <c r="AT192" s="8"/>
      <c r="AU192" s="8"/>
    </row>
    <row r="193" customFormat="false" ht="15" hidden="false" customHeight="true" outlineLevel="0" collapsed="false">
      <c r="A193" s="8" t="n">
        <v>192</v>
      </c>
      <c r="B193" s="8" t="n">
        <v>32</v>
      </c>
      <c r="C193" s="8" t="s">
        <v>425</v>
      </c>
      <c r="D193" s="8" t="s">
        <v>315</v>
      </c>
      <c r="E193" s="9" t="s">
        <v>426</v>
      </c>
      <c r="F193" s="9" t="s">
        <v>317</v>
      </c>
      <c r="G193" s="8" t="s">
        <v>318</v>
      </c>
      <c r="H193" s="8" t="s">
        <v>290</v>
      </c>
      <c r="I193" s="8" t="s">
        <v>291</v>
      </c>
      <c r="J193" s="8" t="s">
        <v>292</v>
      </c>
      <c r="K193" s="8" t="s">
        <v>293</v>
      </c>
      <c r="L193" s="9" t="s">
        <v>294</v>
      </c>
      <c r="M193" s="8"/>
      <c r="N193" s="8" t="str">
        <f aca="true">IF(M193="","Active (per Notice 1)",IF(M193&lt;TODAY(),"Expired",IF(M193&lt;TODAY()+180,"Expiring Soon","Active")))</f>
        <v>Active (per Notice 1)</v>
      </c>
      <c r="O193" s="13" t="s">
        <v>292</v>
      </c>
      <c r="P193" s="8" t="s">
        <v>424</v>
      </c>
      <c r="Q193" s="8" t="n">
        <v>3.15</v>
      </c>
      <c r="R193" s="8" t="n">
        <v>1</v>
      </c>
      <c r="S193" s="11" t="n">
        <v>45344</v>
      </c>
      <c r="T193" s="8" t="str">
        <f aca="true">IF(S193="","",IF(EDATE(S193,60)&lt;TODAY(),"Expired",IF(EDATE(S193,60)&lt;TODAY()+180,"Expiring Soon","Valid")))</f>
        <v>Valid</v>
      </c>
      <c r="U193" s="8" t="str">
        <f aca="false">IF(P193="","",IF(P193="A++","Top Tier",IF(P193="A+","High",IF(P193="A","Strong",IF(LEFT(P193,1)="B","Acceptable",IF(LEFT(P193,1)="C","Below Avg","-"))))))</f>
        <v>Strong</v>
      </c>
      <c r="AC193" s="8"/>
      <c r="AD193" s="8" t="n">
        <v>62</v>
      </c>
      <c r="AE193" s="8"/>
      <c r="AF193" s="8" t="n">
        <v>84</v>
      </c>
      <c r="AG193" s="8" t="n">
        <v>73</v>
      </c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customFormat="false" ht="15" hidden="false" customHeight="true" outlineLevel="0" collapsed="false">
      <c r="A194" s="8" t="n">
        <v>193</v>
      </c>
      <c r="B194" s="8" t="n">
        <v>32</v>
      </c>
      <c r="C194" s="8" t="s">
        <v>425</v>
      </c>
      <c r="D194" s="8" t="s">
        <v>315</v>
      </c>
      <c r="E194" s="9" t="s">
        <v>426</v>
      </c>
      <c r="F194" s="9" t="s">
        <v>319</v>
      </c>
      <c r="G194" s="8" t="s">
        <v>320</v>
      </c>
      <c r="H194" s="8" t="s">
        <v>290</v>
      </c>
      <c r="I194" s="8" t="s">
        <v>291</v>
      </c>
      <c r="J194" s="8" t="s">
        <v>292</v>
      </c>
      <c r="K194" s="8" t="s">
        <v>293</v>
      </c>
      <c r="L194" s="9" t="s">
        <v>294</v>
      </c>
      <c r="M194" s="8"/>
      <c r="N194" s="8" t="str">
        <f aca="true">IF(M194="","Active (per Notice 1)",IF(M194&lt;TODAY(),"Expired",IF(M194&lt;TODAY()+180,"Expiring Soon","Active")))</f>
        <v>Active (per Notice 1)</v>
      </c>
      <c r="O194" s="13" t="s">
        <v>292</v>
      </c>
      <c r="P194" s="8" t="s">
        <v>424</v>
      </c>
      <c r="Q194" s="8" t="n">
        <v>3.15</v>
      </c>
      <c r="R194" s="8" t="n">
        <v>1</v>
      </c>
      <c r="S194" s="11" t="n">
        <v>45344</v>
      </c>
      <c r="T194" s="8" t="str">
        <f aca="true">IF(S194="","",IF(EDATE(S194,60)&lt;TODAY(),"Expired",IF(EDATE(S194,60)&lt;TODAY()+180,"Expiring Soon","Valid")))</f>
        <v>Valid</v>
      </c>
      <c r="U194" s="8" t="str">
        <f aca="false">IF(P194="","",IF(P194="A++","Top Tier",IF(P194="A+","High",IF(P194="A","Strong",IF(LEFT(P194,1)="B","Acceptable",IF(LEFT(P194,1)="C","Below Avg","-"))))))</f>
        <v>Strong</v>
      </c>
      <c r="AC194" s="8"/>
      <c r="AD194" s="8" t="n">
        <v>62</v>
      </c>
      <c r="AE194" s="8"/>
      <c r="AF194" s="8" t="n">
        <v>84</v>
      </c>
      <c r="AG194" s="8" t="n">
        <v>73</v>
      </c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customFormat="false" ht="15" hidden="false" customHeight="true" outlineLevel="0" collapsed="false">
      <c r="A195" s="8" t="n">
        <v>194</v>
      </c>
      <c r="B195" s="8" t="n">
        <v>32</v>
      </c>
      <c r="C195" s="8" t="s">
        <v>425</v>
      </c>
      <c r="D195" s="8" t="s">
        <v>315</v>
      </c>
      <c r="E195" s="9" t="s">
        <v>426</v>
      </c>
      <c r="F195" s="9" t="s">
        <v>299</v>
      </c>
      <c r="G195" s="8" t="s">
        <v>289</v>
      </c>
      <c r="H195" s="8" t="s">
        <v>290</v>
      </c>
      <c r="I195" s="8" t="s">
        <v>291</v>
      </c>
      <c r="J195" s="8" t="s">
        <v>292</v>
      </c>
      <c r="K195" s="8" t="s">
        <v>293</v>
      </c>
      <c r="L195" s="9" t="s">
        <v>294</v>
      </c>
      <c r="M195" s="8"/>
      <c r="N195" s="8" t="str">
        <f aca="true">IF(M195="","Active (per Notice 1)",IF(M195&lt;TODAY(),"Expired",IF(M195&lt;TODAY()+180,"Expiring Soon","Active")))</f>
        <v>Active (per Notice 1)</v>
      </c>
      <c r="O195" s="10" t="s">
        <v>295</v>
      </c>
      <c r="P195" s="8" t="s">
        <v>424</v>
      </c>
      <c r="Q195" s="8" t="n">
        <v>3.15</v>
      </c>
      <c r="R195" s="8" t="n">
        <v>1</v>
      </c>
      <c r="S195" s="11" t="n">
        <v>45344</v>
      </c>
      <c r="T195" s="8" t="str">
        <f aca="true">IF(S195="","",IF(EDATE(S195,60)&lt;TODAY(),"Expired",IF(EDATE(S195,60)&lt;TODAY()+180,"Expiring Soon","Valid")))</f>
        <v>Valid</v>
      </c>
      <c r="U195" s="8" t="str">
        <f aca="false">IF(P195="","",IF(P195="A++","Top Tier",IF(P195="A+","High",IF(P195="A","Strong",IF(LEFT(P195,1)="B","Acceptable",IF(LEFT(P195,1)="C","Below Avg","-"))))))</f>
        <v>Strong</v>
      </c>
      <c r="AC195" s="8"/>
      <c r="AD195" s="8" t="n">
        <v>62</v>
      </c>
      <c r="AE195" s="8"/>
      <c r="AF195" s="8" t="n">
        <v>84</v>
      </c>
      <c r="AG195" s="8" t="n">
        <v>73</v>
      </c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customFormat="false" ht="15" hidden="false" customHeight="true" outlineLevel="0" collapsed="false">
      <c r="A196" s="8" t="n">
        <v>195</v>
      </c>
      <c r="B196" s="8" t="n">
        <v>32</v>
      </c>
      <c r="C196" s="8" t="s">
        <v>425</v>
      </c>
      <c r="D196" s="8" t="s">
        <v>315</v>
      </c>
      <c r="E196" s="9" t="s">
        <v>426</v>
      </c>
      <c r="F196" s="9" t="s">
        <v>308</v>
      </c>
      <c r="G196" s="8" t="s">
        <v>309</v>
      </c>
      <c r="H196" s="8" t="s">
        <v>302</v>
      </c>
      <c r="I196" s="8" t="s">
        <v>291</v>
      </c>
      <c r="J196" s="8" t="s">
        <v>292</v>
      </c>
      <c r="K196" s="8" t="s">
        <v>293</v>
      </c>
      <c r="L196" s="9" t="s">
        <v>294</v>
      </c>
      <c r="M196" s="8"/>
      <c r="N196" s="8" t="str">
        <f aca="true">IF(M196="","Active (per Notice 1)",IF(M196&lt;TODAY(),"Expired",IF(M196&lt;TODAY()+180,"Expiring Soon","Active")))</f>
        <v>Active (per Notice 1)</v>
      </c>
      <c r="O196" s="10" t="s">
        <v>295</v>
      </c>
      <c r="P196" s="8" t="s">
        <v>424</v>
      </c>
      <c r="Q196" s="8" t="n">
        <v>3.15</v>
      </c>
      <c r="R196" s="8" t="n">
        <v>1</v>
      </c>
      <c r="S196" s="11" t="n">
        <v>45344</v>
      </c>
      <c r="T196" s="8" t="str">
        <f aca="true">IF(S196="","",IF(EDATE(S196,60)&lt;TODAY(),"Expired",IF(EDATE(S196,60)&lt;TODAY()+180,"Expiring Soon","Valid")))</f>
        <v>Valid</v>
      </c>
      <c r="U196" s="8" t="str">
        <f aca="false">IF(P196="","",IF(P196="A++","Top Tier",IF(P196="A+","High",IF(P196="A","Strong",IF(LEFT(P196,1)="B","Acceptable",IF(LEFT(P196,1)="C","Below Avg","-"))))))</f>
        <v>Strong</v>
      </c>
      <c r="AC196" s="8"/>
      <c r="AD196" s="8" t="n">
        <v>62</v>
      </c>
      <c r="AE196" s="8"/>
      <c r="AF196" s="8" t="n">
        <v>84</v>
      </c>
      <c r="AG196" s="8" t="n">
        <v>73</v>
      </c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customFormat="false" ht="15" hidden="false" customHeight="true" outlineLevel="0" collapsed="false">
      <c r="A197" s="8" t="n">
        <v>196</v>
      </c>
      <c r="B197" s="8" t="n">
        <v>32</v>
      </c>
      <c r="C197" s="8" t="s">
        <v>425</v>
      </c>
      <c r="D197" s="8" t="s">
        <v>315</v>
      </c>
      <c r="E197" s="9" t="s">
        <v>426</v>
      </c>
      <c r="F197" s="9" t="s">
        <v>312</v>
      </c>
      <c r="G197" s="8" t="s">
        <v>301</v>
      </c>
      <c r="H197" s="8" t="s">
        <v>302</v>
      </c>
      <c r="I197" s="8" t="s">
        <v>291</v>
      </c>
      <c r="J197" s="8" t="s">
        <v>292</v>
      </c>
      <c r="K197" s="8" t="s">
        <v>293</v>
      </c>
      <c r="L197" s="9" t="s">
        <v>294</v>
      </c>
      <c r="M197" s="8"/>
      <c r="N197" s="8" t="str">
        <f aca="true">IF(M197="","Active (per Notice 1)",IF(M197&lt;TODAY(),"Expired",IF(M197&lt;TODAY()+180,"Expiring Soon","Active")))</f>
        <v>Active (per Notice 1)</v>
      </c>
      <c r="O197" s="10" t="s">
        <v>295</v>
      </c>
      <c r="P197" s="8" t="s">
        <v>424</v>
      </c>
      <c r="Q197" s="8" t="n">
        <v>3.15</v>
      </c>
      <c r="R197" s="8" t="n">
        <v>1</v>
      </c>
      <c r="S197" s="11" t="n">
        <v>45344</v>
      </c>
      <c r="T197" s="8" t="str">
        <f aca="true">IF(S197="","",IF(EDATE(S197,60)&lt;TODAY(),"Expired",IF(EDATE(S197,60)&lt;TODAY()+180,"Expiring Soon","Valid")))</f>
        <v>Valid</v>
      </c>
      <c r="U197" s="8" t="str">
        <f aca="false">IF(P197="","",IF(P197="A++","Top Tier",IF(P197="A+","High",IF(P197="A","Strong",IF(LEFT(P197,1)="B","Acceptable",IF(LEFT(P197,1)="C","Below Avg","-"))))))</f>
        <v>Strong</v>
      </c>
      <c r="AC197" s="8"/>
      <c r="AD197" s="8" t="n">
        <v>62</v>
      </c>
      <c r="AE197" s="8"/>
      <c r="AF197" s="8" t="n">
        <v>84</v>
      </c>
      <c r="AG197" s="8" t="n">
        <v>73</v>
      </c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customFormat="false" ht="15" hidden="false" customHeight="true" outlineLevel="0" collapsed="false">
      <c r="A198" s="8" t="n">
        <v>197</v>
      </c>
      <c r="B198" s="8" t="n">
        <v>32</v>
      </c>
      <c r="C198" s="8" t="s">
        <v>425</v>
      </c>
      <c r="D198" s="8" t="s">
        <v>315</v>
      </c>
      <c r="E198" s="9" t="s">
        <v>426</v>
      </c>
      <c r="F198" s="9" t="s">
        <v>314</v>
      </c>
      <c r="G198" s="8" t="s">
        <v>301</v>
      </c>
      <c r="H198" s="8" t="s">
        <v>302</v>
      </c>
      <c r="I198" s="8" t="s">
        <v>291</v>
      </c>
      <c r="J198" s="8" t="s">
        <v>292</v>
      </c>
      <c r="K198" s="8" t="s">
        <v>293</v>
      </c>
      <c r="L198" s="9" t="s">
        <v>294</v>
      </c>
      <c r="M198" s="8"/>
      <c r="N198" s="8" t="str">
        <f aca="true">IF(M198="","Active (per Notice 1)",IF(M198&lt;TODAY(),"Expired",IF(M198&lt;TODAY()+180,"Expiring Soon","Active")))</f>
        <v>Active (per Notice 1)</v>
      </c>
      <c r="O198" s="10" t="s">
        <v>295</v>
      </c>
      <c r="P198" s="8" t="s">
        <v>424</v>
      </c>
      <c r="Q198" s="8" t="n">
        <v>3.15</v>
      </c>
      <c r="R198" s="8" t="n">
        <v>1</v>
      </c>
      <c r="S198" s="11" t="n">
        <v>45344</v>
      </c>
      <c r="T198" s="8" t="str">
        <f aca="true">IF(S198="","",IF(EDATE(S198,60)&lt;TODAY(),"Expired",IF(EDATE(S198,60)&lt;TODAY()+180,"Expiring Soon","Valid")))</f>
        <v>Valid</v>
      </c>
      <c r="U198" s="8" t="str">
        <f aca="false">IF(P198="","",IF(P198="A++","Top Tier",IF(P198="A+","High",IF(P198="A","Strong",IF(LEFT(P198,1)="B","Acceptable",IF(LEFT(P198,1)="C","Below Avg","-"))))))</f>
        <v>Strong</v>
      </c>
      <c r="AC198" s="8"/>
      <c r="AD198" s="8" t="n">
        <v>62</v>
      </c>
      <c r="AE198" s="8"/>
      <c r="AF198" s="8" t="n">
        <v>84</v>
      </c>
      <c r="AG198" s="8" t="n">
        <v>73</v>
      </c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customFormat="false" ht="15" hidden="false" customHeight="true" outlineLevel="0" collapsed="false">
      <c r="A199" s="8" t="n">
        <v>198</v>
      </c>
      <c r="B199" s="8" t="n">
        <v>32</v>
      </c>
      <c r="C199" s="8" t="s">
        <v>425</v>
      </c>
      <c r="D199" s="8" t="s">
        <v>315</v>
      </c>
      <c r="E199" s="9" t="s">
        <v>426</v>
      </c>
      <c r="F199" s="9" t="s">
        <v>311</v>
      </c>
      <c r="G199" s="8" t="s">
        <v>301</v>
      </c>
      <c r="H199" s="8" t="s">
        <v>302</v>
      </c>
      <c r="I199" s="8" t="s">
        <v>291</v>
      </c>
      <c r="J199" s="8" t="s">
        <v>292</v>
      </c>
      <c r="K199" s="8" t="s">
        <v>293</v>
      </c>
      <c r="L199" s="9" t="s">
        <v>294</v>
      </c>
      <c r="M199" s="8"/>
      <c r="N199" s="8" t="str">
        <f aca="true">IF(M199="","Active (per Notice 1)",IF(M199&lt;TODAY(),"Expired",IF(M199&lt;TODAY()+180,"Expiring Soon","Active")))</f>
        <v>Active (per Notice 1)</v>
      </c>
      <c r="O199" s="10" t="s">
        <v>295</v>
      </c>
      <c r="P199" s="8" t="s">
        <v>424</v>
      </c>
      <c r="Q199" s="8" t="n">
        <v>3.15</v>
      </c>
      <c r="R199" s="8" t="n">
        <v>1</v>
      </c>
      <c r="S199" s="11" t="n">
        <v>45344</v>
      </c>
      <c r="T199" s="8" t="str">
        <f aca="true">IF(S199="","",IF(EDATE(S199,60)&lt;TODAY(),"Expired",IF(EDATE(S199,60)&lt;TODAY()+180,"Expiring Soon","Valid")))</f>
        <v>Valid</v>
      </c>
      <c r="U199" s="8" t="str">
        <f aca="false">IF(P199="","",IF(P199="A++","Top Tier",IF(P199="A+","High",IF(P199="A","Strong",IF(LEFT(P199,1)="B","Acceptable",IF(LEFT(P199,1)="C","Below Avg","-"))))))</f>
        <v>Strong</v>
      </c>
      <c r="AC199" s="8"/>
      <c r="AD199" s="8" t="n">
        <v>62</v>
      </c>
      <c r="AE199" s="8"/>
      <c r="AF199" s="8" t="n">
        <v>84</v>
      </c>
      <c r="AG199" s="8" t="n">
        <v>73</v>
      </c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customFormat="false" ht="15" hidden="false" customHeight="true" outlineLevel="0" collapsed="false">
      <c r="A200" s="8" t="n">
        <v>199</v>
      </c>
      <c r="B200" s="8" t="n">
        <v>32</v>
      </c>
      <c r="C200" s="8" t="s">
        <v>425</v>
      </c>
      <c r="D200" s="8" t="s">
        <v>315</v>
      </c>
      <c r="E200" s="9" t="s">
        <v>426</v>
      </c>
      <c r="F200" s="9" t="s">
        <v>427</v>
      </c>
      <c r="G200" s="8" t="s">
        <v>301</v>
      </c>
      <c r="H200" s="8" t="s">
        <v>302</v>
      </c>
      <c r="I200" s="8" t="s">
        <v>291</v>
      </c>
      <c r="J200" s="8" t="s">
        <v>292</v>
      </c>
      <c r="K200" s="8" t="s">
        <v>293</v>
      </c>
      <c r="L200" s="9" t="s">
        <v>294</v>
      </c>
      <c r="M200" s="8"/>
      <c r="N200" s="8" t="str">
        <f aca="true">IF(M200="","Active (per Notice 1)",IF(M200&lt;TODAY(),"Expired",IF(M200&lt;TODAY()+180,"Expiring Soon","Active")))</f>
        <v>Active (per Notice 1)</v>
      </c>
      <c r="O200" s="10" t="s">
        <v>295</v>
      </c>
      <c r="P200" s="8" t="s">
        <v>424</v>
      </c>
      <c r="Q200" s="8" t="n">
        <v>3.15</v>
      </c>
      <c r="R200" s="8" t="n">
        <v>1</v>
      </c>
      <c r="S200" s="11" t="n">
        <v>45344</v>
      </c>
      <c r="T200" s="8" t="str">
        <f aca="true">IF(S200="","",IF(EDATE(S200,60)&lt;TODAY(),"Expired",IF(EDATE(S200,60)&lt;TODAY()+180,"Expiring Soon","Valid")))</f>
        <v>Valid</v>
      </c>
      <c r="U200" s="8" t="str">
        <f aca="false">IF(P200="","",IF(P200="A++","Top Tier",IF(P200="A+","High",IF(P200="A","Strong",IF(LEFT(P200,1)="B","Acceptable",IF(LEFT(P200,1)="C","Below Avg","-"))))))</f>
        <v>Strong</v>
      </c>
      <c r="AC200" s="8"/>
      <c r="AD200" s="8" t="n">
        <v>62</v>
      </c>
      <c r="AE200" s="8"/>
      <c r="AF200" s="8" t="n">
        <v>84</v>
      </c>
      <c r="AG200" s="8" t="n">
        <v>73</v>
      </c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customFormat="false" ht="23.25" hidden="false" customHeight="true" outlineLevel="0" collapsed="false">
      <c r="A201" s="8" t="n">
        <v>200</v>
      </c>
      <c r="B201" s="8" t="n">
        <v>32</v>
      </c>
      <c r="C201" s="8" t="s">
        <v>425</v>
      </c>
      <c r="D201" s="8" t="s">
        <v>315</v>
      </c>
      <c r="E201" s="9" t="s">
        <v>426</v>
      </c>
      <c r="F201" s="9" t="s">
        <v>428</v>
      </c>
      <c r="G201" s="8" t="s">
        <v>301</v>
      </c>
      <c r="H201" s="8" t="s">
        <v>302</v>
      </c>
      <c r="I201" s="8" t="s">
        <v>291</v>
      </c>
      <c r="J201" s="8" t="s">
        <v>292</v>
      </c>
      <c r="K201" s="8" t="s">
        <v>293</v>
      </c>
      <c r="L201" s="9" t="s">
        <v>294</v>
      </c>
      <c r="M201" s="8"/>
      <c r="N201" s="8" t="str">
        <f aca="true">IF(M201="","Active (per Notice 1)",IF(M201&lt;TODAY(),"Expired",IF(M201&lt;TODAY()+180,"Expiring Soon","Active")))</f>
        <v>Active (per Notice 1)</v>
      </c>
      <c r="O201" s="10" t="s">
        <v>295</v>
      </c>
      <c r="P201" s="8" t="s">
        <v>424</v>
      </c>
      <c r="Q201" s="8" t="n">
        <v>3.15</v>
      </c>
      <c r="R201" s="8" t="n">
        <v>1</v>
      </c>
      <c r="S201" s="11" t="n">
        <v>45344</v>
      </c>
      <c r="T201" s="8" t="str">
        <f aca="true">IF(S201="","",IF(EDATE(S201,60)&lt;TODAY(),"Expired",IF(EDATE(S201,60)&lt;TODAY()+180,"Expiring Soon","Valid")))</f>
        <v>Valid</v>
      </c>
      <c r="U201" s="8" t="str">
        <f aca="false">IF(P201="","",IF(P201="A++","Top Tier",IF(P201="A+","High",IF(P201="A","Strong",IF(LEFT(P201,1)="B","Acceptable",IF(LEFT(P201,1)="C","Below Avg","-"))))))</f>
        <v>Strong</v>
      </c>
      <c r="AC201" s="8"/>
      <c r="AD201" s="8" t="n">
        <v>62</v>
      </c>
      <c r="AE201" s="8"/>
      <c r="AF201" s="8" t="n">
        <v>84</v>
      </c>
      <c r="AG201" s="8" t="n">
        <v>73</v>
      </c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customFormat="false" ht="15" hidden="false" customHeight="true" outlineLevel="0" collapsed="false">
      <c r="A202" s="8" t="n">
        <v>201</v>
      </c>
      <c r="B202" s="8" t="n">
        <v>32</v>
      </c>
      <c r="C202" s="8" t="s">
        <v>425</v>
      </c>
      <c r="D202" s="8" t="s">
        <v>315</v>
      </c>
      <c r="E202" s="9" t="s">
        <v>426</v>
      </c>
      <c r="F202" s="9" t="s">
        <v>303</v>
      </c>
      <c r="G202" s="8" t="s">
        <v>304</v>
      </c>
      <c r="H202" s="8" t="s">
        <v>302</v>
      </c>
      <c r="I202" s="8" t="s">
        <v>291</v>
      </c>
      <c r="J202" s="8" t="s">
        <v>292</v>
      </c>
      <c r="K202" s="8" t="s">
        <v>293</v>
      </c>
      <c r="L202" s="9" t="s">
        <v>294</v>
      </c>
      <c r="M202" s="8"/>
      <c r="N202" s="8" t="str">
        <f aca="true">IF(M202="","Active (per Notice 1)",IF(M202&lt;TODAY(),"Expired",IF(M202&lt;TODAY()+180,"Expiring Soon","Active")))</f>
        <v>Active (per Notice 1)</v>
      </c>
      <c r="O202" s="13" t="s">
        <v>292</v>
      </c>
      <c r="P202" s="8" t="s">
        <v>424</v>
      </c>
      <c r="Q202" s="8" t="n">
        <v>3.15</v>
      </c>
      <c r="R202" s="8" t="n">
        <v>1</v>
      </c>
      <c r="S202" s="11" t="n">
        <v>45344</v>
      </c>
      <c r="T202" s="8" t="str">
        <f aca="true">IF(S202="","",IF(EDATE(S202,60)&lt;TODAY(),"Expired",IF(EDATE(S202,60)&lt;TODAY()+180,"Expiring Soon","Valid")))</f>
        <v>Valid</v>
      </c>
      <c r="U202" s="8" t="str">
        <f aca="false">IF(P202="","",IF(P202="A++","Top Tier",IF(P202="A+","High",IF(P202="A","Strong",IF(LEFT(P202,1)="B","Acceptable",IF(LEFT(P202,1)="C","Below Avg","-"))))))</f>
        <v>Strong</v>
      </c>
      <c r="AC202" s="8"/>
      <c r="AD202" s="8" t="n">
        <v>62</v>
      </c>
      <c r="AE202" s="8"/>
      <c r="AF202" s="8" t="n">
        <v>84</v>
      </c>
      <c r="AG202" s="8" t="n">
        <v>73</v>
      </c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customFormat="false" ht="15" hidden="false" customHeight="true" outlineLevel="0" collapsed="false">
      <c r="A203" s="8" t="n">
        <v>202</v>
      </c>
      <c r="B203" s="8" t="n">
        <v>32</v>
      </c>
      <c r="C203" s="8" t="s">
        <v>425</v>
      </c>
      <c r="D203" s="8" t="s">
        <v>315</v>
      </c>
      <c r="E203" s="9" t="s">
        <v>426</v>
      </c>
      <c r="F203" s="9" t="s">
        <v>306</v>
      </c>
      <c r="G203" s="8" t="s">
        <v>307</v>
      </c>
      <c r="H203" s="8" t="s">
        <v>302</v>
      </c>
      <c r="I203" s="8" t="s">
        <v>291</v>
      </c>
      <c r="J203" s="8" t="s">
        <v>292</v>
      </c>
      <c r="K203" s="8" t="s">
        <v>293</v>
      </c>
      <c r="L203" s="9" t="s">
        <v>294</v>
      </c>
      <c r="M203" s="8"/>
      <c r="N203" s="8" t="str">
        <f aca="true">IF(M203="","Active (per Notice 1)",IF(M203&lt;TODAY(),"Expired",IF(M203&lt;TODAY()+180,"Expiring Soon","Active")))</f>
        <v>Active (per Notice 1)</v>
      </c>
      <c r="O203" s="13" t="s">
        <v>292</v>
      </c>
      <c r="P203" s="8" t="s">
        <v>424</v>
      </c>
      <c r="Q203" s="8" t="n">
        <v>3.15</v>
      </c>
      <c r="R203" s="8" t="n">
        <v>1</v>
      </c>
      <c r="S203" s="11" t="n">
        <v>45344</v>
      </c>
      <c r="T203" s="8" t="str">
        <f aca="true">IF(S203="","",IF(EDATE(S203,60)&lt;TODAY(),"Expired",IF(EDATE(S203,60)&lt;TODAY()+180,"Expiring Soon","Valid")))</f>
        <v>Valid</v>
      </c>
      <c r="U203" s="8" t="str">
        <f aca="false">IF(P203="","",IF(P203="A++","Top Tier",IF(P203="A+","High",IF(P203="A","Strong",IF(LEFT(P203,1)="B","Acceptable",IF(LEFT(P203,1)="C","Below Avg","-"))))))</f>
        <v>Strong</v>
      </c>
      <c r="AC203" s="8"/>
      <c r="AD203" s="8" t="n">
        <v>62</v>
      </c>
      <c r="AE203" s="8"/>
      <c r="AF203" s="8" t="n">
        <v>84</v>
      </c>
      <c r="AG203" s="8" t="n">
        <v>73</v>
      </c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customFormat="false" ht="23.25" hidden="false" customHeight="true" outlineLevel="0" collapsed="false">
      <c r="A204" s="8" t="n">
        <v>203</v>
      </c>
      <c r="B204" s="8" t="n">
        <v>33</v>
      </c>
      <c r="C204" s="8" t="s">
        <v>425</v>
      </c>
      <c r="D204" s="8" t="s">
        <v>315</v>
      </c>
      <c r="E204" s="9" t="s">
        <v>429</v>
      </c>
      <c r="F204" s="9" t="s">
        <v>430</v>
      </c>
      <c r="G204" s="8" t="s">
        <v>318</v>
      </c>
      <c r="H204" s="8" t="s">
        <v>290</v>
      </c>
      <c r="I204" s="8" t="s">
        <v>291</v>
      </c>
      <c r="J204" s="8" t="s">
        <v>292</v>
      </c>
      <c r="K204" s="8" t="s">
        <v>293</v>
      </c>
      <c r="L204" s="9" t="s">
        <v>294</v>
      </c>
      <c r="M204" s="8"/>
      <c r="N204" s="8" t="str">
        <f aca="true">IF(M204="","Active (per Notice 1)",IF(M204&lt;TODAY(),"Expired",IF(M204&lt;TODAY()+180,"Expiring Soon","Active")))</f>
        <v>Active (per Notice 1)</v>
      </c>
      <c r="O204" s="13" t="s">
        <v>292</v>
      </c>
      <c r="P204" s="8" t="s">
        <v>296</v>
      </c>
      <c r="Q204" s="8" t="n">
        <v>3.61</v>
      </c>
      <c r="R204" s="8" t="n">
        <v>3</v>
      </c>
      <c r="S204" s="11" t="n">
        <v>45583</v>
      </c>
      <c r="T204" s="8" t="str">
        <f aca="true">IF(S204="","",IF(EDATE(S204,60)&lt;TODAY(),"Expired",IF(EDATE(S204,60)&lt;TODAY()+180,"Expiring Soon","Valid")))</f>
        <v>Valid</v>
      </c>
      <c r="U204" s="8" t="str">
        <f aca="false">IF(P204="","",IF(P204="A++","Top Tier",IF(P204="A+","High",IF(P204="A","Strong",IF(LEFT(P204,1)="B","Acceptable",IF(LEFT(P204,1)="C","Below Avg","-"))))))</f>
        <v>Top Tier</v>
      </c>
      <c r="AC204" s="8" t="n">
        <v>38</v>
      </c>
      <c r="AD204" s="8" t="n">
        <v>21</v>
      </c>
      <c r="AE204" s="8"/>
      <c r="AF204" s="8"/>
      <c r="AG204" s="8"/>
      <c r="AH204" s="15" t="n">
        <v>4</v>
      </c>
      <c r="AI204" s="15" t="n">
        <v>37</v>
      </c>
      <c r="AJ204" s="15" t="n">
        <v>10</v>
      </c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9" t="s">
        <v>431</v>
      </c>
    </row>
    <row r="205" customFormat="false" ht="15" hidden="false" customHeight="true" outlineLevel="0" collapsed="false">
      <c r="A205" s="8" t="n">
        <v>204</v>
      </c>
      <c r="B205" s="8" t="n">
        <v>33</v>
      </c>
      <c r="C205" s="8" t="s">
        <v>425</v>
      </c>
      <c r="D205" s="8" t="s">
        <v>315</v>
      </c>
      <c r="E205" s="9" t="s">
        <v>429</v>
      </c>
      <c r="F205" s="9" t="s">
        <v>432</v>
      </c>
      <c r="G205" s="8" t="s">
        <v>304</v>
      </c>
      <c r="H205" s="8" t="s">
        <v>302</v>
      </c>
      <c r="I205" s="8" t="s">
        <v>291</v>
      </c>
      <c r="J205" s="8" t="s">
        <v>292</v>
      </c>
      <c r="K205" s="8" t="s">
        <v>293</v>
      </c>
      <c r="L205" s="9" t="s">
        <v>294</v>
      </c>
      <c r="M205" s="8"/>
      <c r="N205" s="8" t="str">
        <f aca="true">IF(M205="","Active (per Notice 1)",IF(M205&lt;TODAY(),"Expired",IF(M205&lt;TODAY()+180,"Expiring Soon","Active")))</f>
        <v>Active (per Notice 1)</v>
      </c>
      <c r="O205" s="13" t="s">
        <v>292</v>
      </c>
      <c r="P205" s="8" t="s">
        <v>296</v>
      </c>
      <c r="Q205" s="8" t="n">
        <v>3.61</v>
      </c>
      <c r="R205" s="8" t="n">
        <v>3</v>
      </c>
      <c r="S205" s="11" t="n">
        <v>45583</v>
      </c>
      <c r="T205" s="8" t="str">
        <f aca="true">IF(S205="","",IF(EDATE(S205,60)&lt;TODAY(),"Expired",IF(EDATE(S205,60)&lt;TODAY()+180,"Expiring Soon","Valid")))</f>
        <v>Valid</v>
      </c>
      <c r="U205" s="8" t="str">
        <f aca="false">IF(P205="","",IF(P205="A++","Top Tier",IF(P205="A+","High",IF(P205="A","Strong",IF(LEFT(P205,1)="B","Acceptable",IF(LEFT(P205,1)="C","Below Avg","-"))))))</f>
        <v>Top Tier</v>
      </c>
      <c r="AC205" s="8" t="n">
        <v>38</v>
      </c>
      <c r="AD205" s="8" t="n">
        <v>21</v>
      </c>
      <c r="AE205" s="8"/>
      <c r="AF205" s="8"/>
      <c r="AG205" s="8"/>
      <c r="AH205" s="15" t="n">
        <v>4</v>
      </c>
      <c r="AI205" s="15" t="n">
        <v>37</v>
      </c>
      <c r="AJ205" s="15" t="n">
        <v>10</v>
      </c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9" t="s">
        <v>431</v>
      </c>
    </row>
    <row r="206" customFormat="false" ht="15" hidden="false" customHeight="true" outlineLevel="0" collapsed="false">
      <c r="A206" s="8" t="n">
        <v>205</v>
      </c>
      <c r="B206" s="8" t="n">
        <v>33</v>
      </c>
      <c r="C206" s="8" t="s">
        <v>425</v>
      </c>
      <c r="D206" s="8" t="s">
        <v>315</v>
      </c>
      <c r="E206" s="9" t="s">
        <v>429</v>
      </c>
      <c r="F206" s="9" t="s">
        <v>433</v>
      </c>
      <c r="G206" s="8" t="s">
        <v>304</v>
      </c>
      <c r="H206" s="8" t="s">
        <v>302</v>
      </c>
      <c r="I206" s="8" t="s">
        <v>291</v>
      </c>
      <c r="J206" s="8" t="s">
        <v>292</v>
      </c>
      <c r="K206" s="8" t="s">
        <v>293</v>
      </c>
      <c r="L206" s="9" t="s">
        <v>294</v>
      </c>
      <c r="M206" s="8"/>
      <c r="N206" s="8" t="str">
        <f aca="true">IF(M206="","Active (per Notice 1)",IF(M206&lt;TODAY(),"Expired",IF(M206&lt;TODAY()+180,"Expiring Soon","Active")))</f>
        <v>Active (per Notice 1)</v>
      </c>
      <c r="O206" s="13" t="s">
        <v>292</v>
      </c>
      <c r="P206" s="8" t="s">
        <v>296</v>
      </c>
      <c r="Q206" s="8" t="n">
        <v>3.61</v>
      </c>
      <c r="R206" s="8" t="n">
        <v>3</v>
      </c>
      <c r="S206" s="11" t="n">
        <v>45583</v>
      </c>
      <c r="T206" s="8" t="str">
        <f aca="true">IF(S206="","",IF(EDATE(S206,60)&lt;TODAY(),"Expired",IF(EDATE(S206,60)&lt;TODAY()+180,"Expiring Soon","Valid")))</f>
        <v>Valid</v>
      </c>
      <c r="U206" s="8" t="str">
        <f aca="false">IF(P206="","",IF(P206="A++","Top Tier",IF(P206="A+","High",IF(P206="A","Strong",IF(LEFT(P206,1)="B","Acceptable",IF(LEFT(P206,1)="C","Below Avg","-"))))))</f>
        <v>Top Tier</v>
      </c>
      <c r="AC206" s="8" t="n">
        <v>38</v>
      </c>
      <c r="AD206" s="8" t="n">
        <v>21</v>
      </c>
      <c r="AE206" s="8"/>
      <c r="AF206" s="8"/>
      <c r="AG206" s="8"/>
      <c r="AH206" s="15" t="n">
        <v>4</v>
      </c>
      <c r="AI206" s="15" t="n">
        <v>37</v>
      </c>
      <c r="AJ206" s="15" t="n">
        <v>10</v>
      </c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9" t="s">
        <v>431</v>
      </c>
    </row>
    <row r="207" customFormat="false" ht="15" hidden="false" customHeight="true" outlineLevel="0" collapsed="false">
      <c r="A207" s="8" t="n">
        <v>206</v>
      </c>
      <c r="B207" s="8" t="n">
        <v>34</v>
      </c>
      <c r="C207" s="8" t="s">
        <v>425</v>
      </c>
      <c r="D207" s="8" t="s">
        <v>315</v>
      </c>
      <c r="E207" s="9" t="s">
        <v>434</v>
      </c>
      <c r="F207" s="9" t="s">
        <v>435</v>
      </c>
      <c r="G207" s="8" t="s">
        <v>318</v>
      </c>
      <c r="H207" s="8" t="s">
        <v>290</v>
      </c>
      <c r="I207" s="8" t="s">
        <v>291</v>
      </c>
      <c r="J207" s="8" t="s">
        <v>292</v>
      </c>
      <c r="K207" s="8" t="s">
        <v>293</v>
      </c>
      <c r="L207" s="9" t="s">
        <v>294</v>
      </c>
      <c r="M207" s="8"/>
      <c r="N207" s="8" t="str">
        <f aca="true">IF(M207="","Active (per Notice 1)",IF(M207&lt;TODAY(),"Expired",IF(M207&lt;TODAY()+180,"Expiring Soon","Active")))</f>
        <v>Active (per Notice 1)</v>
      </c>
      <c r="O207" s="13" t="s">
        <v>292</v>
      </c>
      <c r="P207" s="8" t="s">
        <v>296</v>
      </c>
      <c r="Q207" s="8" t="n">
        <v>3.65</v>
      </c>
      <c r="R207" s="8" t="n">
        <v>3</v>
      </c>
      <c r="S207" s="11" t="n">
        <v>44712</v>
      </c>
      <c r="T207" s="8" t="str">
        <f aca="true">IF(S207="","",IF(EDATE(S207,60)&lt;TODAY(),"Expired",IF(EDATE(S207,60)&lt;TODAY()+180,"Expiring Soon","Valid")))</f>
        <v>Valid</v>
      </c>
      <c r="U207" s="8" t="str">
        <f aca="false">IF(P207="","",IF(P207="A++","Top Tier",IF(P207="A+","High",IF(P207="A","Strong",IF(LEFT(P207,1)="B","Acceptable",IF(LEFT(P207,1)="C","Below Avg","-"))))))</f>
        <v>Top Tier</v>
      </c>
      <c r="V207" s="8" t="s">
        <v>380</v>
      </c>
      <c r="W207" s="9" t="s">
        <v>436</v>
      </c>
      <c r="X207" s="14" t="s">
        <v>437</v>
      </c>
      <c r="AC207" s="8" t="n">
        <v>14</v>
      </c>
      <c r="AD207" s="8" t="n">
        <v>3</v>
      </c>
      <c r="AE207" s="8" t="n">
        <v>19</v>
      </c>
      <c r="AF207" s="15" t="n">
        <v>59</v>
      </c>
      <c r="AG207" s="15" t="n">
        <v>39</v>
      </c>
      <c r="AH207" s="15" t="n">
        <v>8</v>
      </c>
      <c r="AI207" s="15" t="n">
        <v>10</v>
      </c>
      <c r="AJ207" s="15" t="n">
        <v>5</v>
      </c>
      <c r="AK207" s="8"/>
      <c r="AL207" s="15" t="n">
        <v>27</v>
      </c>
      <c r="AM207" s="8"/>
      <c r="AN207" s="8"/>
      <c r="AO207" s="8"/>
      <c r="AP207" s="8"/>
      <c r="AQ207" s="8"/>
      <c r="AR207" s="8" t="n">
        <v>5</v>
      </c>
      <c r="AS207" s="8"/>
      <c r="AT207" s="8"/>
      <c r="AU207" s="9" t="s">
        <v>438</v>
      </c>
    </row>
    <row r="208" customFormat="false" ht="15" hidden="false" customHeight="true" outlineLevel="0" collapsed="false">
      <c r="A208" s="8" t="n">
        <v>207</v>
      </c>
      <c r="B208" s="8" t="n">
        <v>34</v>
      </c>
      <c r="C208" s="8" t="s">
        <v>425</v>
      </c>
      <c r="D208" s="8" t="s">
        <v>315</v>
      </c>
      <c r="E208" s="9" t="s">
        <v>434</v>
      </c>
      <c r="F208" s="9" t="s">
        <v>439</v>
      </c>
      <c r="G208" s="8" t="s">
        <v>289</v>
      </c>
      <c r="H208" s="8" t="s">
        <v>290</v>
      </c>
      <c r="I208" s="8" t="s">
        <v>291</v>
      </c>
      <c r="J208" s="8" t="s">
        <v>292</v>
      </c>
      <c r="K208" s="8" t="s">
        <v>293</v>
      </c>
      <c r="L208" s="9" t="s">
        <v>294</v>
      </c>
      <c r="M208" s="8"/>
      <c r="N208" s="8" t="str">
        <f aca="true">IF(M208="","Active (per Notice 1)",IF(M208&lt;TODAY(),"Expired",IF(M208&lt;TODAY()+180,"Expiring Soon","Active")))</f>
        <v>Active (per Notice 1)</v>
      </c>
      <c r="O208" s="10" t="s">
        <v>295</v>
      </c>
      <c r="P208" s="8" t="s">
        <v>296</v>
      </c>
      <c r="Q208" s="8" t="n">
        <v>3.65</v>
      </c>
      <c r="R208" s="8" t="n">
        <v>3</v>
      </c>
      <c r="S208" s="11" t="n">
        <v>44712</v>
      </c>
      <c r="T208" s="8" t="str">
        <f aca="true">IF(S208="","",IF(EDATE(S208,60)&lt;TODAY(),"Expired",IF(EDATE(S208,60)&lt;TODAY()+180,"Expiring Soon","Valid")))</f>
        <v>Valid</v>
      </c>
      <c r="U208" s="8" t="str">
        <f aca="false">IF(P208="","",IF(P208="A++","Top Tier",IF(P208="A+","High",IF(P208="A","Strong",IF(LEFT(P208,1)="B","Acceptable",IF(LEFT(P208,1)="C","Below Avg","-"))))))</f>
        <v>Top Tier</v>
      </c>
      <c r="V208" s="8" t="s">
        <v>440</v>
      </c>
      <c r="AC208" s="8" t="n">
        <v>14</v>
      </c>
      <c r="AD208" s="8" t="n">
        <v>3</v>
      </c>
      <c r="AE208" s="8" t="n">
        <v>19</v>
      </c>
      <c r="AF208" s="15" t="n">
        <v>59</v>
      </c>
      <c r="AG208" s="15" t="n">
        <v>39</v>
      </c>
      <c r="AH208" s="15" t="n">
        <v>8</v>
      </c>
      <c r="AI208" s="15" t="n">
        <v>10</v>
      </c>
      <c r="AJ208" s="15" t="n">
        <v>5</v>
      </c>
      <c r="AK208" s="8"/>
      <c r="AL208" s="15" t="n">
        <v>27</v>
      </c>
      <c r="AM208" s="8"/>
      <c r="AN208" s="8"/>
      <c r="AO208" s="8"/>
      <c r="AP208" s="8"/>
      <c r="AQ208" s="8"/>
      <c r="AR208" s="8" t="n">
        <v>5</v>
      </c>
      <c r="AS208" s="8"/>
      <c r="AT208" s="8"/>
      <c r="AU208" s="9" t="s">
        <v>438</v>
      </c>
    </row>
    <row r="209" customFormat="false" ht="15" hidden="false" customHeight="true" outlineLevel="0" collapsed="false">
      <c r="A209" s="8" t="n">
        <v>208</v>
      </c>
      <c r="B209" s="8" t="n">
        <v>34</v>
      </c>
      <c r="C209" s="8" t="s">
        <v>425</v>
      </c>
      <c r="D209" s="8" t="s">
        <v>315</v>
      </c>
      <c r="E209" s="9" t="s">
        <v>434</v>
      </c>
      <c r="F209" s="9" t="s">
        <v>441</v>
      </c>
      <c r="G209" s="8" t="s">
        <v>386</v>
      </c>
      <c r="H209" s="8" t="s">
        <v>302</v>
      </c>
      <c r="I209" s="8" t="s">
        <v>291</v>
      </c>
      <c r="J209" s="8" t="s">
        <v>292</v>
      </c>
      <c r="K209" s="8" t="s">
        <v>293</v>
      </c>
      <c r="L209" s="9" t="s">
        <v>294</v>
      </c>
      <c r="M209" s="8"/>
      <c r="N209" s="8" t="str">
        <f aca="true">IF(M209="","Active (per Notice 1)",IF(M209&lt;TODAY(),"Expired",IF(M209&lt;TODAY()+180,"Expiring Soon","Active")))</f>
        <v>Active (per Notice 1)</v>
      </c>
      <c r="O209" s="10" t="s">
        <v>295</v>
      </c>
      <c r="P209" s="8" t="s">
        <v>296</v>
      </c>
      <c r="Q209" s="8" t="n">
        <v>3.65</v>
      </c>
      <c r="R209" s="8" t="n">
        <v>3</v>
      </c>
      <c r="S209" s="11" t="n">
        <v>44712</v>
      </c>
      <c r="T209" s="8" t="str">
        <f aca="true">IF(S209="","",IF(EDATE(S209,60)&lt;TODAY(),"Expired",IF(EDATE(S209,60)&lt;TODAY()+180,"Expiring Soon","Valid")))</f>
        <v>Valid</v>
      </c>
      <c r="U209" s="8" t="str">
        <f aca="false">IF(P209="","",IF(P209="A++","Top Tier",IF(P209="A+","High",IF(P209="A","Strong",IF(LEFT(P209,1)="B","Acceptable",IF(LEFT(P209,1)="C","Below Avg","-"))))))</f>
        <v>Top Tier</v>
      </c>
      <c r="V209" s="8" t="s">
        <v>440</v>
      </c>
      <c r="AC209" s="8" t="n">
        <v>14</v>
      </c>
      <c r="AD209" s="8" t="n">
        <v>3</v>
      </c>
      <c r="AE209" s="8" t="n">
        <v>19</v>
      </c>
      <c r="AF209" s="15" t="n">
        <v>59</v>
      </c>
      <c r="AG209" s="15" t="n">
        <v>39</v>
      </c>
      <c r="AH209" s="15" t="n">
        <v>8</v>
      </c>
      <c r="AI209" s="15" t="n">
        <v>10</v>
      </c>
      <c r="AJ209" s="15" t="n">
        <v>5</v>
      </c>
      <c r="AK209" s="8"/>
      <c r="AL209" s="15" t="n">
        <v>27</v>
      </c>
      <c r="AM209" s="8"/>
      <c r="AN209" s="8"/>
      <c r="AO209" s="8"/>
      <c r="AP209" s="8"/>
      <c r="AQ209" s="8"/>
      <c r="AR209" s="8" t="n">
        <v>5</v>
      </c>
      <c r="AS209" s="8"/>
      <c r="AT209" s="8"/>
      <c r="AU209" s="9" t="s">
        <v>438</v>
      </c>
    </row>
    <row r="210" customFormat="false" ht="15" hidden="false" customHeight="true" outlineLevel="0" collapsed="false">
      <c r="A210" s="8" t="n">
        <v>209</v>
      </c>
      <c r="B210" s="8" t="n">
        <v>34</v>
      </c>
      <c r="C210" s="8" t="s">
        <v>425</v>
      </c>
      <c r="D210" s="8" t="s">
        <v>315</v>
      </c>
      <c r="E210" s="9" t="s">
        <v>434</v>
      </c>
      <c r="F210" s="9" t="s">
        <v>401</v>
      </c>
      <c r="G210" s="8" t="s">
        <v>386</v>
      </c>
      <c r="H210" s="8" t="s">
        <v>302</v>
      </c>
      <c r="I210" s="8" t="s">
        <v>291</v>
      </c>
      <c r="J210" s="8" t="s">
        <v>292</v>
      </c>
      <c r="K210" s="8" t="s">
        <v>293</v>
      </c>
      <c r="L210" s="9" t="s">
        <v>294</v>
      </c>
      <c r="M210" s="8"/>
      <c r="N210" s="8" t="str">
        <f aca="true">IF(M210="","Active (per Notice 1)",IF(M210&lt;TODAY(),"Expired",IF(M210&lt;TODAY()+180,"Expiring Soon","Active")))</f>
        <v>Active (per Notice 1)</v>
      </c>
      <c r="O210" s="10" t="s">
        <v>295</v>
      </c>
      <c r="P210" s="8" t="s">
        <v>296</v>
      </c>
      <c r="Q210" s="8" t="n">
        <v>3.65</v>
      </c>
      <c r="R210" s="8" t="n">
        <v>3</v>
      </c>
      <c r="S210" s="11" t="n">
        <v>44712</v>
      </c>
      <c r="T210" s="8" t="str">
        <f aca="true">IF(S210="","",IF(EDATE(S210,60)&lt;TODAY(),"Expired",IF(EDATE(S210,60)&lt;TODAY()+180,"Expiring Soon","Valid")))</f>
        <v>Valid</v>
      </c>
      <c r="U210" s="8" t="str">
        <f aca="false">IF(P210="","",IF(P210="A++","Top Tier",IF(P210="A+","High",IF(P210="A","Strong",IF(LEFT(P210,1)="B","Acceptable",IF(LEFT(P210,1)="C","Below Avg","-"))))))</f>
        <v>Top Tier</v>
      </c>
      <c r="V210" s="8" t="s">
        <v>440</v>
      </c>
      <c r="AC210" s="8" t="n">
        <v>14</v>
      </c>
      <c r="AD210" s="8" t="n">
        <v>3</v>
      </c>
      <c r="AE210" s="8" t="n">
        <v>19</v>
      </c>
      <c r="AF210" s="15" t="n">
        <v>59</v>
      </c>
      <c r="AG210" s="15" t="n">
        <v>39</v>
      </c>
      <c r="AH210" s="15" t="n">
        <v>8</v>
      </c>
      <c r="AI210" s="15" t="n">
        <v>10</v>
      </c>
      <c r="AJ210" s="15" t="n">
        <v>5</v>
      </c>
      <c r="AK210" s="8"/>
      <c r="AL210" s="15" t="n">
        <v>27</v>
      </c>
      <c r="AM210" s="8"/>
      <c r="AN210" s="8"/>
      <c r="AO210" s="8"/>
      <c r="AP210" s="8"/>
      <c r="AQ210" s="8"/>
      <c r="AR210" s="8" t="n">
        <v>5</v>
      </c>
      <c r="AS210" s="8"/>
      <c r="AT210" s="8"/>
      <c r="AU210" s="9" t="s">
        <v>438</v>
      </c>
    </row>
    <row r="211" customFormat="false" ht="23.25" hidden="false" customHeight="true" outlineLevel="0" collapsed="false">
      <c r="A211" s="8" t="n">
        <v>210</v>
      </c>
      <c r="B211" s="8" t="n">
        <v>34</v>
      </c>
      <c r="C211" s="8" t="s">
        <v>425</v>
      </c>
      <c r="D211" s="8" t="s">
        <v>315</v>
      </c>
      <c r="E211" s="9" t="s">
        <v>434</v>
      </c>
      <c r="F211" s="9" t="s">
        <v>442</v>
      </c>
      <c r="G211" s="8" t="s">
        <v>304</v>
      </c>
      <c r="H211" s="8" t="s">
        <v>302</v>
      </c>
      <c r="I211" s="8" t="s">
        <v>291</v>
      </c>
      <c r="J211" s="8" t="s">
        <v>292</v>
      </c>
      <c r="K211" s="8" t="s">
        <v>293</v>
      </c>
      <c r="L211" s="9" t="s">
        <v>294</v>
      </c>
      <c r="M211" s="8"/>
      <c r="N211" s="8" t="str">
        <f aca="true">IF(M211="","Active (per Notice 1)",IF(M211&lt;TODAY(),"Expired",IF(M211&lt;TODAY()+180,"Expiring Soon","Active")))</f>
        <v>Active (per Notice 1)</v>
      </c>
      <c r="O211" s="13" t="s">
        <v>292</v>
      </c>
      <c r="P211" s="8" t="s">
        <v>296</v>
      </c>
      <c r="Q211" s="8" t="n">
        <v>3.65</v>
      </c>
      <c r="R211" s="8" t="n">
        <v>3</v>
      </c>
      <c r="S211" s="11" t="n">
        <v>44712</v>
      </c>
      <c r="T211" s="8" t="str">
        <f aca="true">IF(S211="","",IF(EDATE(S211,60)&lt;TODAY(),"Expired",IF(EDATE(S211,60)&lt;TODAY()+180,"Expiring Soon","Valid")))</f>
        <v>Valid</v>
      </c>
      <c r="U211" s="8" t="str">
        <f aca="false">IF(P211="","",IF(P211="A++","Top Tier",IF(P211="A+","High",IF(P211="A","Strong",IF(LEFT(P211,1)="B","Acceptable",IF(LEFT(P211,1)="C","Below Avg","-"))))))</f>
        <v>Top Tier</v>
      </c>
      <c r="V211" s="8" t="s">
        <v>380</v>
      </c>
      <c r="W211" s="9" t="s">
        <v>436</v>
      </c>
      <c r="X211" s="14" t="s">
        <v>437</v>
      </c>
      <c r="AC211" s="8" t="n">
        <v>14</v>
      </c>
      <c r="AD211" s="8" t="n">
        <v>3</v>
      </c>
      <c r="AE211" s="8" t="n">
        <v>19</v>
      </c>
      <c r="AF211" s="15" t="n">
        <v>59</v>
      </c>
      <c r="AG211" s="15" t="n">
        <v>39</v>
      </c>
      <c r="AH211" s="15" t="n">
        <v>8</v>
      </c>
      <c r="AI211" s="15" t="n">
        <v>10</v>
      </c>
      <c r="AJ211" s="15" t="n">
        <v>5</v>
      </c>
      <c r="AK211" s="8"/>
      <c r="AL211" s="15" t="n">
        <v>27</v>
      </c>
      <c r="AM211" s="8"/>
      <c r="AN211" s="8"/>
      <c r="AO211" s="8"/>
      <c r="AP211" s="8"/>
      <c r="AQ211" s="8"/>
      <c r="AR211" s="8" t="n">
        <v>5</v>
      </c>
      <c r="AS211" s="8"/>
      <c r="AT211" s="8"/>
      <c r="AU211" s="9" t="s">
        <v>438</v>
      </c>
    </row>
    <row r="212" customFormat="false" ht="15" hidden="false" customHeight="true" outlineLevel="0" collapsed="false">
      <c r="A212" s="8" t="n">
        <v>211</v>
      </c>
      <c r="B212" s="8" t="n">
        <v>34</v>
      </c>
      <c r="C212" s="8" t="s">
        <v>425</v>
      </c>
      <c r="D212" s="8" t="s">
        <v>315</v>
      </c>
      <c r="E212" s="9" t="s">
        <v>434</v>
      </c>
      <c r="F212" s="9" t="s">
        <v>303</v>
      </c>
      <c r="G212" s="8" t="s">
        <v>304</v>
      </c>
      <c r="H212" s="8" t="s">
        <v>302</v>
      </c>
      <c r="I212" s="8" t="s">
        <v>291</v>
      </c>
      <c r="J212" s="8" t="s">
        <v>292</v>
      </c>
      <c r="K212" s="8" t="s">
        <v>293</v>
      </c>
      <c r="L212" s="9" t="s">
        <v>294</v>
      </c>
      <c r="M212" s="8"/>
      <c r="N212" s="8" t="str">
        <f aca="true">IF(M212="","Active (per Notice 1)",IF(M212&lt;TODAY(),"Expired",IF(M212&lt;TODAY()+180,"Expiring Soon","Active")))</f>
        <v>Active (per Notice 1)</v>
      </c>
      <c r="O212" s="13" t="s">
        <v>292</v>
      </c>
      <c r="P212" s="8" t="s">
        <v>296</v>
      </c>
      <c r="Q212" s="8" t="n">
        <v>3.65</v>
      </c>
      <c r="R212" s="8" t="n">
        <v>3</v>
      </c>
      <c r="S212" s="11" t="n">
        <v>44712</v>
      </c>
      <c r="T212" s="8" t="str">
        <f aca="true">IF(S212="","",IF(EDATE(S212,60)&lt;TODAY(),"Expired",IF(EDATE(S212,60)&lt;TODAY()+180,"Expiring Soon","Valid")))</f>
        <v>Valid</v>
      </c>
      <c r="U212" s="8" t="str">
        <f aca="false">IF(P212="","",IF(P212="A++","Top Tier",IF(P212="A+","High",IF(P212="A","Strong",IF(LEFT(P212,1)="B","Acceptable",IF(LEFT(P212,1)="C","Below Avg","-"))))))</f>
        <v>Top Tier</v>
      </c>
      <c r="V212" s="8" t="s">
        <v>380</v>
      </c>
      <c r="W212" s="9" t="s">
        <v>436</v>
      </c>
      <c r="X212" s="14" t="s">
        <v>437</v>
      </c>
      <c r="AC212" s="8" t="n">
        <v>14</v>
      </c>
      <c r="AD212" s="8" t="n">
        <v>3</v>
      </c>
      <c r="AE212" s="8" t="n">
        <v>19</v>
      </c>
      <c r="AF212" s="15" t="n">
        <v>59</v>
      </c>
      <c r="AG212" s="15" t="n">
        <v>39</v>
      </c>
      <c r="AH212" s="15" t="n">
        <v>8</v>
      </c>
      <c r="AI212" s="15" t="n">
        <v>10</v>
      </c>
      <c r="AJ212" s="15" t="n">
        <v>5</v>
      </c>
      <c r="AK212" s="8"/>
      <c r="AL212" s="15" t="n">
        <v>27</v>
      </c>
      <c r="AM212" s="8"/>
      <c r="AN212" s="8"/>
      <c r="AO212" s="8"/>
      <c r="AP212" s="8"/>
      <c r="AQ212" s="8"/>
      <c r="AR212" s="8" t="n">
        <v>5</v>
      </c>
      <c r="AS212" s="8"/>
      <c r="AT212" s="8"/>
      <c r="AU212" s="9" t="s">
        <v>438</v>
      </c>
    </row>
    <row r="213" customFormat="false" ht="15" hidden="false" customHeight="true" outlineLevel="0" collapsed="false">
      <c r="A213" s="8" t="n">
        <v>212</v>
      </c>
      <c r="B213" s="8" t="n">
        <v>34</v>
      </c>
      <c r="C213" s="8" t="s">
        <v>425</v>
      </c>
      <c r="D213" s="8" t="s">
        <v>315</v>
      </c>
      <c r="E213" s="9" t="s">
        <v>434</v>
      </c>
      <c r="F213" s="9" t="s">
        <v>306</v>
      </c>
      <c r="G213" s="8" t="s">
        <v>307</v>
      </c>
      <c r="H213" s="8" t="s">
        <v>302</v>
      </c>
      <c r="I213" s="8" t="s">
        <v>291</v>
      </c>
      <c r="J213" s="8" t="s">
        <v>292</v>
      </c>
      <c r="K213" s="8" t="s">
        <v>293</v>
      </c>
      <c r="L213" s="9" t="s">
        <v>294</v>
      </c>
      <c r="M213" s="8"/>
      <c r="N213" s="8" t="str">
        <f aca="true">IF(M213="","Active (per Notice 1)",IF(M213&lt;TODAY(),"Expired",IF(M213&lt;TODAY()+180,"Expiring Soon","Active")))</f>
        <v>Active (per Notice 1)</v>
      </c>
      <c r="O213" s="13" t="s">
        <v>292</v>
      </c>
      <c r="P213" s="8" t="s">
        <v>296</v>
      </c>
      <c r="Q213" s="8" t="n">
        <v>3.65</v>
      </c>
      <c r="R213" s="8" t="n">
        <v>3</v>
      </c>
      <c r="S213" s="11" t="n">
        <v>44712</v>
      </c>
      <c r="T213" s="8" t="str">
        <f aca="true">IF(S213="","",IF(EDATE(S213,60)&lt;TODAY(),"Expired",IF(EDATE(S213,60)&lt;TODAY()+180,"Expiring Soon","Valid")))</f>
        <v>Valid</v>
      </c>
      <c r="U213" s="8" t="str">
        <f aca="false">IF(P213="","",IF(P213="A++","Top Tier",IF(P213="A+","High",IF(P213="A","Strong",IF(LEFT(P213,1)="B","Acceptable",IF(LEFT(P213,1)="C","Below Avg","-"))))))</f>
        <v>Top Tier</v>
      </c>
      <c r="V213" s="8" t="s">
        <v>440</v>
      </c>
      <c r="AC213" s="8" t="n">
        <v>14</v>
      </c>
      <c r="AD213" s="8" t="n">
        <v>3</v>
      </c>
      <c r="AE213" s="8" t="n">
        <v>19</v>
      </c>
      <c r="AF213" s="15" t="n">
        <v>59</v>
      </c>
      <c r="AG213" s="15" t="n">
        <v>39</v>
      </c>
      <c r="AH213" s="15" t="n">
        <v>8</v>
      </c>
      <c r="AI213" s="15" t="n">
        <v>10</v>
      </c>
      <c r="AJ213" s="15" t="n">
        <v>5</v>
      </c>
      <c r="AK213" s="8"/>
      <c r="AL213" s="15" t="n">
        <v>27</v>
      </c>
      <c r="AM213" s="8"/>
      <c r="AN213" s="8"/>
      <c r="AO213" s="8"/>
      <c r="AP213" s="8"/>
      <c r="AQ213" s="8"/>
      <c r="AR213" s="8" t="n">
        <v>5</v>
      </c>
      <c r="AS213" s="8"/>
      <c r="AT213" s="8"/>
      <c r="AU213" s="9" t="s">
        <v>438</v>
      </c>
    </row>
    <row r="214" customFormat="false" ht="15" hidden="false" customHeight="true" outlineLevel="0" collapsed="false">
      <c r="A214" s="8" t="n">
        <v>213</v>
      </c>
      <c r="B214" s="8" t="n">
        <v>35</v>
      </c>
      <c r="C214" s="8" t="s">
        <v>425</v>
      </c>
      <c r="D214" s="8" t="s">
        <v>286</v>
      </c>
      <c r="E214" s="9" t="s">
        <v>443</v>
      </c>
      <c r="F214" s="9" t="s">
        <v>359</v>
      </c>
      <c r="G214" s="8" t="s">
        <v>289</v>
      </c>
      <c r="H214" s="8" t="s">
        <v>290</v>
      </c>
      <c r="I214" s="8" t="s">
        <v>291</v>
      </c>
      <c r="J214" s="8" t="s">
        <v>292</v>
      </c>
      <c r="K214" s="8" t="s">
        <v>293</v>
      </c>
      <c r="L214" s="9" t="s">
        <v>294</v>
      </c>
      <c r="M214" s="8"/>
      <c r="N214" s="8" t="str">
        <f aca="true">IF(M214="","Active (per Notice 1)",IF(M214&lt;TODAY(),"Expired",IF(M214&lt;TODAY()+180,"Expiring Soon","Active")))</f>
        <v>Active (per Notice 1)</v>
      </c>
      <c r="O214" s="10" t="s">
        <v>295</v>
      </c>
      <c r="P214" s="8" t="s">
        <v>296</v>
      </c>
      <c r="Q214" s="8" t="n">
        <v>3.75</v>
      </c>
      <c r="R214" s="8" t="n">
        <v>4</v>
      </c>
      <c r="S214" s="11" t="n">
        <v>45087</v>
      </c>
      <c r="T214" s="8" t="str">
        <f aca="true">IF(S214="","",IF(EDATE(S214,60)&lt;TODAY(),"Expired",IF(EDATE(S214,60)&lt;TODAY()+180,"Expiring Soon","Valid")))</f>
        <v>Valid</v>
      </c>
      <c r="U214" s="8" t="str">
        <f aca="false">IF(P214="","",IF(P214="A++","Top Tier",IF(P214="A+","High",IF(P214="A","Strong",IF(LEFT(P214,1)="B","Acceptable",IF(LEFT(P214,1)="C","Below Avg","-"))))))</f>
        <v>Top Tier</v>
      </c>
      <c r="AC214" s="8"/>
      <c r="AD214" s="8" t="n">
        <v>65</v>
      </c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 t="n">
        <v>26</v>
      </c>
      <c r="AP214" s="8"/>
      <c r="AQ214" s="8"/>
      <c r="AR214" s="8"/>
      <c r="AS214" s="8"/>
      <c r="AT214" s="8"/>
      <c r="AU214" s="8"/>
    </row>
    <row r="215" customFormat="false" ht="15" hidden="false" customHeight="true" outlineLevel="0" collapsed="false">
      <c r="A215" s="8" t="n">
        <v>214</v>
      </c>
      <c r="B215" s="8" t="n">
        <v>35</v>
      </c>
      <c r="C215" s="8" t="s">
        <v>425</v>
      </c>
      <c r="D215" s="8" t="s">
        <v>286</v>
      </c>
      <c r="E215" s="9" t="s">
        <v>443</v>
      </c>
      <c r="F215" s="9" t="s">
        <v>311</v>
      </c>
      <c r="G215" s="8" t="s">
        <v>301</v>
      </c>
      <c r="H215" s="8" t="s">
        <v>302</v>
      </c>
      <c r="I215" s="8" t="s">
        <v>291</v>
      </c>
      <c r="J215" s="8" t="s">
        <v>292</v>
      </c>
      <c r="K215" s="8" t="s">
        <v>293</v>
      </c>
      <c r="L215" s="9" t="s">
        <v>294</v>
      </c>
      <c r="M215" s="8"/>
      <c r="N215" s="8" t="str">
        <f aca="true">IF(M215="","Active (per Notice 1)",IF(M215&lt;TODAY(),"Expired",IF(M215&lt;TODAY()+180,"Expiring Soon","Active")))</f>
        <v>Active (per Notice 1)</v>
      </c>
      <c r="O215" s="10" t="s">
        <v>295</v>
      </c>
      <c r="P215" s="8" t="s">
        <v>296</v>
      </c>
      <c r="Q215" s="8" t="n">
        <v>3.75</v>
      </c>
      <c r="R215" s="8" t="n">
        <v>4</v>
      </c>
      <c r="S215" s="11" t="n">
        <v>45087</v>
      </c>
      <c r="T215" s="8" t="str">
        <f aca="true">IF(S215="","",IF(EDATE(S215,60)&lt;TODAY(),"Expired",IF(EDATE(S215,60)&lt;TODAY()+180,"Expiring Soon","Valid")))</f>
        <v>Valid</v>
      </c>
      <c r="U215" s="8" t="str">
        <f aca="false">IF(P215="","",IF(P215="A++","Top Tier",IF(P215="A+","High",IF(P215="A","Strong",IF(LEFT(P215,1)="B","Acceptable",IF(LEFT(P215,1)="C","Below Avg","-"))))))</f>
        <v>Top Tier</v>
      </c>
      <c r="AC215" s="8"/>
      <c r="AD215" s="8" t="n">
        <v>65</v>
      </c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 t="n">
        <v>26</v>
      </c>
      <c r="AP215" s="8"/>
      <c r="AQ215" s="8"/>
      <c r="AR215" s="8"/>
      <c r="AS215" s="8"/>
      <c r="AT215" s="8"/>
      <c r="AU215" s="8"/>
    </row>
    <row r="216" customFormat="false" ht="15" hidden="false" customHeight="true" outlineLevel="0" collapsed="false">
      <c r="A216" s="8" t="n">
        <v>215</v>
      </c>
      <c r="B216" s="8" t="n">
        <v>35</v>
      </c>
      <c r="C216" s="8" t="s">
        <v>425</v>
      </c>
      <c r="D216" s="8" t="s">
        <v>286</v>
      </c>
      <c r="E216" s="9" t="s">
        <v>443</v>
      </c>
      <c r="F216" s="9" t="s">
        <v>312</v>
      </c>
      <c r="G216" s="8" t="s">
        <v>301</v>
      </c>
      <c r="H216" s="8" t="s">
        <v>302</v>
      </c>
      <c r="I216" s="8" t="s">
        <v>291</v>
      </c>
      <c r="J216" s="8" t="s">
        <v>292</v>
      </c>
      <c r="K216" s="8" t="s">
        <v>293</v>
      </c>
      <c r="L216" s="9" t="s">
        <v>294</v>
      </c>
      <c r="M216" s="8"/>
      <c r="N216" s="8" t="str">
        <f aca="true">IF(M216="","Active (per Notice 1)",IF(M216&lt;TODAY(),"Expired",IF(M216&lt;TODAY()+180,"Expiring Soon","Active")))</f>
        <v>Active (per Notice 1)</v>
      </c>
      <c r="O216" s="10" t="s">
        <v>295</v>
      </c>
      <c r="P216" s="8" t="s">
        <v>296</v>
      </c>
      <c r="Q216" s="8" t="n">
        <v>3.75</v>
      </c>
      <c r="R216" s="8" t="n">
        <v>4</v>
      </c>
      <c r="S216" s="11" t="n">
        <v>45087</v>
      </c>
      <c r="T216" s="8" t="str">
        <f aca="true">IF(S216="","",IF(EDATE(S216,60)&lt;TODAY(),"Expired",IF(EDATE(S216,60)&lt;TODAY()+180,"Expiring Soon","Valid")))</f>
        <v>Valid</v>
      </c>
      <c r="U216" s="8" t="str">
        <f aca="false">IF(P216="","",IF(P216="A++","Top Tier",IF(P216="A+","High",IF(P216="A","Strong",IF(LEFT(P216,1)="B","Acceptable",IF(LEFT(P216,1)="C","Below Avg","-"))))))</f>
        <v>Top Tier</v>
      </c>
      <c r="AC216" s="8"/>
      <c r="AD216" s="8" t="n">
        <v>65</v>
      </c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 t="n">
        <v>26</v>
      </c>
      <c r="AP216" s="8"/>
      <c r="AQ216" s="8"/>
      <c r="AR216" s="8"/>
      <c r="AS216" s="8"/>
      <c r="AT216" s="8"/>
      <c r="AU216" s="8"/>
    </row>
    <row r="217" customFormat="false" ht="15" hidden="false" customHeight="true" outlineLevel="0" collapsed="false">
      <c r="A217" s="8" t="n">
        <v>216</v>
      </c>
      <c r="B217" s="8" t="n">
        <v>35</v>
      </c>
      <c r="C217" s="8" t="s">
        <v>425</v>
      </c>
      <c r="D217" s="8" t="s">
        <v>286</v>
      </c>
      <c r="E217" s="9" t="s">
        <v>443</v>
      </c>
      <c r="F217" s="9" t="s">
        <v>347</v>
      </c>
      <c r="G217" s="8" t="s">
        <v>301</v>
      </c>
      <c r="H217" s="8" t="s">
        <v>302</v>
      </c>
      <c r="I217" s="8" t="s">
        <v>291</v>
      </c>
      <c r="J217" s="8" t="s">
        <v>292</v>
      </c>
      <c r="K217" s="8" t="s">
        <v>293</v>
      </c>
      <c r="L217" s="9" t="s">
        <v>294</v>
      </c>
      <c r="M217" s="8"/>
      <c r="N217" s="8" t="str">
        <f aca="true">IF(M217="","Active (per Notice 1)",IF(M217&lt;TODAY(),"Expired",IF(M217&lt;TODAY()+180,"Expiring Soon","Active")))</f>
        <v>Active (per Notice 1)</v>
      </c>
      <c r="O217" s="10" t="s">
        <v>295</v>
      </c>
      <c r="P217" s="8" t="s">
        <v>296</v>
      </c>
      <c r="Q217" s="8" t="n">
        <v>3.75</v>
      </c>
      <c r="R217" s="8" t="n">
        <v>4</v>
      </c>
      <c r="S217" s="11" t="n">
        <v>45087</v>
      </c>
      <c r="T217" s="8" t="str">
        <f aca="true">IF(S217="","",IF(EDATE(S217,60)&lt;TODAY(),"Expired",IF(EDATE(S217,60)&lt;TODAY()+180,"Expiring Soon","Valid")))</f>
        <v>Valid</v>
      </c>
      <c r="U217" s="8" t="str">
        <f aca="false">IF(P217="","",IF(P217="A++","Top Tier",IF(P217="A+","High",IF(P217="A","Strong",IF(LEFT(P217,1)="B","Acceptable",IF(LEFT(P217,1)="C","Below Avg","-"))))))</f>
        <v>Top Tier</v>
      </c>
      <c r="AC217" s="8"/>
      <c r="AD217" s="8" t="n">
        <v>65</v>
      </c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 t="n">
        <v>26</v>
      </c>
      <c r="AP217" s="8"/>
      <c r="AQ217" s="8"/>
      <c r="AR217" s="8"/>
      <c r="AS217" s="8"/>
      <c r="AT217" s="8"/>
      <c r="AU217" s="8"/>
    </row>
    <row r="218" customFormat="false" ht="15" hidden="false" customHeight="true" outlineLevel="0" collapsed="false">
      <c r="A218" s="8" t="n">
        <v>217</v>
      </c>
      <c r="B218" s="8" t="n">
        <v>35</v>
      </c>
      <c r="C218" s="8" t="s">
        <v>425</v>
      </c>
      <c r="D218" s="8" t="s">
        <v>286</v>
      </c>
      <c r="E218" s="9" t="s">
        <v>443</v>
      </c>
      <c r="F218" s="9" t="s">
        <v>300</v>
      </c>
      <c r="G218" s="8" t="s">
        <v>301</v>
      </c>
      <c r="H218" s="8" t="s">
        <v>302</v>
      </c>
      <c r="I218" s="8" t="s">
        <v>291</v>
      </c>
      <c r="J218" s="8" t="s">
        <v>292</v>
      </c>
      <c r="K218" s="8" t="s">
        <v>293</v>
      </c>
      <c r="L218" s="9" t="s">
        <v>294</v>
      </c>
      <c r="M218" s="8"/>
      <c r="N218" s="8" t="str">
        <f aca="true">IF(M218="","Active (per Notice 1)",IF(M218&lt;TODAY(),"Expired",IF(M218&lt;TODAY()+180,"Expiring Soon","Active")))</f>
        <v>Active (per Notice 1)</v>
      </c>
      <c r="O218" s="10" t="s">
        <v>295</v>
      </c>
      <c r="P218" s="8" t="s">
        <v>296</v>
      </c>
      <c r="Q218" s="8" t="n">
        <v>3.75</v>
      </c>
      <c r="R218" s="8" t="n">
        <v>4</v>
      </c>
      <c r="S218" s="11" t="n">
        <v>45087</v>
      </c>
      <c r="T218" s="8" t="str">
        <f aca="true">IF(S218="","",IF(EDATE(S218,60)&lt;TODAY(),"Expired",IF(EDATE(S218,60)&lt;TODAY()+180,"Expiring Soon","Valid")))</f>
        <v>Valid</v>
      </c>
      <c r="U218" s="8" t="str">
        <f aca="false">IF(P218="","",IF(P218="A++","Top Tier",IF(P218="A+","High",IF(P218="A","Strong",IF(LEFT(P218,1)="B","Acceptable",IF(LEFT(P218,1)="C","Below Avg","-"))))))</f>
        <v>Top Tier</v>
      </c>
      <c r="AC218" s="8"/>
      <c r="AD218" s="8" t="n">
        <v>65</v>
      </c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 t="n">
        <v>26</v>
      </c>
      <c r="AP218" s="8"/>
      <c r="AQ218" s="8"/>
      <c r="AR218" s="8"/>
      <c r="AS218" s="8"/>
      <c r="AT218" s="8"/>
      <c r="AU218" s="8"/>
    </row>
    <row r="219" customFormat="false" ht="15" hidden="false" customHeight="true" outlineLevel="0" collapsed="false">
      <c r="A219" s="8" t="n">
        <v>218</v>
      </c>
      <c r="B219" s="8" t="n">
        <v>35</v>
      </c>
      <c r="C219" s="8" t="s">
        <v>425</v>
      </c>
      <c r="D219" s="8" t="s">
        <v>286</v>
      </c>
      <c r="E219" s="9" t="s">
        <v>443</v>
      </c>
      <c r="F219" s="9" t="s">
        <v>310</v>
      </c>
      <c r="G219" s="8" t="s">
        <v>301</v>
      </c>
      <c r="H219" s="8" t="s">
        <v>302</v>
      </c>
      <c r="I219" s="8" t="s">
        <v>291</v>
      </c>
      <c r="J219" s="8" t="s">
        <v>292</v>
      </c>
      <c r="K219" s="8" t="s">
        <v>293</v>
      </c>
      <c r="L219" s="9" t="s">
        <v>294</v>
      </c>
      <c r="M219" s="8"/>
      <c r="N219" s="8" t="str">
        <f aca="true">IF(M219="","Active (per Notice 1)",IF(M219&lt;TODAY(),"Expired",IF(M219&lt;TODAY()+180,"Expiring Soon","Active")))</f>
        <v>Active (per Notice 1)</v>
      </c>
      <c r="O219" s="10" t="s">
        <v>295</v>
      </c>
      <c r="P219" s="8" t="s">
        <v>296</v>
      </c>
      <c r="Q219" s="8" t="n">
        <v>3.75</v>
      </c>
      <c r="R219" s="8" t="n">
        <v>4</v>
      </c>
      <c r="S219" s="11" t="n">
        <v>45087</v>
      </c>
      <c r="T219" s="8" t="str">
        <f aca="true">IF(S219="","",IF(EDATE(S219,60)&lt;TODAY(),"Expired",IF(EDATE(S219,60)&lt;TODAY()+180,"Expiring Soon","Valid")))</f>
        <v>Valid</v>
      </c>
      <c r="U219" s="8" t="str">
        <f aca="false">IF(P219="","",IF(P219="A++","Top Tier",IF(P219="A+","High",IF(P219="A","Strong",IF(LEFT(P219,1)="B","Acceptable",IF(LEFT(P219,1)="C","Below Avg","-"))))))</f>
        <v>Top Tier</v>
      </c>
      <c r="AC219" s="8"/>
      <c r="AD219" s="8" t="n">
        <v>65</v>
      </c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 t="n">
        <v>26</v>
      </c>
      <c r="AP219" s="8"/>
      <c r="AQ219" s="8"/>
      <c r="AR219" s="8"/>
      <c r="AS219" s="8"/>
      <c r="AT219" s="8"/>
      <c r="AU219" s="8"/>
    </row>
    <row r="220" customFormat="false" ht="15" hidden="false" customHeight="true" outlineLevel="0" collapsed="false">
      <c r="A220" s="8" t="n">
        <v>219</v>
      </c>
      <c r="B220" s="8" t="n">
        <v>35</v>
      </c>
      <c r="C220" s="8" t="s">
        <v>425</v>
      </c>
      <c r="D220" s="8" t="s">
        <v>286</v>
      </c>
      <c r="E220" s="9" t="s">
        <v>443</v>
      </c>
      <c r="F220" s="9" t="s">
        <v>362</v>
      </c>
      <c r="G220" s="8" t="s">
        <v>301</v>
      </c>
      <c r="H220" s="8" t="s">
        <v>302</v>
      </c>
      <c r="I220" s="8" t="s">
        <v>291</v>
      </c>
      <c r="J220" s="8" t="s">
        <v>292</v>
      </c>
      <c r="K220" s="8" t="s">
        <v>293</v>
      </c>
      <c r="L220" s="9" t="s">
        <v>294</v>
      </c>
      <c r="M220" s="8"/>
      <c r="N220" s="8" t="str">
        <f aca="true">IF(M220="","Active (per Notice 1)",IF(M220&lt;TODAY(),"Expired",IF(M220&lt;TODAY()+180,"Expiring Soon","Active")))</f>
        <v>Active (per Notice 1)</v>
      </c>
      <c r="O220" s="10" t="s">
        <v>295</v>
      </c>
      <c r="P220" s="8" t="s">
        <v>296</v>
      </c>
      <c r="Q220" s="8" t="n">
        <v>3.75</v>
      </c>
      <c r="R220" s="8" t="n">
        <v>4</v>
      </c>
      <c r="S220" s="11" t="n">
        <v>45087</v>
      </c>
      <c r="T220" s="8" t="str">
        <f aca="true">IF(S220="","",IF(EDATE(S220,60)&lt;TODAY(),"Expired",IF(EDATE(S220,60)&lt;TODAY()+180,"Expiring Soon","Valid")))</f>
        <v>Valid</v>
      </c>
      <c r="U220" s="8" t="str">
        <f aca="false">IF(P220="","",IF(P220="A++","Top Tier",IF(P220="A+","High",IF(P220="A","Strong",IF(LEFT(P220,1)="B","Acceptable",IF(LEFT(P220,1)="C","Below Avg","-"))))))</f>
        <v>Top Tier</v>
      </c>
      <c r="AC220" s="8"/>
      <c r="AD220" s="8" t="n">
        <v>65</v>
      </c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 t="n">
        <v>26</v>
      </c>
      <c r="AP220" s="8"/>
      <c r="AQ220" s="8"/>
      <c r="AR220" s="8"/>
      <c r="AS220" s="8"/>
      <c r="AT220" s="8"/>
      <c r="AU220" s="8"/>
    </row>
    <row r="221" customFormat="false" ht="15" hidden="false" customHeight="true" outlineLevel="0" collapsed="false">
      <c r="A221" s="8" t="n">
        <v>220</v>
      </c>
      <c r="B221" s="8" t="n">
        <v>35</v>
      </c>
      <c r="C221" s="8" t="s">
        <v>425</v>
      </c>
      <c r="D221" s="8" t="s">
        <v>286</v>
      </c>
      <c r="E221" s="9" t="s">
        <v>443</v>
      </c>
      <c r="F221" s="9" t="s">
        <v>364</v>
      </c>
      <c r="G221" s="8" t="s">
        <v>309</v>
      </c>
      <c r="H221" s="8" t="s">
        <v>302</v>
      </c>
      <c r="I221" s="8" t="s">
        <v>291</v>
      </c>
      <c r="J221" s="8" t="s">
        <v>292</v>
      </c>
      <c r="K221" s="8" t="s">
        <v>293</v>
      </c>
      <c r="L221" s="9" t="s">
        <v>294</v>
      </c>
      <c r="M221" s="8"/>
      <c r="N221" s="8" t="str">
        <f aca="true">IF(M221="","Active (per Notice 1)",IF(M221&lt;TODAY(),"Expired",IF(M221&lt;TODAY()+180,"Expiring Soon","Active")))</f>
        <v>Active (per Notice 1)</v>
      </c>
      <c r="O221" s="10" t="s">
        <v>295</v>
      </c>
      <c r="P221" s="8" t="s">
        <v>296</v>
      </c>
      <c r="Q221" s="8" t="n">
        <v>3.75</v>
      </c>
      <c r="R221" s="8" t="n">
        <v>4</v>
      </c>
      <c r="S221" s="11" t="n">
        <v>45087</v>
      </c>
      <c r="T221" s="8" t="str">
        <f aca="true">IF(S221="","",IF(EDATE(S221,60)&lt;TODAY(),"Expired",IF(EDATE(S221,60)&lt;TODAY()+180,"Expiring Soon","Valid")))</f>
        <v>Valid</v>
      </c>
      <c r="U221" s="8" t="str">
        <f aca="false">IF(P221="","",IF(P221="A++","Top Tier",IF(P221="A+","High",IF(P221="A","Strong",IF(LEFT(P221,1)="B","Acceptable",IF(LEFT(P221,1)="C","Below Avg","-"))))))</f>
        <v>Top Tier</v>
      </c>
      <c r="AC221" s="8"/>
      <c r="AD221" s="8" t="n">
        <v>65</v>
      </c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 t="n">
        <v>26</v>
      </c>
      <c r="AP221" s="8"/>
      <c r="AQ221" s="8"/>
      <c r="AR221" s="8"/>
      <c r="AS221" s="8"/>
      <c r="AT221" s="8"/>
      <c r="AU221" s="8"/>
    </row>
    <row r="222" customFormat="false" ht="15" hidden="false" customHeight="true" outlineLevel="0" collapsed="false">
      <c r="A222" s="8" t="n">
        <v>221</v>
      </c>
      <c r="B222" s="8" t="n">
        <v>35</v>
      </c>
      <c r="C222" s="8" t="s">
        <v>425</v>
      </c>
      <c r="D222" s="8" t="s">
        <v>286</v>
      </c>
      <c r="E222" s="9" t="s">
        <v>443</v>
      </c>
      <c r="F222" s="9" t="s">
        <v>385</v>
      </c>
      <c r="G222" s="8" t="s">
        <v>386</v>
      </c>
      <c r="H222" s="8" t="s">
        <v>302</v>
      </c>
      <c r="I222" s="8" t="s">
        <v>291</v>
      </c>
      <c r="J222" s="8" t="s">
        <v>292</v>
      </c>
      <c r="K222" s="8" t="s">
        <v>293</v>
      </c>
      <c r="L222" s="9" t="s">
        <v>294</v>
      </c>
      <c r="M222" s="8"/>
      <c r="N222" s="8" t="str">
        <f aca="true">IF(M222="","Active (per Notice 1)",IF(M222&lt;TODAY(),"Expired",IF(M222&lt;TODAY()+180,"Expiring Soon","Active")))</f>
        <v>Active (per Notice 1)</v>
      </c>
      <c r="O222" s="10" t="s">
        <v>295</v>
      </c>
      <c r="P222" s="8" t="s">
        <v>296</v>
      </c>
      <c r="Q222" s="8" t="n">
        <v>3.75</v>
      </c>
      <c r="R222" s="8" t="n">
        <v>4</v>
      </c>
      <c r="S222" s="11" t="n">
        <v>45087</v>
      </c>
      <c r="T222" s="8" t="str">
        <f aca="true">IF(S222="","",IF(EDATE(S222,60)&lt;TODAY(),"Expired",IF(EDATE(S222,60)&lt;TODAY()+180,"Expiring Soon","Valid")))</f>
        <v>Valid</v>
      </c>
      <c r="U222" s="8" t="str">
        <f aca="false">IF(P222="","",IF(P222="A++","Top Tier",IF(P222="A+","High",IF(P222="A","Strong",IF(LEFT(P222,1)="B","Acceptable",IF(LEFT(P222,1)="C","Below Avg","-"))))))</f>
        <v>Top Tier</v>
      </c>
      <c r="AC222" s="8"/>
      <c r="AD222" s="8" t="n">
        <v>65</v>
      </c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 t="n">
        <v>26</v>
      </c>
      <c r="AP222" s="8"/>
      <c r="AQ222" s="8"/>
      <c r="AR222" s="8"/>
      <c r="AS222" s="8"/>
      <c r="AT222" s="8"/>
      <c r="AU222" s="8"/>
    </row>
    <row r="223" customFormat="false" ht="15" hidden="false" customHeight="true" outlineLevel="0" collapsed="false">
      <c r="A223" s="8" t="n">
        <v>222</v>
      </c>
      <c r="B223" s="8" t="n">
        <v>35</v>
      </c>
      <c r="C223" s="8" t="s">
        <v>425</v>
      </c>
      <c r="D223" s="8" t="s">
        <v>286</v>
      </c>
      <c r="E223" s="9" t="s">
        <v>443</v>
      </c>
      <c r="F223" s="9" t="s">
        <v>444</v>
      </c>
      <c r="G223" s="8" t="s">
        <v>301</v>
      </c>
      <c r="H223" s="8" t="s">
        <v>302</v>
      </c>
      <c r="I223" s="8" t="s">
        <v>291</v>
      </c>
      <c r="J223" s="8" t="s">
        <v>292</v>
      </c>
      <c r="K223" s="8" t="s">
        <v>293</v>
      </c>
      <c r="L223" s="9" t="s">
        <v>294</v>
      </c>
      <c r="M223" s="8"/>
      <c r="N223" s="8" t="str">
        <f aca="true">IF(M223="","Active (per Notice 1)",IF(M223&lt;TODAY(),"Expired",IF(M223&lt;TODAY()+180,"Expiring Soon","Active")))</f>
        <v>Active (per Notice 1)</v>
      </c>
      <c r="O223" s="10" t="s">
        <v>295</v>
      </c>
      <c r="P223" s="8" t="s">
        <v>296</v>
      </c>
      <c r="Q223" s="8" t="n">
        <v>3.75</v>
      </c>
      <c r="R223" s="8" t="n">
        <v>4</v>
      </c>
      <c r="S223" s="11" t="n">
        <v>45087</v>
      </c>
      <c r="T223" s="8" t="str">
        <f aca="true">IF(S223="","",IF(EDATE(S223,60)&lt;TODAY(),"Expired",IF(EDATE(S223,60)&lt;TODAY()+180,"Expiring Soon","Valid")))</f>
        <v>Valid</v>
      </c>
      <c r="U223" s="8" t="str">
        <f aca="false">IF(P223="","",IF(P223="A++","Top Tier",IF(P223="A+","High",IF(P223="A","Strong",IF(LEFT(P223,1)="B","Acceptable",IF(LEFT(P223,1)="C","Below Avg","-"))))))</f>
        <v>Top Tier</v>
      </c>
      <c r="AC223" s="8"/>
      <c r="AD223" s="8" t="n">
        <v>65</v>
      </c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 t="n">
        <v>26</v>
      </c>
      <c r="AP223" s="8"/>
      <c r="AQ223" s="8"/>
      <c r="AR223" s="8"/>
      <c r="AS223" s="8"/>
      <c r="AT223" s="8"/>
      <c r="AU223" s="8"/>
    </row>
    <row r="224" customFormat="false" ht="15" hidden="false" customHeight="true" outlineLevel="0" collapsed="false">
      <c r="A224" s="8" t="n">
        <v>223</v>
      </c>
      <c r="B224" s="8" t="n">
        <v>36</v>
      </c>
      <c r="C224" s="8" t="s">
        <v>425</v>
      </c>
      <c r="D224" s="8" t="s">
        <v>286</v>
      </c>
      <c r="E224" s="9" t="s">
        <v>445</v>
      </c>
      <c r="F224" s="9" t="s">
        <v>299</v>
      </c>
      <c r="G224" s="8" t="s">
        <v>289</v>
      </c>
      <c r="H224" s="8" t="s">
        <v>290</v>
      </c>
      <c r="I224" s="8" t="s">
        <v>291</v>
      </c>
      <c r="J224" s="8" t="s">
        <v>292</v>
      </c>
      <c r="K224" s="8" t="s">
        <v>293</v>
      </c>
      <c r="L224" s="9" t="s">
        <v>294</v>
      </c>
      <c r="M224" s="8"/>
      <c r="N224" s="8" t="str">
        <f aca="true">IF(M224="","Active (per Notice 1)",IF(M224&lt;TODAY(),"Expired",IF(M224&lt;TODAY()+180,"Expiring Soon","Active")))</f>
        <v>Active (per Notice 1)</v>
      </c>
      <c r="O224" s="10" t="s">
        <v>295</v>
      </c>
      <c r="P224" s="8" t="s">
        <v>424</v>
      </c>
      <c r="Q224" s="8" t="n">
        <v>3.01</v>
      </c>
      <c r="R224" s="8" t="n">
        <v>4</v>
      </c>
      <c r="S224" s="11" t="n">
        <v>44459</v>
      </c>
      <c r="T224" s="8" t="str">
        <f aca="true">IF(S224="","",IF(EDATE(S224,60)&lt;TODAY(),"Expired",IF(EDATE(S224,60)&lt;TODAY()+180,"Expiring Soon","Valid")))</f>
        <v>Expiring Soon</v>
      </c>
      <c r="U224" s="8" t="str">
        <f aca="false">IF(P224="","",IF(P224="A++","Top Tier",IF(P224="A+","High",IF(P224="A","Strong",IF(LEFT(P224,1)="B","Acceptable",IF(LEFT(P224,1)="C","Below Avg","-"))))))</f>
        <v>Strong</v>
      </c>
      <c r="AC224" s="8"/>
      <c r="AD224" s="8" t="n">
        <v>71</v>
      </c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 t="n">
        <v>20</v>
      </c>
      <c r="AP224" s="8"/>
      <c r="AQ224" s="8"/>
      <c r="AR224" s="8"/>
      <c r="AS224" s="8"/>
      <c r="AT224" s="8"/>
      <c r="AU224" s="8"/>
    </row>
    <row r="225" customFormat="false" ht="15" hidden="false" customHeight="true" outlineLevel="0" collapsed="false">
      <c r="A225" s="8" t="n">
        <v>224</v>
      </c>
      <c r="B225" s="8" t="n">
        <v>36</v>
      </c>
      <c r="C225" s="8" t="s">
        <v>425</v>
      </c>
      <c r="D225" s="8" t="s">
        <v>286</v>
      </c>
      <c r="E225" s="9" t="s">
        <v>445</v>
      </c>
      <c r="F225" s="9" t="s">
        <v>317</v>
      </c>
      <c r="G225" s="8" t="s">
        <v>318</v>
      </c>
      <c r="H225" s="8" t="s">
        <v>290</v>
      </c>
      <c r="I225" s="8" t="s">
        <v>291</v>
      </c>
      <c r="J225" s="8" t="s">
        <v>292</v>
      </c>
      <c r="K225" s="8" t="s">
        <v>293</v>
      </c>
      <c r="L225" s="9" t="s">
        <v>294</v>
      </c>
      <c r="M225" s="8"/>
      <c r="N225" s="8" t="str">
        <f aca="true">IF(M225="","Active (per Notice 1)",IF(M225&lt;TODAY(),"Expired",IF(M225&lt;TODAY()+180,"Expiring Soon","Active")))</f>
        <v>Active (per Notice 1)</v>
      </c>
      <c r="O225" s="12" t="s">
        <v>305</v>
      </c>
      <c r="P225" s="8" t="s">
        <v>424</v>
      </c>
      <c r="Q225" s="8" t="n">
        <v>3.01</v>
      </c>
      <c r="R225" s="8" t="n">
        <v>4</v>
      </c>
      <c r="S225" s="11" t="n">
        <v>44459</v>
      </c>
      <c r="T225" s="8" t="str">
        <f aca="true">IF(S225="","",IF(EDATE(S225,60)&lt;TODAY(),"Expired",IF(EDATE(S225,60)&lt;TODAY()+180,"Expiring Soon","Valid")))</f>
        <v>Expiring Soon</v>
      </c>
      <c r="U225" s="8" t="str">
        <f aca="false">IF(P225="","",IF(P225="A++","Top Tier",IF(P225="A+","High",IF(P225="A","Strong",IF(LEFT(P225,1)="B","Acceptable",IF(LEFT(P225,1)="C","Below Avg","-"))))))</f>
        <v>Strong</v>
      </c>
      <c r="AC225" s="8"/>
      <c r="AD225" s="8" t="n">
        <v>71</v>
      </c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 t="n">
        <v>20</v>
      </c>
      <c r="AP225" s="8"/>
      <c r="AQ225" s="8"/>
      <c r="AR225" s="8"/>
      <c r="AS225" s="8"/>
      <c r="AT225" s="8"/>
      <c r="AU225" s="8"/>
    </row>
    <row r="226" customFormat="false" ht="15" hidden="false" customHeight="true" outlineLevel="0" collapsed="false">
      <c r="A226" s="8" t="n">
        <v>225</v>
      </c>
      <c r="B226" s="8" t="n">
        <v>36</v>
      </c>
      <c r="C226" s="8" t="s">
        <v>425</v>
      </c>
      <c r="D226" s="8" t="s">
        <v>286</v>
      </c>
      <c r="E226" s="9" t="s">
        <v>445</v>
      </c>
      <c r="F226" s="9" t="s">
        <v>319</v>
      </c>
      <c r="G226" s="8" t="s">
        <v>320</v>
      </c>
      <c r="H226" s="8" t="s">
        <v>290</v>
      </c>
      <c r="I226" s="8" t="s">
        <v>291</v>
      </c>
      <c r="J226" s="8" t="s">
        <v>292</v>
      </c>
      <c r="K226" s="8" t="s">
        <v>293</v>
      </c>
      <c r="L226" s="9" t="s">
        <v>294</v>
      </c>
      <c r="M226" s="8"/>
      <c r="N226" s="8" t="str">
        <f aca="true">IF(M226="","Active (per Notice 1)",IF(M226&lt;TODAY(),"Expired",IF(M226&lt;TODAY()+180,"Expiring Soon","Active")))</f>
        <v>Active (per Notice 1)</v>
      </c>
      <c r="O226" s="12" t="s">
        <v>305</v>
      </c>
      <c r="P226" s="8" t="s">
        <v>424</v>
      </c>
      <c r="Q226" s="8" t="n">
        <v>3.01</v>
      </c>
      <c r="R226" s="8" t="n">
        <v>4</v>
      </c>
      <c r="S226" s="11" t="n">
        <v>44459</v>
      </c>
      <c r="T226" s="8" t="str">
        <f aca="true">IF(S226="","",IF(EDATE(S226,60)&lt;TODAY(),"Expired",IF(EDATE(S226,60)&lt;TODAY()+180,"Expiring Soon","Valid")))</f>
        <v>Expiring Soon</v>
      </c>
      <c r="U226" s="8" t="str">
        <f aca="false">IF(P226="","",IF(P226="A++","Top Tier",IF(P226="A+","High",IF(P226="A","Strong",IF(LEFT(P226,1)="B","Acceptable",IF(LEFT(P226,1)="C","Below Avg","-"))))))</f>
        <v>Strong</v>
      </c>
      <c r="AC226" s="8"/>
      <c r="AD226" s="8" t="n">
        <v>71</v>
      </c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 t="n">
        <v>20</v>
      </c>
      <c r="AP226" s="8"/>
      <c r="AQ226" s="8"/>
      <c r="AR226" s="8"/>
      <c r="AS226" s="8"/>
      <c r="AT226" s="8"/>
      <c r="AU226" s="8"/>
    </row>
    <row r="227" customFormat="false" ht="15" hidden="false" customHeight="true" outlineLevel="0" collapsed="false">
      <c r="A227" s="8" t="n">
        <v>226</v>
      </c>
      <c r="B227" s="8" t="n">
        <v>36</v>
      </c>
      <c r="C227" s="8" t="s">
        <v>425</v>
      </c>
      <c r="D227" s="8" t="s">
        <v>286</v>
      </c>
      <c r="E227" s="9" t="s">
        <v>445</v>
      </c>
      <c r="F227" s="9" t="s">
        <v>308</v>
      </c>
      <c r="G227" s="8" t="s">
        <v>309</v>
      </c>
      <c r="H227" s="8" t="s">
        <v>302</v>
      </c>
      <c r="I227" s="8" t="s">
        <v>291</v>
      </c>
      <c r="J227" s="8" t="s">
        <v>292</v>
      </c>
      <c r="K227" s="8" t="s">
        <v>293</v>
      </c>
      <c r="L227" s="9" t="s">
        <v>294</v>
      </c>
      <c r="M227" s="8"/>
      <c r="N227" s="8" t="str">
        <f aca="true">IF(M227="","Active (per Notice 1)",IF(M227&lt;TODAY(),"Expired",IF(M227&lt;TODAY()+180,"Expiring Soon","Active")))</f>
        <v>Active (per Notice 1)</v>
      </c>
      <c r="O227" s="10" t="s">
        <v>295</v>
      </c>
      <c r="P227" s="8" t="s">
        <v>424</v>
      </c>
      <c r="Q227" s="8" t="n">
        <v>3.01</v>
      </c>
      <c r="R227" s="8" t="n">
        <v>4</v>
      </c>
      <c r="S227" s="11" t="n">
        <v>44459</v>
      </c>
      <c r="T227" s="8" t="str">
        <f aca="true">IF(S227="","",IF(EDATE(S227,60)&lt;TODAY(),"Expired",IF(EDATE(S227,60)&lt;TODAY()+180,"Expiring Soon","Valid")))</f>
        <v>Expiring Soon</v>
      </c>
      <c r="U227" s="8" t="str">
        <f aca="false">IF(P227="","",IF(P227="A++","Top Tier",IF(P227="A+","High",IF(P227="A","Strong",IF(LEFT(P227,1)="B","Acceptable",IF(LEFT(P227,1)="C","Below Avg","-"))))))</f>
        <v>Strong</v>
      </c>
      <c r="AC227" s="8"/>
      <c r="AD227" s="8" t="n">
        <v>71</v>
      </c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 t="n">
        <v>20</v>
      </c>
      <c r="AP227" s="8"/>
      <c r="AQ227" s="8"/>
      <c r="AR227" s="8"/>
      <c r="AS227" s="8"/>
      <c r="AT227" s="8"/>
      <c r="AU227" s="8"/>
    </row>
    <row r="228" customFormat="false" ht="15" hidden="false" customHeight="true" outlineLevel="0" collapsed="false">
      <c r="A228" s="8" t="n">
        <v>227</v>
      </c>
      <c r="B228" s="8" t="n">
        <v>36</v>
      </c>
      <c r="C228" s="8" t="s">
        <v>425</v>
      </c>
      <c r="D228" s="8" t="s">
        <v>286</v>
      </c>
      <c r="E228" s="9" t="s">
        <v>445</v>
      </c>
      <c r="F228" s="9" t="s">
        <v>306</v>
      </c>
      <c r="G228" s="8" t="s">
        <v>307</v>
      </c>
      <c r="H228" s="8" t="s">
        <v>302</v>
      </c>
      <c r="I228" s="8" t="s">
        <v>291</v>
      </c>
      <c r="J228" s="8" t="s">
        <v>292</v>
      </c>
      <c r="K228" s="8" t="s">
        <v>293</v>
      </c>
      <c r="L228" s="9" t="s">
        <v>294</v>
      </c>
      <c r="M228" s="8"/>
      <c r="N228" s="8" t="str">
        <f aca="true">IF(M228="","Active (per Notice 1)",IF(M228&lt;TODAY(),"Expired",IF(M228&lt;TODAY()+180,"Expiring Soon","Active")))</f>
        <v>Active (per Notice 1)</v>
      </c>
      <c r="O228" s="12" t="s">
        <v>305</v>
      </c>
      <c r="P228" s="8" t="s">
        <v>424</v>
      </c>
      <c r="Q228" s="8" t="n">
        <v>3.01</v>
      </c>
      <c r="R228" s="8" t="n">
        <v>4</v>
      </c>
      <c r="S228" s="11" t="n">
        <v>44459</v>
      </c>
      <c r="T228" s="8" t="str">
        <f aca="true">IF(S228="","",IF(EDATE(S228,60)&lt;TODAY(),"Expired",IF(EDATE(S228,60)&lt;TODAY()+180,"Expiring Soon","Valid")))</f>
        <v>Expiring Soon</v>
      </c>
      <c r="U228" s="8" t="str">
        <f aca="false">IF(P228="","",IF(P228="A++","Top Tier",IF(P228="A+","High",IF(P228="A","Strong",IF(LEFT(P228,1)="B","Acceptable",IF(LEFT(P228,1)="C","Below Avg","-"))))))</f>
        <v>Strong</v>
      </c>
      <c r="AC228" s="8"/>
      <c r="AD228" s="8" t="n">
        <v>71</v>
      </c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 t="n">
        <v>20</v>
      </c>
      <c r="AP228" s="8"/>
      <c r="AQ228" s="8"/>
      <c r="AR228" s="8"/>
      <c r="AS228" s="8"/>
      <c r="AT228" s="8"/>
      <c r="AU228" s="8"/>
    </row>
    <row r="229" customFormat="false" ht="23.25" hidden="false" customHeight="true" outlineLevel="0" collapsed="false">
      <c r="A229" s="8" t="n">
        <v>228</v>
      </c>
      <c r="B229" s="8" t="n">
        <v>36</v>
      </c>
      <c r="C229" s="8" t="s">
        <v>425</v>
      </c>
      <c r="D229" s="8" t="s">
        <v>286</v>
      </c>
      <c r="E229" s="9" t="s">
        <v>445</v>
      </c>
      <c r="F229" s="9" t="s">
        <v>446</v>
      </c>
      <c r="G229" s="8" t="s">
        <v>304</v>
      </c>
      <c r="H229" s="8" t="s">
        <v>302</v>
      </c>
      <c r="I229" s="8" t="s">
        <v>291</v>
      </c>
      <c r="J229" s="8" t="s">
        <v>292</v>
      </c>
      <c r="K229" s="8" t="s">
        <v>293</v>
      </c>
      <c r="L229" s="9" t="s">
        <v>294</v>
      </c>
      <c r="M229" s="8"/>
      <c r="N229" s="8" t="str">
        <f aca="true">IF(M229="","Active (per Notice 1)",IF(M229&lt;TODAY(),"Expired",IF(M229&lt;TODAY()+180,"Expiring Soon","Active")))</f>
        <v>Active (per Notice 1)</v>
      </c>
      <c r="O229" s="12" t="s">
        <v>305</v>
      </c>
      <c r="P229" s="8" t="s">
        <v>424</v>
      </c>
      <c r="Q229" s="8" t="n">
        <v>3.01</v>
      </c>
      <c r="R229" s="8" t="n">
        <v>4</v>
      </c>
      <c r="S229" s="11" t="n">
        <v>44459</v>
      </c>
      <c r="T229" s="8" t="str">
        <f aca="true">IF(S229="","",IF(EDATE(S229,60)&lt;TODAY(),"Expired",IF(EDATE(S229,60)&lt;TODAY()+180,"Expiring Soon","Valid")))</f>
        <v>Expiring Soon</v>
      </c>
      <c r="U229" s="8" t="str">
        <f aca="false">IF(P229="","",IF(P229="A++","Top Tier",IF(P229="A+","High",IF(P229="A","Strong",IF(LEFT(P229,1)="B","Acceptable",IF(LEFT(P229,1)="C","Below Avg","-"))))))</f>
        <v>Strong</v>
      </c>
      <c r="AC229" s="8"/>
      <c r="AD229" s="8" t="n">
        <v>71</v>
      </c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 t="n">
        <v>20</v>
      </c>
      <c r="AP229" s="8"/>
      <c r="AQ229" s="8"/>
      <c r="AR229" s="8"/>
      <c r="AS229" s="8"/>
      <c r="AT229" s="8"/>
      <c r="AU229" s="8"/>
    </row>
    <row r="230" customFormat="false" ht="15" hidden="false" customHeight="true" outlineLevel="0" collapsed="false">
      <c r="A230" s="8" t="n">
        <v>229</v>
      </c>
      <c r="B230" s="8" t="n">
        <v>36</v>
      </c>
      <c r="C230" s="8" t="s">
        <v>425</v>
      </c>
      <c r="D230" s="8" t="s">
        <v>286</v>
      </c>
      <c r="E230" s="9" t="s">
        <v>445</v>
      </c>
      <c r="F230" s="9" t="s">
        <v>447</v>
      </c>
      <c r="G230" s="8" t="s">
        <v>304</v>
      </c>
      <c r="H230" s="8" t="s">
        <v>302</v>
      </c>
      <c r="I230" s="8" t="s">
        <v>291</v>
      </c>
      <c r="J230" s="8" t="s">
        <v>292</v>
      </c>
      <c r="K230" s="8" t="s">
        <v>293</v>
      </c>
      <c r="L230" s="9" t="s">
        <v>294</v>
      </c>
      <c r="M230" s="8"/>
      <c r="N230" s="8" t="str">
        <f aca="true">IF(M230="","Active (per Notice 1)",IF(M230&lt;TODAY(),"Expired",IF(M230&lt;TODAY()+180,"Expiring Soon","Active")))</f>
        <v>Active (per Notice 1)</v>
      </c>
      <c r="O230" s="12" t="s">
        <v>305</v>
      </c>
      <c r="P230" s="8" t="s">
        <v>424</v>
      </c>
      <c r="Q230" s="8" t="n">
        <v>3.01</v>
      </c>
      <c r="R230" s="8" t="n">
        <v>4</v>
      </c>
      <c r="S230" s="11" t="n">
        <v>44459</v>
      </c>
      <c r="T230" s="8" t="str">
        <f aca="true">IF(S230="","",IF(EDATE(S230,60)&lt;TODAY(),"Expired",IF(EDATE(S230,60)&lt;TODAY()+180,"Expiring Soon","Valid")))</f>
        <v>Expiring Soon</v>
      </c>
      <c r="U230" s="8" t="str">
        <f aca="false">IF(P230="","",IF(P230="A++","Top Tier",IF(P230="A+","High",IF(P230="A","Strong",IF(LEFT(P230,1)="B","Acceptable",IF(LEFT(P230,1)="C","Below Avg","-"))))))</f>
        <v>Strong</v>
      </c>
      <c r="AC230" s="8"/>
      <c r="AD230" s="8" t="n">
        <v>71</v>
      </c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 t="n">
        <v>20</v>
      </c>
      <c r="AP230" s="8"/>
      <c r="AQ230" s="8"/>
      <c r="AR230" s="8"/>
      <c r="AS230" s="8"/>
      <c r="AT230" s="8"/>
      <c r="AU230" s="8"/>
    </row>
    <row r="231" customFormat="false" ht="23.25" hidden="false" customHeight="true" outlineLevel="0" collapsed="false">
      <c r="A231" s="8" t="n">
        <v>230</v>
      </c>
      <c r="B231" s="8" t="n">
        <v>36</v>
      </c>
      <c r="C231" s="8" t="s">
        <v>425</v>
      </c>
      <c r="D231" s="8" t="s">
        <v>286</v>
      </c>
      <c r="E231" s="9" t="s">
        <v>445</v>
      </c>
      <c r="F231" s="9" t="s">
        <v>448</v>
      </c>
      <c r="G231" s="8" t="s">
        <v>304</v>
      </c>
      <c r="H231" s="8" t="s">
        <v>302</v>
      </c>
      <c r="I231" s="8" t="s">
        <v>291</v>
      </c>
      <c r="J231" s="8" t="s">
        <v>292</v>
      </c>
      <c r="K231" s="8" t="s">
        <v>293</v>
      </c>
      <c r="L231" s="9" t="s">
        <v>294</v>
      </c>
      <c r="M231" s="8"/>
      <c r="N231" s="8" t="str">
        <f aca="true">IF(M231="","Active (per Notice 1)",IF(M231&lt;TODAY(),"Expired",IF(M231&lt;TODAY()+180,"Expiring Soon","Active")))</f>
        <v>Active (per Notice 1)</v>
      </c>
      <c r="O231" s="12" t="s">
        <v>305</v>
      </c>
      <c r="P231" s="8" t="s">
        <v>424</v>
      </c>
      <c r="Q231" s="8" t="n">
        <v>3.01</v>
      </c>
      <c r="R231" s="8" t="n">
        <v>4</v>
      </c>
      <c r="S231" s="11" t="n">
        <v>44459</v>
      </c>
      <c r="T231" s="8" t="str">
        <f aca="true">IF(S231="","",IF(EDATE(S231,60)&lt;TODAY(),"Expired",IF(EDATE(S231,60)&lt;TODAY()+180,"Expiring Soon","Valid")))</f>
        <v>Expiring Soon</v>
      </c>
      <c r="U231" s="8" t="str">
        <f aca="false">IF(P231="","",IF(P231="A++","Top Tier",IF(P231="A+","High",IF(P231="A","Strong",IF(LEFT(P231,1)="B","Acceptable",IF(LEFT(P231,1)="C","Below Avg","-"))))))</f>
        <v>Strong</v>
      </c>
      <c r="AC231" s="8"/>
      <c r="AD231" s="8" t="n">
        <v>71</v>
      </c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 t="n">
        <v>20</v>
      </c>
      <c r="AP231" s="8"/>
      <c r="AQ231" s="8"/>
      <c r="AR231" s="8"/>
      <c r="AS231" s="8"/>
      <c r="AT231" s="8"/>
      <c r="AU231" s="8"/>
    </row>
    <row r="232" customFormat="false" ht="15" hidden="false" customHeight="true" outlineLevel="0" collapsed="false">
      <c r="A232" s="8" t="n">
        <v>231</v>
      </c>
      <c r="B232" s="8" t="n">
        <v>36</v>
      </c>
      <c r="C232" s="8" t="s">
        <v>425</v>
      </c>
      <c r="D232" s="8" t="s">
        <v>286</v>
      </c>
      <c r="E232" s="9" t="s">
        <v>445</v>
      </c>
      <c r="F232" s="9" t="s">
        <v>331</v>
      </c>
      <c r="G232" s="8" t="s">
        <v>304</v>
      </c>
      <c r="H232" s="8" t="s">
        <v>302</v>
      </c>
      <c r="I232" s="8" t="s">
        <v>291</v>
      </c>
      <c r="J232" s="8" t="s">
        <v>292</v>
      </c>
      <c r="K232" s="8" t="s">
        <v>293</v>
      </c>
      <c r="L232" s="9" t="s">
        <v>294</v>
      </c>
      <c r="M232" s="8"/>
      <c r="N232" s="8" t="str">
        <f aca="true">IF(M232="","Active (per Notice 1)",IF(M232&lt;TODAY(),"Expired",IF(M232&lt;TODAY()+180,"Expiring Soon","Active")))</f>
        <v>Active (per Notice 1)</v>
      </c>
      <c r="O232" s="12" t="s">
        <v>305</v>
      </c>
      <c r="P232" s="8" t="s">
        <v>424</v>
      </c>
      <c r="Q232" s="8" t="n">
        <v>3.01</v>
      </c>
      <c r="R232" s="8" t="n">
        <v>4</v>
      </c>
      <c r="S232" s="11" t="n">
        <v>44459</v>
      </c>
      <c r="T232" s="8" t="str">
        <f aca="true">IF(S232="","",IF(EDATE(S232,60)&lt;TODAY(),"Expired",IF(EDATE(S232,60)&lt;TODAY()+180,"Expiring Soon","Valid")))</f>
        <v>Expiring Soon</v>
      </c>
      <c r="U232" s="8" t="str">
        <f aca="false">IF(P232="","",IF(P232="A++","Top Tier",IF(P232="A+","High",IF(P232="A","Strong",IF(LEFT(P232,1)="B","Acceptable",IF(LEFT(P232,1)="C","Below Avg","-"))))))</f>
        <v>Strong</v>
      </c>
      <c r="AC232" s="8"/>
      <c r="AD232" s="8" t="n">
        <v>71</v>
      </c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 t="n">
        <v>20</v>
      </c>
      <c r="AP232" s="8"/>
      <c r="AQ232" s="8"/>
      <c r="AR232" s="8"/>
      <c r="AS232" s="8"/>
      <c r="AT232" s="8"/>
      <c r="AU232" s="8"/>
    </row>
    <row r="233" customFormat="false" ht="15" hidden="false" customHeight="true" outlineLevel="0" collapsed="false">
      <c r="A233" s="8" t="n">
        <v>232</v>
      </c>
      <c r="B233" s="8" t="n">
        <v>36</v>
      </c>
      <c r="C233" s="8" t="s">
        <v>425</v>
      </c>
      <c r="D233" s="8" t="s">
        <v>286</v>
      </c>
      <c r="E233" s="9" t="s">
        <v>445</v>
      </c>
      <c r="F233" s="9" t="s">
        <v>449</v>
      </c>
      <c r="G233" s="8" t="s">
        <v>304</v>
      </c>
      <c r="H233" s="8" t="s">
        <v>302</v>
      </c>
      <c r="I233" s="8" t="s">
        <v>291</v>
      </c>
      <c r="J233" s="8" t="s">
        <v>292</v>
      </c>
      <c r="K233" s="8" t="s">
        <v>293</v>
      </c>
      <c r="L233" s="9" t="s">
        <v>294</v>
      </c>
      <c r="M233" s="8"/>
      <c r="N233" s="8" t="str">
        <f aca="true">IF(M233="","Active (per Notice 1)",IF(M233&lt;TODAY(),"Expired",IF(M233&lt;TODAY()+180,"Expiring Soon","Active")))</f>
        <v>Active (per Notice 1)</v>
      </c>
      <c r="O233" s="12" t="s">
        <v>305</v>
      </c>
      <c r="P233" s="8" t="s">
        <v>424</v>
      </c>
      <c r="Q233" s="8" t="n">
        <v>3.01</v>
      </c>
      <c r="R233" s="8" t="n">
        <v>4</v>
      </c>
      <c r="S233" s="11" t="n">
        <v>44459</v>
      </c>
      <c r="T233" s="8" t="str">
        <f aca="true">IF(S233="","",IF(EDATE(S233,60)&lt;TODAY(),"Expired",IF(EDATE(S233,60)&lt;TODAY()+180,"Expiring Soon","Valid")))</f>
        <v>Expiring Soon</v>
      </c>
      <c r="U233" s="8" t="str">
        <f aca="false">IF(P233="","",IF(P233="A++","Top Tier",IF(P233="A+","High",IF(P233="A","Strong",IF(LEFT(P233,1)="B","Acceptable",IF(LEFT(P233,1)="C","Below Avg","-"))))))</f>
        <v>Strong</v>
      </c>
      <c r="AC233" s="8"/>
      <c r="AD233" s="8" t="n">
        <v>71</v>
      </c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 t="n">
        <v>20</v>
      </c>
      <c r="AP233" s="8"/>
      <c r="AQ233" s="8"/>
      <c r="AR233" s="8"/>
      <c r="AS233" s="8"/>
      <c r="AT233" s="8"/>
      <c r="AU233" s="8"/>
    </row>
    <row r="234" customFormat="false" ht="15" hidden="false" customHeight="true" outlineLevel="0" collapsed="false">
      <c r="A234" s="8" t="n">
        <v>233</v>
      </c>
      <c r="B234" s="8" t="n">
        <v>36</v>
      </c>
      <c r="C234" s="8" t="s">
        <v>425</v>
      </c>
      <c r="D234" s="8" t="s">
        <v>286</v>
      </c>
      <c r="E234" s="9" t="s">
        <v>445</v>
      </c>
      <c r="F234" s="9" t="s">
        <v>450</v>
      </c>
      <c r="G234" s="8" t="s">
        <v>304</v>
      </c>
      <c r="H234" s="8" t="s">
        <v>302</v>
      </c>
      <c r="I234" s="8" t="s">
        <v>291</v>
      </c>
      <c r="J234" s="8" t="s">
        <v>292</v>
      </c>
      <c r="K234" s="8" t="s">
        <v>293</v>
      </c>
      <c r="L234" s="9" t="s">
        <v>294</v>
      </c>
      <c r="M234" s="8"/>
      <c r="N234" s="8" t="str">
        <f aca="true">IF(M234="","Active (per Notice 1)",IF(M234&lt;TODAY(),"Expired",IF(M234&lt;TODAY()+180,"Expiring Soon","Active")))</f>
        <v>Active (per Notice 1)</v>
      </c>
      <c r="O234" s="12" t="s">
        <v>305</v>
      </c>
      <c r="P234" s="8" t="s">
        <v>424</v>
      </c>
      <c r="Q234" s="8" t="n">
        <v>3.01</v>
      </c>
      <c r="R234" s="8" t="n">
        <v>4</v>
      </c>
      <c r="S234" s="11" t="n">
        <v>44459</v>
      </c>
      <c r="T234" s="8" t="str">
        <f aca="true">IF(S234="","",IF(EDATE(S234,60)&lt;TODAY(),"Expired",IF(EDATE(S234,60)&lt;TODAY()+180,"Expiring Soon","Valid")))</f>
        <v>Expiring Soon</v>
      </c>
      <c r="U234" s="8" t="str">
        <f aca="false">IF(P234="","",IF(P234="A++","Top Tier",IF(P234="A+","High",IF(P234="A","Strong",IF(LEFT(P234,1)="B","Acceptable",IF(LEFT(P234,1)="C","Below Avg","-"))))))</f>
        <v>Strong</v>
      </c>
      <c r="AC234" s="8"/>
      <c r="AD234" s="8" t="n">
        <v>71</v>
      </c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 t="n">
        <v>20</v>
      </c>
      <c r="AP234" s="8"/>
      <c r="AQ234" s="8"/>
      <c r="AR234" s="8"/>
      <c r="AS234" s="8"/>
      <c r="AT234" s="8"/>
      <c r="AU234" s="8"/>
    </row>
    <row r="235" customFormat="false" ht="15" hidden="false" customHeight="true" outlineLevel="0" collapsed="false">
      <c r="A235" s="8" t="n">
        <v>234</v>
      </c>
      <c r="B235" s="8" t="n">
        <v>36</v>
      </c>
      <c r="C235" s="8" t="s">
        <v>425</v>
      </c>
      <c r="D235" s="8" t="s">
        <v>286</v>
      </c>
      <c r="E235" s="9" t="s">
        <v>445</v>
      </c>
      <c r="F235" s="9" t="s">
        <v>303</v>
      </c>
      <c r="G235" s="8" t="s">
        <v>304</v>
      </c>
      <c r="H235" s="8" t="s">
        <v>302</v>
      </c>
      <c r="I235" s="8" t="s">
        <v>291</v>
      </c>
      <c r="J235" s="8" t="s">
        <v>292</v>
      </c>
      <c r="K235" s="8" t="s">
        <v>293</v>
      </c>
      <c r="L235" s="9" t="s">
        <v>294</v>
      </c>
      <c r="M235" s="8"/>
      <c r="N235" s="8" t="str">
        <f aca="true">IF(M235="","Active (per Notice 1)",IF(M235&lt;TODAY(),"Expired",IF(M235&lt;TODAY()+180,"Expiring Soon","Active")))</f>
        <v>Active (per Notice 1)</v>
      </c>
      <c r="O235" s="12" t="s">
        <v>305</v>
      </c>
      <c r="P235" s="8" t="s">
        <v>424</v>
      </c>
      <c r="Q235" s="8" t="n">
        <v>3.01</v>
      </c>
      <c r="R235" s="8" t="n">
        <v>4</v>
      </c>
      <c r="S235" s="11" t="n">
        <v>44459</v>
      </c>
      <c r="T235" s="8" t="str">
        <f aca="true">IF(S235="","",IF(EDATE(S235,60)&lt;TODAY(),"Expired",IF(EDATE(S235,60)&lt;TODAY()+180,"Expiring Soon","Valid")))</f>
        <v>Expiring Soon</v>
      </c>
      <c r="U235" s="8" t="str">
        <f aca="false">IF(P235="","",IF(P235="A++","Top Tier",IF(P235="A+","High",IF(P235="A","Strong",IF(LEFT(P235,1)="B","Acceptable",IF(LEFT(P235,1)="C","Below Avg","-"))))))</f>
        <v>Strong</v>
      </c>
      <c r="AC235" s="8"/>
      <c r="AD235" s="8" t="n">
        <v>71</v>
      </c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 t="n">
        <v>20</v>
      </c>
      <c r="AP235" s="8"/>
      <c r="AQ235" s="8"/>
      <c r="AR235" s="8"/>
      <c r="AS235" s="8"/>
      <c r="AT235" s="8"/>
      <c r="AU235" s="8"/>
    </row>
    <row r="236" customFormat="false" ht="15" hidden="false" customHeight="true" outlineLevel="0" collapsed="false">
      <c r="A236" s="8" t="n">
        <v>235</v>
      </c>
      <c r="B236" s="8" t="n">
        <v>37</v>
      </c>
      <c r="C236" s="8" t="s">
        <v>425</v>
      </c>
      <c r="D236" s="8" t="s">
        <v>315</v>
      </c>
      <c r="E236" s="9" t="s">
        <v>451</v>
      </c>
      <c r="F236" s="9" t="s">
        <v>299</v>
      </c>
      <c r="G236" s="8" t="s">
        <v>289</v>
      </c>
      <c r="H236" s="8" t="s">
        <v>290</v>
      </c>
      <c r="I236" s="8" t="s">
        <v>291</v>
      </c>
      <c r="J236" s="8" t="s">
        <v>292</v>
      </c>
      <c r="K236" s="8" t="s">
        <v>293</v>
      </c>
      <c r="L236" s="9" t="s">
        <v>294</v>
      </c>
      <c r="M236" s="8"/>
      <c r="N236" s="8" t="str">
        <f aca="true">IF(M236="","Active (per Notice 1)",IF(M236&lt;TODAY(),"Expired",IF(M236&lt;TODAY()+180,"Expiring Soon","Active")))</f>
        <v>Active (per Notice 1)</v>
      </c>
      <c r="O236" s="10" t="s">
        <v>295</v>
      </c>
      <c r="P236" s="8" t="s">
        <v>327</v>
      </c>
      <c r="Q236" s="8" t="n">
        <v>3.47</v>
      </c>
      <c r="R236" s="8" t="n">
        <v>2</v>
      </c>
      <c r="S236" s="11" t="n">
        <v>44783</v>
      </c>
      <c r="T236" s="8" t="str">
        <f aca="true">IF(S236="","",IF(EDATE(S236,60)&lt;TODAY(),"Expired",IF(EDATE(S236,60)&lt;TODAY()+180,"Expiring Soon","Valid")))</f>
        <v>Valid</v>
      </c>
      <c r="U236" s="8" t="str">
        <f aca="false">IF(P236="","",IF(P236="A++","Top Tier",IF(P236="A+","High",IF(P236="A","Strong",IF(LEFT(P236,1)="B","Acceptable",IF(LEFT(P236,1)="C","Below Avg","-"))))))</f>
        <v>High</v>
      </c>
      <c r="AT236" s="8"/>
      <c r="AU236" s="8"/>
    </row>
    <row r="237" customFormat="false" ht="15" hidden="false" customHeight="true" outlineLevel="0" collapsed="false">
      <c r="A237" s="8" t="n">
        <v>236</v>
      </c>
      <c r="B237" s="8" t="n">
        <v>37</v>
      </c>
      <c r="C237" s="8" t="s">
        <v>425</v>
      </c>
      <c r="D237" s="8" t="s">
        <v>315</v>
      </c>
      <c r="E237" s="9" t="s">
        <v>451</v>
      </c>
      <c r="F237" s="9" t="s">
        <v>317</v>
      </c>
      <c r="G237" s="8" t="s">
        <v>318</v>
      </c>
      <c r="H237" s="8" t="s">
        <v>290</v>
      </c>
      <c r="I237" s="8" t="s">
        <v>291</v>
      </c>
      <c r="J237" s="8" t="s">
        <v>292</v>
      </c>
      <c r="K237" s="8" t="s">
        <v>293</v>
      </c>
      <c r="L237" s="9" t="s">
        <v>294</v>
      </c>
      <c r="M237" s="8"/>
      <c r="N237" s="8" t="str">
        <f aca="true">IF(M237="","Active (per Notice 1)",IF(M237&lt;TODAY(),"Expired",IF(M237&lt;TODAY()+180,"Expiring Soon","Active")))</f>
        <v>Active (per Notice 1)</v>
      </c>
      <c r="O237" s="13" t="s">
        <v>292</v>
      </c>
      <c r="P237" s="8" t="s">
        <v>327</v>
      </c>
      <c r="Q237" s="8" t="n">
        <v>3.47</v>
      </c>
      <c r="R237" s="8" t="n">
        <v>2</v>
      </c>
      <c r="S237" s="11" t="n">
        <v>44783</v>
      </c>
      <c r="T237" s="8" t="str">
        <f aca="true">IF(S237="","",IF(EDATE(S237,60)&lt;TODAY(),"Expired",IF(EDATE(S237,60)&lt;TODAY()+180,"Expiring Soon","Valid")))</f>
        <v>Valid</v>
      </c>
      <c r="U237" s="8" t="str">
        <f aca="false">IF(P237="","",IF(P237="A++","Top Tier",IF(P237="A+","High",IF(P237="A","Strong",IF(LEFT(P237,1)="B","Acceptable",IF(LEFT(P237,1)="C","Below Avg","-"))))))</f>
        <v>High</v>
      </c>
      <c r="AT237" s="8"/>
      <c r="AU237" s="8"/>
    </row>
    <row r="238" customFormat="false" ht="15" hidden="false" customHeight="true" outlineLevel="0" collapsed="false">
      <c r="A238" s="8" t="n">
        <v>237</v>
      </c>
      <c r="B238" s="8" t="n">
        <v>37</v>
      </c>
      <c r="C238" s="8" t="s">
        <v>425</v>
      </c>
      <c r="D238" s="8" t="s">
        <v>315</v>
      </c>
      <c r="E238" s="9" t="s">
        <v>451</v>
      </c>
      <c r="F238" s="9" t="s">
        <v>319</v>
      </c>
      <c r="G238" s="8" t="s">
        <v>320</v>
      </c>
      <c r="H238" s="8" t="s">
        <v>290</v>
      </c>
      <c r="I238" s="8" t="s">
        <v>291</v>
      </c>
      <c r="J238" s="8" t="s">
        <v>292</v>
      </c>
      <c r="K238" s="8" t="s">
        <v>293</v>
      </c>
      <c r="L238" s="9" t="s">
        <v>294</v>
      </c>
      <c r="M238" s="8"/>
      <c r="N238" s="8" t="str">
        <f aca="true">IF(M238="","Active (per Notice 1)",IF(M238&lt;TODAY(),"Expired",IF(M238&lt;TODAY()+180,"Expiring Soon","Active")))</f>
        <v>Active (per Notice 1)</v>
      </c>
      <c r="O238" s="13" t="s">
        <v>292</v>
      </c>
      <c r="P238" s="8" t="s">
        <v>327</v>
      </c>
      <c r="Q238" s="8" t="n">
        <v>3.47</v>
      </c>
      <c r="R238" s="8" t="n">
        <v>2</v>
      </c>
      <c r="S238" s="11" t="n">
        <v>44783</v>
      </c>
      <c r="T238" s="8" t="str">
        <f aca="true">IF(S238="","",IF(EDATE(S238,60)&lt;TODAY(),"Expired",IF(EDATE(S238,60)&lt;TODAY()+180,"Expiring Soon","Valid")))</f>
        <v>Valid</v>
      </c>
      <c r="U238" s="8" t="str">
        <f aca="false">IF(P238="","",IF(P238="A++","Top Tier",IF(P238="A+","High",IF(P238="A","Strong",IF(LEFT(P238,1)="B","Acceptable",IF(LEFT(P238,1)="C","Below Avg","-"))))))</f>
        <v>High</v>
      </c>
      <c r="AT238" s="8"/>
      <c r="AU238" s="8"/>
    </row>
    <row r="239" customFormat="false" ht="15" hidden="false" customHeight="true" outlineLevel="0" collapsed="false">
      <c r="A239" s="8" t="n">
        <v>238</v>
      </c>
      <c r="B239" s="8" t="n">
        <v>37</v>
      </c>
      <c r="C239" s="8" t="s">
        <v>425</v>
      </c>
      <c r="D239" s="8" t="s">
        <v>315</v>
      </c>
      <c r="E239" s="9" t="s">
        <v>451</v>
      </c>
      <c r="F239" s="9" t="s">
        <v>345</v>
      </c>
      <c r="G239" s="8" t="s">
        <v>346</v>
      </c>
      <c r="H239" s="8" t="s">
        <v>302</v>
      </c>
      <c r="I239" s="8" t="s">
        <v>291</v>
      </c>
      <c r="J239" s="8" t="s">
        <v>292</v>
      </c>
      <c r="K239" s="8" t="s">
        <v>293</v>
      </c>
      <c r="L239" s="9" t="s">
        <v>294</v>
      </c>
      <c r="M239" s="8"/>
      <c r="N239" s="8" t="str">
        <f aca="true">IF(M239="","Active (per Notice 1)",IF(M239&lt;TODAY(),"Expired",IF(M239&lt;TODAY()+180,"Expiring Soon","Active")))</f>
        <v>Active (per Notice 1)</v>
      </c>
      <c r="O239" s="10" t="s">
        <v>295</v>
      </c>
      <c r="P239" s="8" t="s">
        <v>327</v>
      </c>
      <c r="Q239" s="8" t="n">
        <v>3.47</v>
      </c>
      <c r="R239" s="8" t="n">
        <v>2</v>
      </c>
      <c r="S239" s="11" t="n">
        <v>44783</v>
      </c>
      <c r="T239" s="8" t="str">
        <f aca="true">IF(S239="","",IF(EDATE(S239,60)&lt;TODAY(),"Expired",IF(EDATE(S239,60)&lt;TODAY()+180,"Expiring Soon","Valid")))</f>
        <v>Valid</v>
      </c>
      <c r="U239" s="8" t="str">
        <f aca="false">IF(P239="","",IF(P239="A++","Top Tier",IF(P239="A+","High",IF(P239="A","Strong",IF(LEFT(P239,1)="B","Acceptable",IF(LEFT(P239,1)="C","Below Avg","-"))))))</f>
        <v>High</v>
      </c>
      <c r="AT239" s="8"/>
      <c r="AU239" s="8"/>
    </row>
    <row r="240" customFormat="false" ht="15" hidden="false" customHeight="true" outlineLevel="0" collapsed="false">
      <c r="A240" s="8" t="n">
        <v>239</v>
      </c>
      <c r="B240" s="8" t="n">
        <v>37</v>
      </c>
      <c r="C240" s="8" t="s">
        <v>425</v>
      </c>
      <c r="D240" s="8" t="s">
        <v>315</v>
      </c>
      <c r="E240" s="9" t="s">
        <v>451</v>
      </c>
      <c r="F240" s="9" t="s">
        <v>303</v>
      </c>
      <c r="G240" s="8" t="s">
        <v>304</v>
      </c>
      <c r="H240" s="8" t="s">
        <v>302</v>
      </c>
      <c r="I240" s="8" t="s">
        <v>291</v>
      </c>
      <c r="J240" s="8" t="s">
        <v>292</v>
      </c>
      <c r="K240" s="8" t="s">
        <v>293</v>
      </c>
      <c r="L240" s="9" t="s">
        <v>294</v>
      </c>
      <c r="M240" s="8"/>
      <c r="N240" s="8" t="str">
        <f aca="true">IF(M240="","Active (per Notice 1)",IF(M240&lt;TODAY(),"Expired",IF(M240&lt;TODAY()+180,"Expiring Soon","Active")))</f>
        <v>Active (per Notice 1)</v>
      </c>
      <c r="O240" s="13" t="s">
        <v>292</v>
      </c>
      <c r="P240" s="8" t="s">
        <v>327</v>
      </c>
      <c r="Q240" s="8" t="n">
        <v>3.47</v>
      </c>
      <c r="R240" s="8" t="n">
        <v>2</v>
      </c>
      <c r="S240" s="11" t="n">
        <v>44783</v>
      </c>
      <c r="T240" s="8" t="str">
        <f aca="true">IF(S240="","",IF(EDATE(S240,60)&lt;TODAY(),"Expired",IF(EDATE(S240,60)&lt;TODAY()+180,"Expiring Soon","Valid")))</f>
        <v>Valid</v>
      </c>
      <c r="U240" s="8" t="str">
        <f aca="false">IF(P240="","",IF(P240="A++","Top Tier",IF(P240="A+","High",IF(P240="A","Strong",IF(LEFT(P240,1)="B","Acceptable",IF(LEFT(P240,1)="C","Below Avg","-"))))))</f>
        <v>High</v>
      </c>
      <c r="AT240" s="8"/>
      <c r="AU240" s="8"/>
    </row>
    <row r="241" customFormat="false" ht="15" hidden="false" customHeight="true" outlineLevel="0" collapsed="false">
      <c r="A241" s="8" t="n">
        <v>240</v>
      </c>
      <c r="B241" s="8" t="n">
        <v>37</v>
      </c>
      <c r="C241" s="8" t="s">
        <v>425</v>
      </c>
      <c r="D241" s="8" t="s">
        <v>315</v>
      </c>
      <c r="E241" s="9" t="s">
        <v>451</v>
      </c>
      <c r="F241" s="9" t="s">
        <v>306</v>
      </c>
      <c r="G241" s="8" t="s">
        <v>307</v>
      </c>
      <c r="H241" s="8" t="s">
        <v>302</v>
      </c>
      <c r="I241" s="8" t="s">
        <v>291</v>
      </c>
      <c r="J241" s="8" t="s">
        <v>292</v>
      </c>
      <c r="K241" s="8" t="s">
        <v>293</v>
      </c>
      <c r="L241" s="9" t="s">
        <v>294</v>
      </c>
      <c r="M241" s="8"/>
      <c r="N241" s="8" t="str">
        <f aca="true">IF(M241="","Active (per Notice 1)",IF(M241&lt;TODAY(),"Expired",IF(M241&lt;TODAY()+180,"Expiring Soon","Active")))</f>
        <v>Active (per Notice 1)</v>
      </c>
      <c r="O241" s="13" t="s">
        <v>292</v>
      </c>
      <c r="P241" s="8" t="s">
        <v>327</v>
      </c>
      <c r="Q241" s="8" t="n">
        <v>3.47</v>
      </c>
      <c r="R241" s="8" t="n">
        <v>2</v>
      </c>
      <c r="S241" s="11" t="n">
        <v>44783</v>
      </c>
      <c r="T241" s="8" t="str">
        <f aca="true">IF(S241="","",IF(EDATE(S241,60)&lt;TODAY(),"Expired",IF(EDATE(S241,60)&lt;TODAY()+180,"Expiring Soon","Valid")))</f>
        <v>Valid</v>
      </c>
      <c r="U241" s="8" t="str">
        <f aca="false">IF(P241="","",IF(P241="A++","Top Tier",IF(P241="A+","High",IF(P241="A","Strong",IF(LEFT(P241,1)="B","Acceptable",IF(LEFT(P241,1)="C","Below Avg","-"))))))</f>
        <v>High</v>
      </c>
      <c r="AT241" s="8"/>
      <c r="AU241" s="8"/>
    </row>
    <row r="242" customFormat="false" ht="15" hidden="false" customHeight="true" outlineLevel="0" collapsed="false">
      <c r="A242" s="8" t="n">
        <v>241</v>
      </c>
      <c r="B242" s="8" t="n">
        <v>38</v>
      </c>
      <c r="C242" s="8" t="s">
        <v>425</v>
      </c>
      <c r="D242" s="8" t="s">
        <v>286</v>
      </c>
      <c r="E242" s="9" t="s">
        <v>452</v>
      </c>
      <c r="F242" s="9" t="s">
        <v>453</v>
      </c>
      <c r="G242" s="8" t="s">
        <v>318</v>
      </c>
      <c r="H242" s="8" t="s">
        <v>290</v>
      </c>
      <c r="I242" s="8" t="s">
        <v>291</v>
      </c>
      <c r="J242" s="8" t="s">
        <v>292</v>
      </c>
      <c r="K242" s="8" t="s">
        <v>293</v>
      </c>
      <c r="L242" s="9" t="s">
        <v>294</v>
      </c>
      <c r="M242" s="8"/>
      <c r="N242" s="8" t="str">
        <f aca="true">IF(M242="","Active (per Notice 1)",IF(M242&lt;TODAY(),"Expired",IF(M242&lt;TODAY()+180,"Expiring Soon","Active")))</f>
        <v>Active (per Notice 1)</v>
      </c>
      <c r="O242" s="12" t="s">
        <v>305</v>
      </c>
      <c r="P242" s="8" t="s">
        <v>454</v>
      </c>
      <c r="Q242" s="8" t="n">
        <v>2.73</v>
      </c>
      <c r="R242" s="8" t="n">
        <v>1</v>
      </c>
      <c r="S242" s="11" t="n">
        <v>44649</v>
      </c>
      <c r="T242" s="8" t="str">
        <f aca="true">IF(S242="","",IF(EDATE(S242,60)&lt;TODAY(),"Expired",IF(EDATE(S242,60)&lt;TODAY()+180,"Expiring Soon","Valid")))</f>
        <v>Valid</v>
      </c>
      <c r="U242" s="8" t="str">
        <f aca="false">IF(P242="","",IF(P242="A++","Top Tier",IF(P242="A+","High",IF(P242="A","Strong",IF(LEFT(P242,1)="B","Acceptable",IF(LEFT(P242,1)="C","Below Avg","-"))))))</f>
        <v>Acceptable</v>
      </c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 t="n">
        <v>50</v>
      </c>
      <c r="AP242" s="8"/>
      <c r="AQ242" s="8"/>
      <c r="AR242" s="8"/>
      <c r="AS242" s="8"/>
      <c r="AT242" s="8"/>
      <c r="AU242" s="8"/>
    </row>
    <row r="243" customFormat="false" ht="15" hidden="false" customHeight="true" outlineLevel="0" collapsed="false">
      <c r="A243" s="8" t="n">
        <v>242</v>
      </c>
      <c r="B243" s="8" t="n">
        <v>38</v>
      </c>
      <c r="C243" s="8" t="s">
        <v>425</v>
      </c>
      <c r="D243" s="8" t="s">
        <v>286</v>
      </c>
      <c r="E243" s="9" t="s">
        <v>452</v>
      </c>
      <c r="F243" s="9" t="s">
        <v>455</v>
      </c>
      <c r="G243" s="8" t="s">
        <v>320</v>
      </c>
      <c r="H243" s="8" t="s">
        <v>290</v>
      </c>
      <c r="I243" s="8" t="s">
        <v>291</v>
      </c>
      <c r="J243" s="8" t="s">
        <v>292</v>
      </c>
      <c r="K243" s="8" t="s">
        <v>293</v>
      </c>
      <c r="L243" s="9" t="s">
        <v>294</v>
      </c>
      <c r="M243" s="8"/>
      <c r="N243" s="8" t="str">
        <f aca="true">IF(M243="","Active (per Notice 1)",IF(M243&lt;TODAY(),"Expired",IF(M243&lt;TODAY()+180,"Expiring Soon","Active")))</f>
        <v>Active (per Notice 1)</v>
      </c>
      <c r="O243" s="12" t="s">
        <v>305</v>
      </c>
      <c r="P243" s="8" t="s">
        <v>454</v>
      </c>
      <c r="Q243" s="8" t="n">
        <v>2.73</v>
      </c>
      <c r="R243" s="8" t="n">
        <v>1</v>
      </c>
      <c r="S243" s="11" t="n">
        <v>44649</v>
      </c>
      <c r="T243" s="8" t="str">
        <f aca="true">IF(S243="","",IF(EDATE(S243,60)&lt;TODAY(),"Expired",IF(EDATE(S243,60)&lt;TODAY()+180,"Expiring Soon","Valid")))</f>
        <v>Valid</v>
      </c>
      <c r="U243" s="8" t="str">
        <f aca="false">IF(P243="","",IF(P243="A++","Top Tier",IF(P243="A+","High",IF(P243="A","Strong",IF(LEFT(P243,1)="B","Acceptable",IF(LEFT(P243,1)="C","Below Avg","-"))))))</f>
        <v>Acceptable</v>
      </c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 t="n">
        <v>50</v>
      </c>
      <c r="AP243" s="8"/>
      <c r="AQ243" s="8"/>
      <c r="AR243" s="8"/>
      <c r="AS243" s="8"/>
      <c r="AT243" s="8"/>
      <c r="AU243" s="8"/>
    </row>
    <row r="244" customFormat="false" ht="15" hidden="false" customHeight="true" outlineLevel="0" collapsed="false">
      <c r="A244" s="8" t="n">
        <v>243</v>
      </c>
      <c r="B244" s="8" t="n">
        <v>38</v>
      </c>
      <c r="C244" s="8" t="s">
        <v>425</v>
      </c>
      <c r="D244" s="8" t="s">
        <v>286</v>
      </c>
      <c r="E244" s="9" t="s">
        <v>452</v>
      </c>
      <c r="F244" s="9" t="s">
        <v>456</v>
      </c>
      <c r="G244" s="8" t="s">
        <v>320</v>
      </c>
      <c r="H244" s="8" t="s">
        <v>290</v>
      </c>
      <c r="I244" s="8" t="s">
        <v>291</v>
      </c>
      <c r="J244" s="8" t="s">
        <v>292</v>
      </c>
      <c r="K244" s="8" t="s">
        <v>293</v>
      </c>
      <c r="L244" s="9" t="s">
        <v>294</v>
      </c>
      <c r="M244" s="8"/>
      <c r="N244" s="8" t="str">
        <f aca="true">IF(M244="","Active (per Notice 1)",IF(M244&lt;TODAY(),"Expired",IF(M244&lt;TODAY()+180,"Expiring Soon","Active")))</f>
        <v>Active (per Notice 1)</v>
      </c>
      <c r="O244" s="12" t="s">
        <v>305</v>
      </c>
      <c r="P244" s="8" t="s">
        <v>454</v>
      </c>
      <c r="Q244" s="8" t="n">
        <v>2.73</v>
      </c>
      <c r="R244" s="8" t="n">
        <v>1</v>
      </c>
      <c r="S244" s="11" t="n">
        <v>44649</v>
      </c>
      <c r="T244" s="8" t="str">
        <f aca="true">IF(S244="","",IF(EDATE(S244,60)&lt;TODAY(),"Expired",IF(EDATE(S244,60)&lt;TODAY()+180,"Expiring Soon","Valid")))</f>
        <v>Valid</v>
      </c>
      <c r="U244" s="8" t="str">
        <f aca="false">IF(P244="","",IF(P244="A++","Top Tier",IF(P244="A+","High",IF(P244="A","Strong",IF(LEFT(P244,1)="B","Acceptable",IF(LEFT(P244,1)="C","Below Avg","-"))))))</f>
        <v>Acceptable</v>
      </c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 t="n">
        <v>50</v>
      </c>
      <c r="AP244" s="8"/>
      <c r="AQ244" s="8"/>
      <c r="AR244" s="8"/>
      <c r="AS244" s="8"/>
      <c r="AT244" s="8"/>
      <c r="AU244" s="8"/>
    </row>
    <row r="245" customFormat="false" ht="15" hidden="false" customHeight="true" outlineLevel="0" collapsed="false">
      <c r="A245" s="8" t="n">
        <v>244</v>
      </c>
      <c r="B245" s="8" t="n">
        <v>38</v>
      </c>
      <c r="C245" s="8" t="s">
        <v>425</v>
      </c>
      <c r="D245" s="8" t="s">
        <v>286</v>
      </c>
      <c r="E245" s="9" t="s">
        <v>452</v>
      </c>
      <c r="F245" s="9" t="s">
        <v>457</v>
      </c>
      <c r="G245" s="8" t="s">
        <v>307</v>
      </c>
      <c r="H245" s="8" t="s">
        <v>302</v>
      </c>
      <c r="I245" s="8" t="s">
        <v>291</v>
      </c>
      <c r="J245" s="8" t="s">
        <v>292</v>
      </c>
      <c r="K245" s="8" t="s">
        <v>293</v>
      </c>
      <c r="L245" s="9" t="s">
        <v>294</v>
      </c>
      <c r="M245" s="8"/>
      <c r="N245" s="8" t="str">
        <f aca="true">IF(M245="","Active (per Notice 1)",IF(M245&lt;TODAY(),"Expired",IF(M245&lt;TODAY()+180,"Expiring Soon","Active")))</f>
        <v>Active (per Notice 1)</v>
      </c>
      <c r="O245" s="12" t="s">
        <v>305</v>
      </c>
      <c r="P245" s="8" t="s">
        <v>454</v>
      </c>
      <c r="Q245" s="8" t="n">
        <v>2.73</v>
      </c>
      <c r="R245" s="8" t="n">
        <v>1</v>
      </c>
      <c r="S245" s="11" t="n">
        <v>44649</v>
      </c>
      <c r="T245" s="8" t="str">
        <f aca="true">IF(S245="","",IF(EDATE(S245,60)&lt;TODAY(),"Expired",IF(EDATE(S245,60)&lt;TODAY()+180,"Expiring Soon","Valid")))</f>
        <v>Valid</v>
      </c>
      <c r="U245" s="8" t="str">
        <f aca="false">IF(P245="","",IF(P245="A++","Top Tier",IF(P245="A+","High",IF(P245="A","Strong",IF(LEFT(P245,1)="B","Acceptable",IF(LEFT(P245,1)="C","Below Avg","-"))))))</f>
        <v>Acceptable</v>
      </c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 t="n">
        <v>50</v>
      </c>
      <c r="AP245" s="8"/>
      <c r="AQ245" s="8"/>
      <c r="AR245" s="8"/>
      <c r="AS245" s="8"/>
      <c r="AT245" s="8"/>
      <c r="AU245" s="8"/>
    </row>
    <row r="246" customFormat="false" ht="23.25" hidden="false" customHeight="true" outlineLevel="0" collapsed="false">
      <c r="A246" s="8" t="n">
        <v>245</v>
      </c>
      <c r="B246" s="8" t="n">
        <v>38</v>
      </c>
      <c r="C246" s="8" t="s">
        <v>425</v>
      </c>
      <c r="D246" s="8" t="s">
        <v>286</v>
      </c>
      <c r="E246" s="9" t="s">
        <v>452</v>
      </c>
      <c r="F246" s="9" t="s">
        <v>458</v>
      </c>
      <c r="G246" s="8" t="s">
        <v>307</v>
      </c>
      <c r="H246" s="8" t="s">
        <v>302</v>
      </c>
      <c r="I246" s="8" t="s">
        <v>291</v>
      </c>
      <c r="J246" s="8" t="s">
        <v>292</v>
      </c>
      <c r="K246" s="8" t="s">
        <v>293</v>
      </c>
      <c r="L246" s="9" t="s">
        <v>294</v>
      </c>
      <c r="M246" s="8"/>
      <c r="N246" s="8" t="str">
        <f aca="true">IF(M246="","Active (per Notice 1)",IF(M246&lt;TODAY(),"Expired",IF(M246&lt;TODAY()+180,"Expiring Soon","Active")))</f>
        <v>Active (per Notice 1)</v>
      </c>
      <c r="O246" s="12" t="s">
        <v>305</v>
      </c>
      <c r="P246" s="8" t="s">
        <v>454</v>
      </c>
      <c r="Q246" s="8" t="n">
        <v>2.73</v>
      </c>
      <c r="R246" s="8" t="n">
        <v>1</v>
      </c>
      <c r="S246" s="11" t="n">
        <v>44649</v>
      </c>
      <c r="T246" s="8" t="str">
        <f aca="true">IF(S246="","",IF(EDATE(S246,60)&lt;TODAY(),"Expired",IF(EDATE(S246,60)&lt;TODAY()+180,"Expiring Soon","Valid")))</f>
        <v>Valid</v>
      </c>
      <c r="U246" s="8" t="str">
        <f aca="false">IF(P246="","",IF(P246="A++","Top Tier",IF(P246="A+","High",IF(P246="A","Strong",IF(LEFT(P246,1)="B","Acceptable",IF(LEFT(P246,1)="C","Below Avg","-"))))))</f>
        <v>Acceptable</v>
      </c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 t="n">
        <v>50</v>
      </c>
      <c r="AP246" s="8"/>
      <c r="AQ246" s="8"/>
      <c r="AR246" s="8"/>
      <c r="AS246" s="8"/>
      <c r="AT246" s="8"/>
      <c r="AU246" s="8"/>
    </row>
    <row r="247" customFormat="false" ht="15" hidden="false" customHeight="true" outlineLevel="0" collapsed="false">
      <c r="A247" s="8" t="n">
        <v>246</v>
      </c>
      <c r="B247" s="8" t="n">
        <v>38</v>
      </c>
      <c r="C247" s="8" t="s">
        <v>425</v>
      </c>
      <c r="D247" s="8" t="s">
        <v>286</v>
      </c>
      <c r="E247" s="9" t="s">
        <v>452</v>
      </c>
      <c r="F247" s="9" t="s">
        <v>459</v>
      </c>
      <c r="G247" s="8" t="s">
        <v>304</v>
      </c>
      <c r="H247" s="8" t="s">
        <v>302</v>
      </c>
      <c r="I247" s="8" t="s">
        <v>291</v>
      </c>
      <c r="J247" s="8" t="s">
        <v>292</v>
      </c>
      <c r="K247" s="8" t="s">
        <v>293</v>
      </c>
      <c r="L247" s="9" t="s">
        <v>294</v>
      </c>
      <c r="M247" s="8"/>
      <c r="N247" s="8" t="str">
        <f aca="true">IF(M247="","Active (per Notice 1)",IF(M247&lt;TODAY(),"Expired",IF(M247&lt;TODAY()+180,"Expiring Soon","Active")))</f>
        <v>Active (per Notice 1)</v>
      </c>
      <c r="O247" s="12" t="s">
        <v>305</v>
      </c>
      <c r="P247" s="8" t="s">
        <v>454</v>
      </c>
      <c r="Q247" s="8" t="n">
        <v>2.73</v>
      </c>
      <c r="R247" s="8" t="n">
        <v>1</v>
      </c>
      <c r="S247" s="11" t="n">
        <v>44649</v>
      </c>
      <c r="T247" s="8" t="str">
        <f aca="true">IF(S247="","",IF(EDATE(S247,60)&lt;TODAY(),"Expired",IF(EDATE(S247,60)&lt;TODAY()+180,"Expiring Soon","Valid")))</f>
        <v>Valid</v>
      </c>
      <c r="U247" s="8" t="str">
        <f aca="false">IF(P247="","",IF(P247="A++","Top Tier",IF(P247="A+","High",IF(P247="A","Strong",IF(LEFT(P247,1)="B","Acceptable",IF(LEFT(P247,1)="C","Below Avg","-"))))))</f>
        <v>Acceptable</v>
      </c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 t="n">
        <v>50</v>
      </c>
      <c r="AP247" s="8"/>
      <c r="AQ247" s="8"/>
      <c r="AR247" s="8"/>
      <c r="AS247" s="8"/>
      <c r="AT247" s="8"/>
      <c r="AU247" s="8"/>
    </row>
    <row r="248" customFormat="false" ht="15" hidden="false" customHeight="true" outlineLevel="0" collapsed="false">
      <c r="A248" s="8" t="n">
        <v>247</v>
      </c>
      <c r="B248" s="8" t="n">
        <v>38</v>
      </c>
      <c r="C248" s="8" t="s">
        <v>425</v>
      </c>
      <c r="D248" s="8" t="s">
        <v>286</v>
      </c>
      <c r="E248" s="9" t="s">
        <v>452</v>
      </c>
      <c r="F248" s="9" t="s">
        <v>460</v>
      </c>
      <c r="G248" s="8" t="s">
        <v>304</v>
      </c>
      <c r="H248" s="8" t="s">
        <v>302</v>
      </c>
      <c r="I248" s="8" t="s">
        <v>291</v>
      </c>
      <c r="J248" s="8" t="s">
        <v>292</v>
      </c>
      <c r="K248" s="8" t="s">
        <v>293</v>
      </c>
      <c r="L248" s="9" t="s">
        <v>294</v>
      </c>
      <c r="M248" s="8"/>
      <c r="N248" s="8" t="str">
        <f aca="true">IF(M248="","Active (per Notice 1)",IF(M248&lt;TODAY(),"Expired",IF(M248&lt;TODAY()+180,"Expiring Soon","Active")))</f>
        <v>Active (per Notice 1)</v>
      </c>
      <c r="O248" s="12" t="s">
        <v>305</v>
      </c>
      <c r="P248" s="8" t="s">
        <v>454</v>
      </c>
      <c r="Q248" s="8" t="n">
        <v>2.73</v>
      </c>
      <c r="R248" s="8" t="n">
        <v>1</v>
      </c>
      <c r="S248" s="11" t="n">
        <v>44649</v>
      </c>
      <c r="T248" s="8" t="str">
        <f aca="true">IF(S248="","",IF(EDATE(S248,60)&lt;TODAY(),"Expired",IF(EDATE(S248,60)&lt;TODAY()+180,"Expiring Soon","Valid")))</f>
        <v>Valid</v>
      </c>
      <c r="U248" s="8" t="str">
        <f aca="false">IF(P248="","",IF(P248="A++","Top Tier",IF(P248="A+","High",IF(P248="A","Strong",IF(LEFT(P248,1)="B","Acceptable",IF(LEFT(P248,1)="C","Below Avg","-"))))))</f>
        <v>Acceptable</v>
      </c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 t="n">
        <v>50</v>
      </c>
      <c r="AP248" s="8"/>
      <c r="AQ248" s="8"/>
      <c r="AR248" s="8"/>
      <c r="AS248" s="8"/>
      <c r="AT248" s="8"/>
      <c r="AU248" s="8"/>
    </row>
    <row r="249" customFormat="false" ht="15" hidden="false" customHeight="true" outlineLevel="0" collapsed="false">
      <c r="A249" s="8" t="n">
        <v>248</v>
      </c>
      <c r="B249" s="8" t="n">
        <v>38</v>
      </c>
      <c r="C249" s="8" t="s">
        <v>425</v>
      </c>
      <c r="D249" s="8" t="s">
        <v>286</v>
      </c>
      <c r="E249" s="9" t="s">
        <v>452</v>
      </c>
      <c r="F249" s="9" t="s">
        <v>321</v>
      </c>
      <c r="G249" s="8" t="s">
        <v>304</v>
      </c>
      <c r="H249" s="8" t="s">
        <v>302</v>
      </c>
      <c r="I249" s="8" t="s">
        <v>291</v>
      </c>
      <c r="J249" s="8" t="s">
        <v>292</v>
      </c>
      <c r="K249" s="8" t="s">
        <v>293</v>
      </c>
      <c r="L249" s="9" t="s">
        <v>294</v>
      </c>
      <c r="M249" s="8"/>
      <c r="N249" s="8" t="str">
        <f aca="true">IF(M249="","Active (per Notice 1)",IF(M249&lt;TODAY(),"Expired",IF(M249&lt;TODAY()+180,"Expiring Soon","Active")))</f>
        <v>Active (per Notice 1)</v>
      </c>
      <c r="O249" s="12" t="s">
        <v>305</v>
      </c>
      <c r="P249" s="8" t="s">
        <v>454</v>
      </c>
      <c r="Q249" s="8" t="n">
        <v>2.73</v>
      </c>
      <c r="R249" s="8" t="n">
        <v>1</v>
      </c>
      <c r="S249" s="11" t="n">
        <v>44649</v>
      </c>
      <c r="T249" s="8" t="str">
        <f aca="true">IF(S249="","",IF(EDATE(S249,60)&lt;TODAY(),"Expired",IF(EDATE(S249,60)&lt;TODAY()+180,"Expiring Soon","Valid")))</f>
        <v>Valid</v>
      </c>
      <c r="U249" s="8" t="str">
        <f aca="false">IF(P249="","",IF(P249="A++","Top Tier",IF(P249="A+","High",IF(P249="A","Strong",IF(LEFT(P249,1)="B","Acceptable",IF(LEFT(P249,1)="C","Below Avg","-"))))))</f>
        <v>Acceptable</v>
      </c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 t="n">
        <v>50</v>
      </c>
      <c r="AP249" s="8"/>
      <c r="AQ249" s="8"/>
      <c r="AR249" s="8"/>
      <c r="AS249" s="8"/>
      <c r="AT249" s="8"/>
      <c r="AU249" s="8"/>
    </row>
    <row r="250" customFormat="false" ht="15" hidden="false" customHeight="true" outlineLevel="0" collapsed="false">
      <c r="A250" s="8" t="n">
        <v>249</v>
      </c>
      <c r="B250" s="8" t="n">
        <v>38</v>
      </c>
      <c r="C250" s="8" t="s">
        <v>425</v>
      </c>
      <c r="D250" s="8" t="s">
        <v>286</v>
      </c>
      <c r="E250" s="9" t="s">
        <v>452</v>
      </c>
      <c r="F250" s="9" t="s">
        <v>306</v>
      </c>
      <c r="G250" s="8" t="s">
        <v>307</v>
      </c>
      <c r="H250" s="8" t="s">
        <v>302</v>
      </c>
      <c r="I250" s="8" t="s">
        <v>291</v>
      </c>
      <c r="J250" s="8" t="s">
        <v>292</v>
      </c>
      <c r="K250" s="8" t="s">
        <v>293</v>
      </c>
      <c r="L250" s="9" t="s">
        <v>294</v>
      </c>
      <c r="M250" s="8"/>
      <c r="N250" s="8" t="str">
        <f aca="true">IF(M250="","Active (per Notice 1)",IF(M250&lt;TODAY(),"Expired",IF(M250&lt;TODAY()+180,"Expiring Soon","Active")))</f>
        <v>Active (per Notice 1)</v>
      </c>
      <c r="O250" s="12" t="s">
        <v>305</v>
      </c>
      <c r="P250" s="8" t="s">
        <v>454</v>
      </c>
      <c r="Q250" s="8" t="n">
        <v>2.73</v>
      </c>
      <c r="R250" s="8" t="n">
        <v>1</v>
      </c>
      <c r="S250" s="11" t="n">
        <v>44649</v>
      </c>
      <c r="T250" s="8" t="str">
        <f aca="true">IF(S250="","",IF(EDATE(S250,60)&lt;TODAY(),"Expired",IF(EDATE(S250,60)&lt;TODAY()+180,"Expiring Soon","Valid")))</f>
        <v>Valid</v>
      </c>
      <c r="U250" s="8" t="str">
        <f aca="false">IF(P250="","",IF(P250="A++","Top Tier",IF(P250="A+","High",IF(P250="A","Strong",IF(LEFT(P250,1)="B","Acceptable",IF(LEFT(P250,1)="C","Below Avg","-"))))))</f>
        <v>Acceptable</v>
      </c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 t="n">
        <v>50</v>
      </c>
      <c r="AP250" s="8"/>
      <c r="AQ250" s="8"/>
      <c r="AR250" s="8"/>
      <c r="AS250" s="8"/>
      <c r="AT250" s="8"/>
      <c r="AU250" s="8"/>
    </row>
    <row r="251" customFormat="false" ht="15" hidden="false" customHeight="true" outlineLevel="0" collapsed="false">
      <c r="A251" s="8" t="n">
        <v>250</v>
      </c>
      <c r="B251" s="8" t="n">
        <v>38</v>
      </c>
      <c r="C251" s="8" t="s">
        <v>425</v>
      </c>
      <c r="D251" s="8" t="s">
        <v>286</v>
      </c>
      <c r="E251" s="9" t="s">
        <v>452</v>
      </c>
      <c r="F251" s="9" t="s">
        <v>461</v>
      </c>
      <c r="G251" s="8" t="s">
        <v>462</v>
      </c>
      <c r="H251" s="8" t="s">
        <v>302</v>
      </c>
      <c r="I251" s="8" t="s">
        <v>291</v>
      </c>
      <c r="J251" s="8" t="s">
        <v>292</v>
      </c>
      <c r="K251" s="8" t="s">
        <v>293</v>
      </c>
      <c r="L251" s="9" t="s">
        <v>294</v>
      </c>
      <c r="M251" s="8"/>
      <c r="N251" s="8" t="str">
        <f aca="true">IF(M251="","Active (per Notice 1)",IF(M251&lt;TODAY(),"Expired",IF(M251&lt;TODAY()+180,"Expiring Soon","Active")))</f>
        <v>Active (per Notice 1)</v>
      </c>
      <c r="O251" s="12" t="s">
        <v>305</v>
      </c>
      <c r="P251" s="8" t="s">
        <v>454</v>
      </c>
      <c r="Q251" s="8" t="n">
        <v>2.73</v>
      </c>
      <c r="R251" s="8" t="n">
        <v>1</v>
      </c>
      <c r="S251" s="11" t="n">
        <v>44649</v>
      </c>
      <c r="T251" s="8" t="str">
        <f aca="true">IF(S251="","",IF(EDATE(S251,60)&lt;TODAY(),"Expired",IF(EDATE(S251,60)&lt;TODAY()+180,"Expiring Soon","Valid")))</f>
        <v>Valid</v>
      </c>
      <c r="U251" s="8" t="str">
        <f aca="false">IF(P251="","",IF(P251="A++","Top Tier",IF(P251="A+","High",IF(P251="A","Strong",IF(LEFT(P251,1)="B","Acceptable",IF(LEFT(P251,1)="C","Below Avg","-"))))))</f>
        <v>Acceptable</v>
      </c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 t="n">
        <v>50</v>
      </c>
      <c r="AP251" s="8"/>
      <c r="AQ251" s="8"/>
      <c r="AR251" s="8"/>
      <c r="AS251" s="8"/>
      <c r="AT251" s="8"/>
      <c r="AU251" s="8"/>
    </row>
    <row r="252" customFormat="false" ht="15" hidden="false" customHeight="true" outlineLevel="0" collapsed="false">
      <c r="A252" s="8" t="n">
        <v>251</v>
      </c>
      <c r="B252" s="8" t="n">
        <v>38</v>
      </c>
      <c r="C252" s="8" t="s">
        <v>425</v>
      </c>
      <c r="D252" s="8" t="s">
        <v>286</v>
      </c>
      <c r="E252" s="9" t="s">
        <v>452</v>
      </c>
      <c r="F252" s="9" t="s">
        <v>463</v>
      </c>
      <c r="G252" s="8" t="s">
        <v>462</v>
      </c>
      <c r="H252" s="8" t="s">
        <v>302</v>
      </c>
      <c r="I252" s="8" t="s">
        <v>291</v>
      </c>
      <c r="J252" s="8" t="s">
        <v>292</v>
      </c>
      <c r="K252" s="8" t="s">
        <v>293</v>
      </c>
      <c r="L252" s="9" t="s">
        <v>294</v>
      </c>
      <c r="M252" s="8"/>
      <c r="N252" s="8" t="str">
        <f aca="true">IF(M252="","Active (per Notice 1)",IF(M252&lt;TODAY(),"Expired",IF(M252&lt;TODAY()+180,"Expiring Soon","Active")))</f>
        <v>Active (per Notice 1)</v>
      </c>
      <c r="O252" s="12" t="s">
        <v>305</v>
      </c>
      <c r="P252" s="8" t="s">
        <v>454</v>
      </c>
      <c r="Q252" s="8" t="n">
        <v>2.73</v>
      </c>
      <c r="R252" s="8" t="n">
        <v>1</v>
      </c>
      <c r="S252" s="11" t="n">
        <v>44649</v>
      </c>
      <c r="T252" s="8" t="str">
        <f aca="true">IF(S252="","",IF(EDATE(S252,60)&lt;TODAY(),"Expired",IF(EDATE(S252,60)&lt;TODAY()+180,"Expiring Soon","Valid")))</f>
        <v>Valid</v>
      </c>
      <c r="U252" s="8" t="str">
        <f aca="false">IF(P252="","",IF(P252="A++","Top Tier",IF(P252="A+","High",IF(P252="A","Strong",IF(LEFT(P252,1)="B","Acceptable",IF(LEFT(P252,1)="C","Below Avg","-"))))))</f>
        <v>Acceptable</v>
      </c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 t="n">
        <v>50</v>
      </c>
      <c r="AP252" s="8"/>
      <c r="AQ252" s="8"/>
      <c r="AR252" s="8"/>
      <c r="AS252" s="8"/>
      <c r="AT252" s="8"/>
      <c r="AU252" s="8"/>
    </row>
    <row r="253" customFormat="false" ht="23.25" hidden="false" customHeight="true" outlineLevel="0" collapsed="false">
      <c r="A253" s="8" t="n">
        <v>252</v>
      </c>
      <c r="B253" s="8" t="n">
        <v>38</v>
      </c>
      <c r="C253" s="8" t="s">
        <v>425</v>
      </c>
      <c r="D253" s="8" t="s">
        <v>286</v>
      </c>
      <c r="E253" s="9" t="s">
        <v>452</v>
      </c>
      <c r="F253" s="9" t="s">
        <v>464</v>
      </c>
      <c r="G253" s="8" t="s">
        <v>462</v>
      </c>
      <c r="H253" s="8" t="s">
        <v>302</v>
      </c>
      <c r="I253" s="8" t="s">
        <v>291</v>
      </c>
      <c r="J253" s="8" t="s">
        <v>292</v>
      </c>
      <c r="K253" s="8" t="s">
        <v>293</v>
      </c>
      <c r="L253" s="9" t="s">
        <v>294</v>
      </c>
      <c r="M253" s="8"/>
      <c r="N253" s="8" t="str">
        <f aca="true">IF(M253="","Active (per Notice 1)",IF(M253&lt;TODAY(),"Expired",IF(M253&lt;TODAY()+180,"Expiring Soon","Active")))</f>
        <v>Active (per Notice 1)</v>
      </c>
      <c r="O253" s="12" t="s">
        <v>305</v>
      </c>
      <c r="P253" s="8" t="s">
        <v>454</v>
      </c>
      <c r="Q253" s="8" t="n">
        <v>2.73</v>
      </c>
      <c r="R253" s="8" t="n">
        <v>1</v>
      </c>
      <c r="S253" s="11" t="n">
        <v>44649</v>
      </c>
      <c r="T253" s="8" t="str">
        <f aca="true">IF(S253="","",IF(EDATE(S253,60)&lt;TODAY(),"Expired",IF(EDATE(S253,60)&lt;TODAY()+180,"Expiring Soon","Valid")))</f>
        <v>Valid</v>
      </c>
      <c r="U253" s="8" t="str">
        <f aca="false">IF(P253="","",IF(P253="A++","Top Tier",IF(P253="A+","High",IF(P253="A","Strong",IF(LEFT(P253,1)="B","Acceptable",IF(LEFT(P253,1)="C","Below Avg","-"))))))</f>
        <v>Acceptable</v>
      </c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 t="n">
        <v>50</v>
      </c>
      <c r="AP253" s="8"/>
      <c r="AQ253" s="8"/>
      <c r="AR253" s="8"/>
      <c r="AS253" s="8"/>
      <c r="AT253" s="8"/>
      <c r="AU253" s="8"/>
    </row>
    <row r="254" customFormat="false" ht="15" hidden="false" customHeight="true" outlineLevel="0" collapsed="false">
      <c r="A254" s="8" t="n">
        <v>253</v>
      </c>
      <c r="B254" s="8" t="n">
        <v>38</v>
      </c>
      <c r="C254" s="8" t="s">
        <v>425</v>
      </c>
      <c r="D254" s="8" t="s">
        <v>286</v>
      </c>
      <c r="E254" s="9" t="s">
        <v>452</v>
      </c>
      <c r="F254" s="9" t="s">
        <v>465</v>
      </c>
      <c r="G254" s="8" t="s">
        <v>462</v>
      </c>
      <c r="H254" s="8" t="s">
        <v>302</v>
      </c>
      <c r="I254" s="8" t="s">
        <v>291</v>
      </c>
      <c r="J254" s="8" t="s">
        <v>292</v>
      </c>
      <c r="K254" s="8" t="s">
        <v>293</v>
      </c>
      <c r="L254" s="9" t="s">
        <v>294</v>
      </c>
      <c r="M254" s="8"/>
      <c r="N254" s="8" t="str">
        <f aca="true">IF(M254="","Active (per Notice 1)",IF(M254&lt;TODAY(),"Expired",IF(M254&lt;TODAY()+180,"Expiring Soon","Active")))</f>
        <v>Active (per Notice 1)</v>
      </c>
      <c r="O254" s="12" t="s">
        <v>305</v>
      </c>
      <c r="P254" s="8" t="s">
        <v>454</v>
      </c>
      <c r="Q254" s="8" t="n">
        <v>2.73</v>
      </c>
      <c r="R254" s="8" t="n">
        <v>1</v>
      </c>
      <c r="S254" s="11" t="n">
        <v>44649</v>
      </c>
      <c r="T254" s="8" t="str">
        <f aca="true">IF(S254="","",IF(EDATE(S254,60)&lt;TODAY(),"Expired",IF(EDATE(S254,60)&lt;TODAY()+180,"Expiring Soon","Valid")))</f>
        <v>Valid</v>
      </c>
      <c r="U254" s="8" t="str">
        <f aca="false">IF(P254="","",IF(P254="A++","Top Tier",IF(P254="A+","High",IF(P254="A","Strong",IF(LEFT(P254,1)="B","Acceptable",IF(LEFT(P254,1)="C","Below Avg","-"))))))</f>
        <v>Acceptable</v>
      </c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 t="n">
        <v>50</v>
      </c>
      <c r="AP254" s="8"/>
      <c r="AQ254" s="8"/>
      <c r="AR254" s="8"/>
      <c r="AS254" s="8"/>
      <c r="AT254" s="8"/>
      <c r="AU254" s="8"/>
    </row>
    <row r="255" customFormat="false" ht="15" hidden="false" customHeight="true" outlineLevel="0" collapsed="false">
      <c r="A255" s="8" t="n">
        <v>254</v>
      </c>
      <c r="B255" s="8" t="n">
        <v>39</v>
      </c>
      <c r="C255" s="8" t="s">
        <v>425</v>
      </c>
      <c r="D255" s="8" t="s">
        <v>388</v>
      </c>
      <c r="E255" s="9" t="s">
        <v>466</v>
      </c>
      <c r="F255" s="9" t="s">
        <v>467</v>
      </c>
      <c r="G255" s="8" t="s">
        <v>298</v>
      </c>
      <c r="H255" s="8" t="s">
        <v>290</v>
      </c>
      <c r="I255" s="8" t="s">
        <v>291</v>
      </c>
      <c r="J255" s="8" t="s">
        <v>292</v>
      </c>
      <c r="K255" s="8" t="s">
        <v>293</v>
      </c>
      <c r="L255" s="9" t="s">
        <v>294</v>
      </c>
      <c r="M255" s="8"/>
      <c r="N255" s="8" t="str">
        <f aca="true">IF(M255="","Active (per Notice 1)",IF(M255&lt;TODAY(),"Expired",IF(M255&lt;TODAY()+180,"Expiring Soon","Active")))</f>
        <v>Active (per Notice 1)</v>
      </c>
      <c r="O255" s="10" t="s">
        <v>295</v>
      </c>
      <c r="P255" s="8" t="s">
        <v>327</v>
      </c>
      <c r="Q255" s="8" t="n">
        <v>3.31</v>
      </c>
      <c r="R255" s="8" t="n">
        <v>1</v>
      </c>
      <c r="S255" s="11" t="n">
        <v>45065</v>
      </c>
      <c r="T255" s="8" t="str">
        <f aca="true">IF(S255="","",IF(EDATE(S255,60)&lt;TODAY(),"Expired",IF(EDATE(S255,60)&lt;TODAY()+180,"Expiring Soon","Valid")))</f>
        <v>Valid</v>
      </c>
      <c r="U255" s="8" t="str">
        <f aca="false">IF(P255="","",IF(P255="A++","Top Tier",IF(P255="A+","High",IF(P255="A","Strong",IF(LEFT(P255,1)="B","Acceptable",IF(LEFT(P255,1)="C","Below Avg","-"))))))</f>
        <v>High</v>
      </c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 t="n">
        <v>2</v>
      </c>
      <c r="AQ255" s="8"/>
      <c r="AR255" s="8"/>
      <c r="AS255" s="8"/>
      <c r="AT255" s="8"/>
      <c r="AU255" s="8"/>
    </row>
    <row r="256" customFormat="false" ht="15" hidden="false" customHeight="true" outlineLevel="0" collapsed="false">
      <c r="A256" s="8" t="n">
        <v>255</v>
      </c>
      <c r="B256" s="8" t="n">
        <v>39</v>
      </c>
      <c r="C256" s="8" t="s">
        <v>425</v>
      </c>
      <c r="D256" s="8" t="s">
        <v>388</v>
      </c>
      <c r="E256" s="9" t="s">
        <v>466</v>
      </c>
      <c r="F256" s="9" t="s">
        <v>299</v>
      </c>
      <c r="G256" s="8" t="s">
        <v>289</v>
      </c>
      <c r="H256" s="8" t="s">
        <v>290</v>
      </c>
      <c r="I256" s="8" t="s">
        <v>291</v>
      </c>
      <c r="J256" s="8" t="s">
        <v>292</v>
      </c>
      <c r="K256" s="8" t="s">
        <v>293</v>
      </c>
      <c r="L256" s="9" t="s">
        <v>294</v>
      </c>
      <c r="M256" s="8"/>
      <c r="N256" s="8" t="str">
        <f aca="true">IF(M256="","Active (per Notice 1)",IF(M256&lt;TODAY(),"Expired",IF(M256&lt;TODAY()+180,"Expiring Soon","Active")))</f>
        <v>Active (per Notice 1)</v>
      </c>
      <c r="O256" s="10" t="s">
        <v>295</v>
      </c>
      <c r="P256" s="8" t="s">
        <v>327</v>
      </c>
      <c r="Q256" s="8" t="n">
        <v>3.31</v>
      </c>
      <c r="R256" s="8" t="n">
        <v>1</v>
      </c>
      <c r="S256" s="11" t="n">
        <v>45065</v>
      </c>
      <c r="T256" s="8" t="str">
        <f aca="true">IF(S256="","",IF(EDATE(S256,60)&lt;TODAY(),"Expired",IF(EDATE(S256,60)&lt;TODAY()+180,"Expiring Soon","Valid")))</f>
        <v>Valid</v>
      </c>
      <c r="U256" s="8" t="str">
        <f aca="false">IF(P256="","",IF(P256="A++","Top Tier",IF(P256="A+","High",IF(P256="A","Strong",IF(LEFT(P256,1)="B","Acceptable",IF(LEFT(P256,1)="C","Below Avg","-"))))))</f>
        <v>High</v>
      </c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 t="n">
        <v>2</v>
      </c>
      <c r="AQ256" s="8"/>
      <c r="AR256" s="8"/>
      <c r="AS256" s="8"/>
      <c r="AT256" s="8"/>
      <c r="AU256" s="8"/>
    </row>
    <row r="257" customFormat="false" ht="15" hidden="false" customHeight="true" outlineLevel="0" collapsed="false">
      <c r="A257" s="8" t="n">
        <v>256</v>
      </c>
      <c r="B257" s="8" t="n">
        <v>39</v>
      </c>
      <c r="C257" s="8" t="s">
        <v>425</v>
      </c>
      <c r="D257" s="8" t="s">
        <v>388</v>
      </c>
      <c r="E257" s="9" t="s">
        <v>466</v>
      </c>
      <c r="F257" s="9" t="s">
        <v>366</v>
      </c>
      <c r="G257" s="8" t="s">
        <v>301</v>
      </c>
      <c r="H257" s="8" t="s">
        <v>302</v>
      </c>
      <c r="I257" s="8" t="s">
        <v>291</v>
      </c>
      <c r="J257" s="8" t="s">
        <v>292</v>
      </c>
      <c r="K257" s="8" t="s">
        <v>293</v>
      </c>
      <c r="L257" s="9" t="s">
        <v>294</v>
      </c>
      <c r="M257" s="8"/>
      <c r="N257" s="8" t="str">
        <f aca="true">IF(M257="","Active (per Notice 1)",IF(M257&lt;TODAY(),"Expired",IF(M257&lt;TODAY()+180,"Expiring Soon","Active")))</f>
        <v>Active (per Notice 1)</v>
      </c>
      <c r="O257" s="10" t="s">
        <v>295</v>
      </c>
      <c r="P257" s="8" t="s">
        <v>327</v>
      </c>
      <c r="Q257" s="8" t="n">
        <v>3.31</v>
      </c>
      <c r="R257" s="8" t="n">
        <v>1</v>
      </c>
      <c r="S257" s="11" t="n">
        <v>45065</v>
      </c>
      <c r="T257" s="8" t="str">
        <f aca="true">IF(S257="","",IF(EDATE(S257,60)&lt;TODAY(),"Expired",IF(EDATE(S257,60)&lt;TODAY()+180,"Expiring Soon","Valid")))</f>
        <v>Valid</v>
      </c>
      <c r="U257" s="8" t="str">
        <f aca="false">IF(P257="","",IF(P257="A++","Top Tier",IF(P257="A+","High",IF(P257="A","Strong",IF(LEFT(P257,1)="B","Acceptable",IF(LEFT(P257,1)="C","Below Avg","-"))))))</f>
        <v>High</v>
      </c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 t="n">
        <v>2</v>
      </c>
      <c r="AQ257" s="8"/>
      <c r="AR257" s="8"/>
      <c r="AS257" s="8"/>
      <c r="AT257" s="8"/>
      <c r="AU257" s="8"/>
    </row>
    <row r="258" customFormat="false" ht="15" hidden="false" customHeight="true" outlineLevel="0" collapsed="false">
      <c r="A258" s="8" t="n">
        <v>257</v>
      </c>
      <c r="B258" s="8" t="n">
        <v>39</v>
      </c>
      <c r="C258" s="8" t="s">
        <v>425</v>
      </c>
      <c r="D258" s="8" t="s">
        <v>388</v>
      </c>
      <c r="E258" s="9" t="s">
        <v>466</v>
      </c>
      <c r="F258" s="9" t="s">
        <v>385</v>
      </c>
      <c r="G258" s="8" t="s">
        <v>386</v>
      </c>
      <c r="H258" s="8" t="s">
        <v>302</v>
      </c>
      <c r="I258" s="8" t="s">
        <v>291</v>
      </c>
      <c r="J258" s="8" t="s">
        <v>292</v>
      </c>
      <c r="K258" s="8" t="s">
        <v>293</v>
      </c>
      <c r="L258" s="9" t="s">
        <v>294</v>
      </c>
      <c r="M258" s="8"/>
      <c r="N258" s="8" t="str">
        <f aca="true">IF(M258="","Active (per Notice 1)",IF(M258&lt;TODAY(),"Expired",IF(M258&lt;TODAY()+180,"Expiring Soon","Active")))</f>
        <v>Active (per Notice 1)</v>
      </c>
      <c r="O258" s="10" t="s">
        <v>295</v>
      </c>
      <c r="P258" s="8" t="s">
        <v>327</v>
      </c>
      <c r="Q258" s="8" t="n">
        <v>3.31</v>
      </c>
      <c r="R258" s="8" t="n">
        <v>1</v>
      </c>
      <c r="S258" s="11" t="n">
        <v>45065</v>
      </c>
      <c r="T258" s="8" t="str">
        <f aca="true">IF(S258="","",IF(EDATE(S258,60)&lt;TODAY(),"Expired",IF(EDATE(S258,60)&lt;TODAY()+180,"Expiring Soon","Valid")))</f>
        <v>Valid</v>
      </c>
      <c r="U258" s="8" t="str">
        <f aca="false">IF(P258="","",IF(P258="A++","Top Tier",IF(P258="A+","High",IF(P258="A","Strong",IF(LEFT(P258,1)="B","Acceptable",IF(LEFT(P258,1)="C","Below Avg","-"))))))</f>
        <v>High</v>
      </c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 t="n">
        <v>2</v>
      </c>
      <c r="AQ258" s="8"/>
      <c r="AR258" s="8"/>
      <c r="AS258" s="8"/>
      <c r="AT258" s="8"/>
      <c r="AU258" s="8"/>
    </row>
    <row r="259" customFormat="false" ht="15" hidden="false" customHeight="true" outlineLevel="0" collapsed="false">
      <c r="A259" s="8" t="n">
        <v>258</v>
      </c>
      <c r="B259" s="8" t="n">
        <v>39</v>
      </c>
      <c r="C259" s="8" t="s">
        <v>425</v>
      </c>
      <c r="D259" s="8" t="s">
        <v>388</v>
      </c>
      <c r="E259" s="9" t="s">
        <v>466</v>
      </c>
      <c r="F259" s="9" t="s">
        <v>311</v>
      </c>
      <c r="G259" s="8" t="s">
        <v>301</v>
      </c>
      <c r="H259" s="8" t="s">
        <v>302</v>
      </c>
      <c r="I259" s="8" t="s">
        <v>291</v>
      </c>
      <c r="J259" s="8" t="s">
        <v>292</v>
      </c>
      <c r="K259" s="8" t="s">
        <v>293</v>
      </c>
      <c r="L259" s="9" t="s">
        <v>294</v>
      </c>
      <c r="M259" s="8"/>
      <c r="N259" s="8" t="str">
        <f aca="true">IF(M259="","Active (per Notice 1)",IF(M259&lt;TODAY(),"Expired",IF(M259&lt;TODAY()+180,"Expiring Soon","Active")))</f>
        <v>Active (per Notice 1)</v>
      </c>
      <c r="O259" s="10" t="s">
        <v>295</v>
      </c>
      <c r="P259" s="8" t="s">
        <v>327</v>
      </c>
      <c r="Q259" s="8" t="n">
        <v>3.31</v>
      </c>
      <c r="R259" s="8" t="n">
        <v>1</v>
      </c>
      <c r="S259" s="11" t="n">
        <v>45065</v>
      </c>
      <c r="T259" s="8" t="str">
        <f aca="true">IF(S259="","",IF(EDATE(S259,60)&lt;TODAY(),"Expired",IF(EDATE(S259,60)&lt;TODAY()+180,"Expiring Soon","Valid")))</f>
        <v>Valid</v>
      </c>
      <c r="U259" s="8" t="str">
        <f aca="false">IF(P259="","",IF(P259="A++","Top Tier",IF(P259="A+","High",IF(P259="A","Strong",IF(LEFT(P259,1)="B","Acceptable",IF(LEFT(P259,1)="C","Below Avg","-"))))))</f>
        <v>High</v>
      </c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 t="n">
        <v>2</v>
      </c>
      <c r="AQ259" s="8"/>
      <c r="AR259" s="8"/>
      <c r="AS259" s="8"/>
      <c r="AT259" s="8"/>
      <c r="AU259" s="8"/>
    </row>
    <row r="260" customFormat="false" ht="15" hidden="false" customHeight="true" outlineLevel="0" collapsed="false">
      <c r="A260" s="8" t="n">
        <v>259</v>
      </c>
      <c r="B260" s="8" t="n">
        <v>39</v>
      </c>
      <c r="C260" s="8" t="s">
        <v>425</v>
      </c>
      <c r="D260" s="8" t="s">
        <v>388</v>
      </c>
      <c r="E260" s="9" t="s">
        <v>466</v>
      </c>
      <c r="F260" s="9" t="s">
        <v>362</v>
      </c>
      <c r="G260" s="8" t="s">
        <v>301</v>
      </c>
      <c r="H260" s="8" t="s">
        <v>302</v>
      </c>
      <c r="I260" s="8" t="s">
        <v>291</v>
      </c>
      <c r="J260" s="8" t="s">
        <v>292</v>
      </c>
      <c r="K260" s="8" t="s">
        <v>293</v>
      </c>
      <c r="L260" s="9" t="s">
        <v>294</v>
      </c>
      <c r="M260" s="8"/>
      <c r="N260" s="8" t="str">
        <f aca="true">IF(M260="","Active (per Notice 1)",IF(M260&lt;TODAY(),"Expired",IF(M260&lt;TODAY()+180,"Expiring Soon","Active")))</f>
        <v>Active (per Notice 1)</v>
      </c>
      <c r="O260" s="10" t="s">
        <v>295</v>
      </c>
      <c r="P260" s="8" t="s">
        <v>327</v>
      </c>
      <c r="Q260" s="8" t="n">
        <v>3.31</v>
      </c>
      <c r="R260" s="8" t="n">
        <v>1</v>
      </c>
      <c r="S260" s="11" t="n">
        <v>45065</v>
      </c>
      <c r="T260" s="8" t="str">
        <f aca="true">IF(S260="","",IF(EDATE(S260,60)&lt;TODAY(),"Expired",IF(EDATE(S260,60)&lt;TODAY()+180,"Expiring Soon","Valid")))</f>
        <v>Valid</v>
      </c>
      <c r="U260" s="8" t="str">
        <f aca="false">IF(P260="","",IF(P260="A++","Top Tier",IF(P260="A+","High",IF(P260="A","Strong",IF(LEFT(P260,1)="B","Acceptable",IF(LEFT(P260,1)="C","Below Avg","-"))))))</f>
        <v>High</v>
      </c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 t="n">
        <v>2</v>
      </c>
      <c r="AQ260" s="8"/>
      <c r="AR260" s="8"/>
      <c r="AS260" s="8"/>
      <c r="AT260" s="8"/>
      <c r="AU260" s="8"/>
    </row>
    <row r="261" customFormat="false" ht="15" hidden="false" customHeight="true" outlineLevel="0" collapsed="false">
      <c r="A261" s="8" t="n">
        <v>260</v>
      </c>
      <c r="B261" s="8" t="n">
        <v>39</v>
      </c>
      <c r="C261" s="8" t="s">
        <v>425</v>
      </c>
      <c r="D261" s="8" t="s">
        <v>388</v>
      </c>
      <c r="E261" s="9" t="s">
        <v>466</v>
      </c>
      <c r="F261" s="9" t="s">
        <v>312</v>
      </c>
      <c r="G261" s="8" t="s">
        <v>301</v>
      </c>
      <c r="H261" s="8" t="s">
        <v>302</v>
      </c>
      <c r="I261" s="8" t="s">
        <v>291</v>
      </c>
      <c r="J261" s="8" t="s">
        <v>292</v>
      </c>
      <c r="K261" s="8" t="s">
        <v>293</v>
      </c>
      <c r="L261" s="9" t="s">
        <v>294</v>
      </c>
      <c r="M261" s="8"/>
      <c r="N261" s="8" t="str">
        <f aca="true">IF(M261="","Active (per Notice 1)",IF(M261&lt;TODAY(),"Expired",IF(M261&lt;TODAY()+180,"Expiring Soon","Active")))</f>
        <v>Active (per Notice 1)</v>
      </c>
      <c r="O261" s="10" t="s">
        <v>295</v>
      </c>
      <c r="P261" s="8" t="s">
        <v>327</v>
      </c>
      <c r="Q261" s="8" t="n">
        <v>3.31</v>
      </c>
      <c r="R261" s="8" t="n">
        <v>1</v>
      </c>
      <c r="S261" s="11" t="n">
        <v>45065</v>
      </c>
      <c r="T261" s="8" t="str">
        <f aca="true">IF(S261="","",IF(EDATE(S261,60)&lt;TODAY(),"Expired",IF(EDATE(S261,60)&lt;TODAY()+180,"Expiring Soon","Valid")))</f>
        <v>Valid</v>
      </c>
      <c r="U261" s="8" t="str">
        <f aca="false">IF(P261="","",IF(P261="A++","Top Tier",IF(P261="A+","High",IF(P261="A","Strong",IF(LEFT(P261,1)="B","Acceptable",IF(LEFT(P261,1)="C","Below Avg","-"))))))</f>
        <v>High</v>
      </c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 t="n">
        <v>2</v>
      </c>
      <c r="AQ261" s="8"/>
      <c r="AR261" s="8"/>
      <c r="AS261" s="8"/>
      <c r="AT261" s="8"/>
      <c r="AU261" s="8"/>
    </row>
    <row r="262" customFormat="false" ht="15" hidden="false" customHeight="true" outlineLevel="0" collapsed="false">
      <c r="A262" s="8" t="n">
        <v>261</v>
      </c>
      <c r="B262" s="8" t="n">
        <v>39</v>
      </c>
      <c r="C262" s="8" t="s">
        <v>425</v>
      </c>
      <c r="D262" s="8" t="s">
        <v>388</v>
      </c>
      <c r="E262" s="9" t="s">
        <v>466</v>
      </c>
      <c r="F262" s="9" t="s">
        <v>444</v>
      </c>
      <c r="G262" s="8" t="s">
        <v>301</v>
      </c>
      <c r="H262" s="8" t="s">
        <v>302</v>
      </c>
      <c r="I262" s="8" t="s">
        <v>291</v>
      </c>
      <c r="J262" s="8" t="s">
        <v>292</v>
      </c>
      <c r="K262" s="8" t="s">
        <v>293</v>
      </c>
      <c r="L262" s="9" t="s">
        <v>294</v>
      </c>
      <c r="M262" s="8"/>
      <c r="N262" s="8" t="str">
        <f aca="true">IF(M262="","Active (per Notice 1)",IF(M262&lt;TODAY(),"Expired",IF(M262&lt;TODAY()+180,"Expiring Soon","Active")))</f>
        <v>Active (per Notice 1)</v>
      </c>
      <c r="O262" s="10" t="s">
        <v>295</v>
      </c>
      <c r="P262" s="8" t="s">
        <v>327</v>
      </c>
      <c r="Q262" s="8" t="n">
        <v>3.31</v>
      </c>
      <c r="R262" s="8" t="n">
        <v>1</v>
      </c>
      <c r="S262" s="11" t="n">
        <v>45065</v>
      </c>
      <c r="T262" s="8" t="str">
        <f aca="true">IF(S262="","",IF(EDATE(S262,60)&lt;TODAY(),"Expired",IF(EDATE(S262,60)&lt;TODAY()+180,"Expiring Soon","Valid")))</f>
        <v>Valid</v>
      </c>
      <c r="U262" s="8" t="str">
        <f aca="false">IF(P262="","",IF(P262="A++","Top Tier",IF(P262="A+","High",IF(P262="A","Strong",IF(LEFT(P262,1)="B","Acceptable",IF(LEFT(P262,1)="C","Below Avg","-"))))))</f>
        <v>High</v>
      </c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 t="n">
        <v>2</v>
      </c>
      <c r="AQ262" s="8"/>
      <c r="AR262" s="8"/>
      <c r="AS262" s="8"/>
      <c r="AT262" s="8"/>
      <c r="AU262" s="8"/>
    </row>
    <row r="263" customFormat="false" ht="15" hidden="false" customHeight="true" outlineLevel="0" collapsed="false">
      <c r="A263" s="8" t="n">
        <v>262</v>
      </c>
      <c r="B263" s="8" t="n">
        <v>39</v>
      </c>
      <c r="C263" s="8" t="s">
        <v>425</v>
      </c>
      <c r="D263" s="8" t="s">
        <v>388</v>
      </c>
      <c r="E263" s="9" t="s">
        <v>466</v>
      </c>
      <c r="F263" s="9" t="s">
        <v>308</v>
      </c>
      <c r="G263" s="8" t="s">
        <v>309</v>
      </c>
      <c r="H263" s="8" t="s">
        <v>302</v>
      </c>
      <c r="I263" s="8" t="s">
        <v>291</v>
      </c>
      <c r="J263" s="8" t="s">
        <v>292</v>
      </c>
      <c r="K263" s="8" t="s">
        <v>293</v>
      </c>
      <c r="L263" s="9" t="s">
        <v>294</v>
      </c>
      <c r="M263" s="8"/>
      <c r="N263" s="8" t="str">
        <f aca="true">IF(M263="","Active (per Notice 1)",IF(M263&lt;TODAY(),"Expired",IF(M263&lt;TODAY()+180,"Expiring Soon","Active")))</f>
        <v>Active (per Notice 1)</v>
      </c>
      <c r="O263" s="10" t="s">
        <v>295</v>
      </c>
      <c r="P263" s="8" t="s">
        <v>327</v>
      </c>
      <c r="Q263" s="8" t="n">
        <v>3.31</v>
      </c>
      <c r="R263" s="8" t="n">
        <v>1</v>
      </c>
      <c r="S263" s="11" t="n">
        <v>45065</v>
      </c>
      <c r="T263" s="8" t="str">
        <f aca="true">IF(S263="","",IF(EDATE(S263,60)&lt;TODAY(),"Expired",IF(EDATE(S263,60)&lt;TODAY()+180,"Expiring Soon","Valid")))</f>
        <v>Valid</v>
      </c>
      <c r="U263" s="8" t="str">
        <f aca="false">IF(P263="","",IF(P263="A++","Top Tier",IF(P263="A+","High",IF(P263="A","Strong",IF(LEFT(P263,1)="B","Acceptable",IF(LEFT(P263,1)="C","Below Avg","-"))))))</f>
        <v>High</v>
      </c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 t="n">
        <v>2</v>
      </c>
      <c r="AQ263" s="8"/>
      <c r="AR263" s="8"/>
      <c r="AS263" s="8"/>
      <c r="AT263" s="8"/>
      <c r="AU263" s="8"/>
    </row>
    <row r="264" customFormat="false" ht="15" hidden="false" customHeight="true" outlineLevel="0" collapsed="false">
      <c r="A264" s="8" t="n">
        <v>263</v>
      </c>
      <c r="B264" s="8" t="n">
        <v>39</v>
      </c>
      <c r="C264" s="8" t="s">
        <v>425</v>
      </c>
      <c r="D264" s="8" t="s">
        <v>388</v>
      </c>
      <c r="E264" s="9" t="s">
        <v>466</v>
      </c>
      <c r="F264" s="9" t="s">
        <v>303</v>
      </c>
      <c r="G264" s="8" t="s">
        <v>304</v>
      </c>
      <c r="H264" s="8" t="s">
        <v>302</v>
      </c>
      <c r="I264" s="8" t="s">
        <v>291</v>
      </c>
      <c r="J264" s="8" t="s">
        <v>292</v>
      </c>
      <c r="K264" s="8" t="s">
        <v>293</v>
      </c>
      <c r="L264" s="9" t="s">
        <v>294</v>
      </c>
      <c r="M264" s="8"/>
      <c r="N264" s="8" t="str">
        <f aca="true">IF(M264="","Active (per Notice 1)",IF(M264&lt;TODAY(),"Expired",IF(M264&lt;TODAY()+180,"Expiring Soon","Active")))</f>
        <v>Active (per Notice 1)</v>
      </c>
      <c r="O264" s="12" t="s">
        <v>305</v>
      </c>
      <c r="P264" s="8" t="s">
        <v>327</v>
      </c>
      <c r="Q264" s="8" t="n">
        <v>3.31</v>
      </c>
      <c r="R264" s="8" t="n">
        <v>1</v>
      </c>
      <c r="S264" s="11" t="n">
        <v>45065</v>
      </c>
      <c r="T264" s="8" t="str">
        <f aca="true">IF(S264="","",IF(EDATE(S264,60)&lt;TODAY(),"Expired",IF(EDATE(S264,60)&lt;TODAY()+180,"Expiring Soon","Valid")))</f>
        <v>Valid</v>
      </c>
      <c r="U264" s="8" t="str">
        <f aca="false">IF(P264="","",IF(P264="A++","Top Tier",IF(P264="A+","High",IF(P264="A","Strong",IF(LEFT(P264,1)="B","Acceptable",IF(LEFT(P264,1)="C","Below Avg","-"))))))</f>
        <v>High</v>
      </c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 t="n">
        <v>2</v>
      </c>
      <c r="AQ264" s="8"/>
      <c r="AR264" s="8"/>
      <c r="AS264" s="8"/>
      <c r="AT264" s="8"/>
      <c r="AU264" s="8"/>
    </row>
    <row r="265" customFormat="false" ht="15" hidden="false" customHeight="true" outlineLevel="0" collapsed="false">
      <c r="A265" s="8" t="n">
        <v>264</v>
      </c>
      <c r="B265" s="8" t="n">
        <v>40</v>
      </c>
      <c r="C265" s="8" t="s">
        <v>425</v>
      </c>
      <c r="D265" s="8" t="s">
        <v>315</v>
      </c>
      <c r="E265" s="9" t="s">
        <v>468</v>
      </c>
      <c r="F265" s="9" t="s">
        <v>319</v>
      </c>
      <c r="G265" s="8" t="s">
        <v>320</v>
      </c>
      <c r="H265" s="8" t="s">
        <v>290</v>
      </c>
      <c r="I265" s="8" t="s">
        <v>291</v>
      </c>
      <c r="J265" s="8" t="s">
        <v>292</v>
      </c>
      <c r="K265" s="8" t="s">
        <v>293</v>
      </c>
      <c r="L265" s="9" t="s">
        <v>294</v>
      </c>
      <c r="M265" s="8"/>
      <c r="N265" s="8" t="str">
        <f aca="true">IF(M265="","Active (per Notice 1)",IF(M265&lt;TODAY(),"Expired",IF(M265&lt;TODAY()+180,"Expiring Soon","Active")))</f>
        <v>Active (per Notice 1)</v>
      </c>
      <c r="O265" s="13" t="s">
        <v>292</v>
      </c>
      <c r="P265" s="8" t="s">
        <v>454</v>
      </c>
      <c r="Q265" s="8" t="n">
        <v>2.61</v>
      </c>
      <c r="R265" s="8" t="n">
        <v>1</v>
      </c>
      <c r="S265" s="11" t="n">
        <v>45289</v>
      </c>
      <c r="T265" s="8" t="str">
        <f aca="true">IF(S265="","",IF(EDATE(S265,60)&lt;TODAY(),"Expired",IF(EDATE(S265,60)&lt;TODAY()+180,"Expiring Soon","Valid")))</f>
        <v>Valid</v>
      </c>
      <c r="U265" s="8" t="str">
        <f aca="false">IF(P265="","",IF(P265="A++","Top Tier",IF(P265="A+","High",IF(P265="A","Strong",IF(LEFT(P265,1)="B","Acceptable",IF(LEFT(P265,1)="C","Below Avg","-"))))))</f>
        <v>Acceptable</v>
      </c>
      <c r="Y265" s="8" t="n">
        <v>8</v>
      </c>
      <c r="Z265" s="11" t="n">
        <v>46203</v>
      </c>
      <c r="AA265" s="8" t="s">
        <v>328</v>
      </c>
      <c r="AB265" s="8" t="s">
        <v>405</v>
      </c>
      <c r="AC265" s="8" t="n">
        <v>96</v>
      </c>
      <c r="AD265" s="8" t="n">
        <v>63</v>
      </c>
      <c r="AE265" s="8"/>
      <c r="AF265" s="8" t="n">
        <v>76</v>
      </c>
      <c r="AG265" s="8" t="n">
        <v>57</v>
      </c>
      <c r="AH265" s="8"/>
      <c r="AI265" s="8"/>
      <c r="AJ265" s="8"/>
      <c r="AK265" s="8" t="n">
        <v>24</v>
      </c>
      <c r="AL265" s="8" t="n">
        <v>34</v>
      </c>
      <c r="AM265" s="8"/>
      <c r="AN265" s="8"/>
      <c r="AO265" s="8"/>
      <c r="AP265" s="8"/>
      <c r="AQ265" s="8"/>
      <c r="AR265" s="8"/>
      <c r="AS265" s="8"/>
      <c r="AT265" s="8"/>
      <c r="AU265" s="8"/>
    </row>
    <row r="266" customFormat="false" ht="15" hidden="false" customHeight="true" outlineLevel="0" collapsed="false">
      <c r="A266" s="8" t="n">
        <v>265</v>
      </c>
      <c r="B266" s="8" t="n">
        <v>40</v>
      </c>
      <c r="C266" s="8" t="s">
        <v>425</v>
      </c>
      <c r="D266" s="8" t="s">
        <v>315</v>
      </c>
      <c r="E266" s="9" t="s">
        <v>468</v>
      </c>
      <c r="F266" s="9" t="s">
        <v>299</v>
      </c>
      <c r="G266" s="8" t="s">
        <v>289</v>
      </c>
      <c r="H266" s="8" t="s">
        <v>290</v>
      </c>
      <c r="I266" s="8" t="s">
        <v>291</v>
      </c>
      <c r="J266" s="8" t="s">
        <v>292</v>
      </c>
      <c r="K266" s="8" t="s">
        <v>293</v>
      </c>
      <c r="L266" s="9" t="s">
        <v>294</v>
      </c>
      <c r="M266" s="8"/>
      <c r="N266" s="8" t="str">
        <f aca="true">IF(M266="","Active (per Notice 1)",IF(M266&lt;TODAY(),"Expired",IF(M266&lt;TODAY()+180,"Expiring Soon","Active")))</f>
        <v>Active (per Notice 1)</v>
      </c>
      <c r="O266" s="10" t="s">
        <v>295</v>
      </c>
      <c r="P266" s="8" t="s">
        <v>454</v>
      </c>
      <c r="Q266" s="8" t="n">
        <v>2.61</v>
      </c>
      <c r="R266" s="8" t="n">
        <v>1</v>
      </c>
      <c r="S266" s="11" t="n">
        <v>45289</v>
      </c>
      <c r="T266" s="8" t="str">
        <f aca="true">IF(S266="","",IF(EDATE(S266,60)&lt;TODAY(),"Expired",IF(EDATE(S266,60)&lt;TODAY()+180,"Expiring Soon","Valid")))</f>
        <v>Valid</v>
      </c>
      <c r="U266" s="8" t="str">
        <f aca="false">IF(P266="","",IF(P266="A++","Top Tier",IF(P266="A+","High",IF(P266="A","Strong",IF(LEFT(P266,1)="B","Acceptable",IF(LEFT(P266,1)="C","Below Avg","-"))))))</f>
        <v>Acceptable</v>
      </c>
      <c r="Y266" s="8" t="n">
        <v>8</v>
      </c>
      <c r="Z266" s="11" t="n">
        <v>46203</v>
      </c>
      <c r="AA266" s="8" t="s">
        <v>328</v>
      </c>
      <c r="AB266" s="8" t="s">
        <v>405</v>
      </c>
      <c r="AC266" s="8" t="n">
        <v>96</v>
      </c>
      <c r="AD266" s="8" t="n">
        <v>63</v>
      </c>
      <c r="AE266" s="8"/>
      <c r="AF266" s="8" t="n">
        <v>76</v>
      </c>
      <c r="AG266" s="8" t="n">
        <v>57</v>
      </c>
      <c r="AH266" s="8"/>
      <c r="AI266" s="8"/>
      <c r="AJ266" s="8"/>
      <c r="AK266" s="8" t="n">
        <v>24</v>
      </c>
      <c r="AL266" s="8" t="n">
        <v>34</v>
      </c>
      <c r="AM266" s="8"/>
      <c r="AN266" s="8"/>
      <c r="AO266" s="8"/>
      <c r="AP266" s="8"/>
      <c r="AQ266" s="8"/>
      <c r="AR266" s="8"/>
      <c r="AS266" s="8"/>
      <c r="AT266" s="8"/>
      <c r="AU266" s="8"/>
    </row>
    <row r="267" customFormat="false" ht="15" hidden="false" customHeight="true" outlineLevel="0" collapsed="false">
      <c r="A267" s="8" t="n">
        <v>266</v>
      </c>
      <c r="B267" s="8" t="n">
        <v>40</v>
      </c>
      <c r="C267" s="8" t="s">
        <v>425</v>
      </c>
      <c r="D267" s="8" t="s">
        <v>315</v>
      </c>
      <c r="E267" s="9" t="s">
        <v>468</v>
      </c>
      <c r="F267" s="9" t="s">
        <v>469</v>
      </c>
      <c r="G267" s="8" t="s">
        <v>301</v>
      </c>
      <c r="H267" s="8" t="s">
        <v>302</v>
      </c>
      <c r="I267" s="8" t="s">
        <v>291</v>
      </c>
      <c r="J267" s="8" t="s">
        <v>292</v>
      </c>
      <c r="K267" s="8" t="s">
        <v>293</v>
      </c>
      <c r="L267" s="9" t="s">
        <v>294</v>
      </c>
      <c r="M267" s="8"/>
      <c r="N267" s="8" t="str">
        <f aca="true">IF(M267="","Active (per Notice 1)",IF(M267&lt;TODAY(),"Expired",IF(M267&lt;TODAY()+180,"Expiring Soon","Active")))</f>
        <v>Active (per Notice 1)</v>
      </c>
      <c r="O267" s="10" t="s">
        <v>295</v>
      </c>
      <c r="P267" s="8" t="s">
        <v>454</v>
      </c>
      <c r="Q267" s="8" t="n">
        <v>2.61</v>
      </c>
      <c r="R267" s="8" t="n">
        <v>1</v>
      </c>
      <c r="S267" s="11" t="n">
        <v>45289</v>
      </c>
      <c r="T267" s="8" t="str">
        <f aca="true">IF(S267="","",IF(EDATE(S267,60)&lt;TODAY(),"Expired",IF(EDATE(S267,60)&lt;TODAY()+180,"Expiring Soon","Valid")))</f>
        <v>Valid</v>
      </c>
      <c r="U267" s="8" t="str">
        <f aca="false">IF(P267="","",IF(P267="A++","Top Tier",IF(P267="A+","High",IF(P267="A","Strong",IF(LEFT(P267,1)="B","Acceptable",IF(LEFT(P267,1)="C","Below Avg","-"))))))</f>
        <v>Acceptable</v>
      </c>
      <c r="Y267" s="8" t="n">
        <v>8</v>
      </c>
      <c r="Z267" s="11" t="n">
        <v>46203</v>
      </c>
      <c r="AA267" s="8" t="s">
        <v>328</v>
      </c>
      <c r="AB267" s="8" t="s">
        <v>405</v>
      </c>
      <c r="AC267" s="8" t="n">
        <v>96</v>
      </c>
      <c r="AD267" s="8" t="n">
        <v>63</v>
      </c>
      <c r="AE267" s="8"/>
      <c r="AF267" s="8" t="n">
        <v>76</v>
      </c>
      <c r="AG267" s="8" t="n">
        <v>57</v>
      </c>
      <c r="AH267" s="8"/>
      <c r="AI267" s="8"/>
      <c r="AJ267" s="8"/>
      <c r="AK267" s="8" t="n">
        <v>24</v>
      </c>
      <c r="AL267" s="8" t="n">
        <v>34</v>
      </c>
      <c r="AM267" s="8"/>
      <c r="AN267" s="8"/>
      <c r="AO267" s="8"/>
      <c r="AP267" s="8"/>
      <c r="AQ267" s="8"/>
      <c r="AR267" s="8"/>
      <c r="AS267" s="8"/>
      <c r="AT267" s="8"/>
      <c r="AU267" s="8"/>
    </row>
    <row r="268" customFormat="false" ht="15" hidden="false" customHeight="true" outlineLevel="0" collapsed="false">
      <c r="A268" s="8" t="n">
        <v>267</v>
      </c>
      <c r="B268" s="8" t="n">
        <v>40</v>
      </c>
      <c r="C268" s="8" t="s">
        <v>425</v>
      </c>
      <c r="D268" s="8" t="s">
        <v>315</v>
      </c>
      <c r="E268" s="9" t="s">
        <v>468</v>
      </c>
      <c r="F268" s="9" t="s">
        <v>470</v>
      </c>
      <c r="G268" s="8" t="s">
        <v>301</v>
      </c>
      <c r="H268" s="8" t="s">
        <v>302</v>
      </c>
      <c r="I268" s="8" t="s">
        <v>291</v>
      </c>
      <c r="J268" s="8" t="s">
        <v>292</v>
      </c>
      <c r="K268" s="8" t="s">
        <v>293</v>
      </c>
      <c r="L268" s="9" t="s">
        <v>294</v>
      </c>
      <c r="M268" s="8"/>
      <c r="N268" s="8" t="str">
        <f aca="true">IF(M268="","Active (per Notice 1)",IF(M268&lt;TODAY(),"Expired",IF(M268&lt;TODAY()+180,"Expiring Soon","Active")))</f>
        <v>Active (per Notice 1)</v>
      </c>
      <c r="O268" s="10" t="s">
        <v>295</v>
      </c>
      <c r="P268" s="8" t="s">
        <v>454</v>
      </c>
      <c r="Q268" s="8" t="n">
        <v>2.61</v>
      </c>
      <c r="R268" s="8" t="n">
        <v>1</v>
      </c>
      <c r="S268" s="11" t="n">
        <v>45289</v>
      </c>
      <c r="T268" s="8" t="str">
        <f aca="true">IF(S268="","",IF(EDATE(S268,60)&lt;TODAY(),"Expired",IF(EDATE(S268,60)&lt;TODAY()+180,"Expiring Soon","Valid")))</f>
        <v>Valid</v>
      </c>
      <c r="U268" s="8" t="str">
        <f aca="false">IF(P268="","",IF(P268="A++","Top Tier",IF(P268="A+","High",IF(P268="A","Strong",IF(LEFT(P268,1)="B","Acceptable",IF(LEFT(P268,1)="C","Below Avg","-"))))))</f>
        <v>Acceptable</v>
      </c>
      <c r="Y268" s="8" t="n">
        <v>8</v>
      </c>
      <c r="Z268" s="11" t="n">
        <v>46203</v>
      </c>
      <c r="AA268" s="8" t="s">
        <v>328</v>
      </c>
      <c r="AB268" s="8" t="s">
        <v>405</v>
      </c>
      <c r="AC268" s="8" t="n">
        <v>96</v>
      </c>
      <c r="AD268" s="8" t="n">
        <v>63</v>
      </c>
      <c r="AE268" s="8"/>
      <c r="AF268" s="8" t="n">
        <v>76</v>
      </c>
      <c r="AG268" s="8" t="n">
        <v>57</v>
      </c>
      <c r="AH268" s="8"/>
      <c r="AI268" s="8"/>
      <c r="AJ268" s="8"/>
      <c r="AK268" s="8" t="n">
        <v>24</v>
      </c>
      <c r="AL268" s="8" t="n">
        <v>34</v>
      </c>
      <c r="AM268" s="8"/>
      <c r="AN268" s="8"/>
      <c r="AO268" s="8"/>
      <c r="AP268" s="8"/>
      <c r="AQ268" s="8"/>
      <c r="AR268" s="8"/>
      <c r="AS268" s="8"/>
      <c r="AT268" s="8"/>
      <c r="AU268" s="8"/>
    </row>
    <row r="269" customFormat="false" ht="15" hidden="false" customHeight="true" outlineLevel="0" collapsed="false">
      <c r="A269" s="8" t="n">
        <v>268</v>
      </c>
      <c r="B269" s="8" t="n">
        <v>40</v>
      </c>
      <c r="C269" s="8" t="s">
        <v>425</v>
      </c>
      <c r="D269" s="8" t="s">
        <v>315</v>
      </c>
      <c r="E269" s="9" t="s">
        <v>468</v>
      </c>
      <c r="F269" s="9" t="s">
        <v>306</v>
      </c>
      <c r="G269" s="8" t="s">
        <v>307</v>
      </c>
      <c r="H269" s="8" t="s">
        <v>302</v>
      </c>
      <c r="I269" s="8" t="s">
        <v>291</v>
      </c>
      <c r="J269" s="8" t="s">
        <v>292</v>
      </c>
      <c r="K269" s="8" t="s">
        <v>293</v>
      </c>
      <c r="L269" s="9" t="s">
        <v>294</v>
      </c>
      <c r="M269" s="8"/>
      <c r="N269" s="8" t="str">
        <f aca="true">IF(M269="","Active (per Notice 1)",IF(M269&lt;TODAY(),"Expired",IF(M269&lt;TODAY()+180,"Expiring Soon","Active")))</f>
        <v>Active (per Notice 1)</v>
      </c>
      <c r="O269" s="13" t="s">
        <v>292</v>
      </c>
      <c r="P269" s="8" t="s">
        <v>454</v>
      </c>
      <c r="Q269" s="8" t="n">
        <v>2.61</v>
      </c>
      <c r="R269" s="8" t="n">
        <v>1</v>
      </c>
      <c r="S269" s="11" t="n">
        <v>45289</v>
      </c>
      <c r="T269" s="8" t="str">
        <f aca="true">IF(S269="","",IF(EDATE(S269,60)&lt;TODAY(),"Expired",IF(EDATE(S269,60)&lt;TODAY()+180,"Expiring Soon","Valid")))</f>
        <v>Valid</v>
      </c>
      <c r="U269" s="8" t="str">
        <f aca="false">IF(P269="","",IF(P269="A++","Top Tier",IF(P269="A+","High",IF(P269="A","Strong",IF(LEFT(P269,1)="B","Acceptable",IF(LEFT(P269,1)="C","Below Avg","-"))))))</f>
        <v>Acceptable</v>
      </c>
      <c r="Y269" s="8" t="n">
        <v>8</v>
      </c>
      <c r="Z269" s="11" t="n">
        <v>46203</v>
      </c>
      <c r="AA269" s="8" t="s">
        <v>328</v>
      </c>
      <c r="AB269" s="8" t="s">
        <v>405</v>
      </c>
      <c r="AC269" s="8" t="n">
        <v>96</v>
      </c>
      <c r="AD269" s="8" t="n">
        <v>63</v>
      </c>
      <c r="AE269" s="8"/>
      <c r="AF269" s="8" t="n">
        <v>76</v>
      </c>
      <c r="AG269" s="8" t="n">
        <v>57</v>
      </c>
      <c r="AH269" s="8"/>
      <c r="AI269" s="8"/>
      <c r="AJ269" s="8"/>
      <c r="AK269" s="8" t="n">
        <v>24</v>
      </c>
      <c r="AL269" s="8" t="n">
        <v>34</v>
      </c>
      <c r="AM269" s="8"/>
      <c r="AN269" s="8"/>
      <c r="AO269" s="8"/>
      <c r="AP269" s="8"/>
      <c r="AQ269" s="8"/>
      <c r="AR269" s="8"/>
      <c r="AS269" s="8"/>
      <c r="AT269" s="8"/>
      <c r="AU269" s="8"/>
    </row>
    <row r="270" customFormat="false" ht="15" hidden="false" customHeight="true" outlineLevel="0" collapsed="false">
      <c r="A270" s="8" t="n">
        <v>269</v>
      </c>
      <c r="B270" s="8" t="n">
        <v>40</v>
      </c>
      <c r="C270" s="8" t="s">
        <v>425</v>
      </c>
      <c r="D270" s="8" t="s">
        <v>315</v>
      </c>
      <c r="E270" s="9" t="s">
        <v>468</v>
      </c>
      <c r="F270" s="9" t="s">
        <v>471</v>
      </c>
      <c r="G270" s="8" t="s">
        <v>386</v>
      </c>
      <c r="H270" s="8" t="s">
        <v>302</v>
      </c>
      <c r="I270" s="8" t="s">
        <v>291</v>
      </c>
      <c r="J270" s="8" t="s">
        <v>292</v>
      </c>
      <c r="K270" s="8" t="s">
        <v>293</v>
      </c>
      <c r="L270" s="9" t="s">
        <v>294</v>
      </c>
      <c r="M270" s="8"/>
      <c r="N270" s="8" t="str">
        <f aca="true">IF(M270="","Active (per Notice 1)",IF(M270&lt;TODAY(),"Expired",IF(M270&lt;TODAY()+180,"Expiring Soon","Active")))</f>
        <v>Active (per Notice 1)</v>
      </c>
      <c r="O270" s="10" t="s">
        <v>295</v>
      </c>
      <c r="P270" s="8" t="s">
        <v>454</v>
      </c>
      <c r="Q270" s="8" t="n">
        <v>2.61</v>
      </c>
      <c r="R270" s="8" t="n">
        <v>1</v>
      </c>
      <c r="S270" s="11" t="n">
        <v>45289</v>
      </c>
      <c r="T270" s="8" t="str">
        <f aca="true">IF(S270="","",IF(EDATE(S270,60)&lt;TODAY(),"Expired",IF(EDATE(S270,60)&lt;TODAY()+180,"Expiring Soon","Valid")))</f>
        <v>Valid</v>
      </c>
      <c r="U270" s="8" t="str">
        <f aca="false">IF(P270="","",IF(P270="A++","Top Tier",IF(P270="A+","High",IF(P270="A","Strong",IF(LEFT(P270,1)="B","Acceptable",IF(LEFT(P270,1)="C","Below Avg","-"))))))</f>
        <v>Acceptable</v>
      </c>
      <c r="Y270" s="8" t="n">
        <v>8</v>
      </c>
      <c r="Z270" s="11" t="n">
        <v>46203</v>
      </c>
      <c r="AA270" s="8" t="s">
        <v>328</v>
      </c>
      <c r="AB270" s="8" t="s">
        <v>405</v>
      </c>
      <c r="AC270" s="8" t="n">
        <v>96</v>
      </c>
      <c r="AD270" s="8" t="n">
        <v>63</v>
      </c>
      <c r="AE270" s="8"/>
      <c r="AF270" s="8" t="n">
        <v>76</v>
      </c>
      <c r="AG270" s="8" t="n">
        <v>57</v>
      </c>
      <c r="AH270" s="8"/>
      <c r="AI270" s="8"/>
      <c r="AJ270" s="8"/>
      <c r="AK270" s="8" t="n">
        <v>24</v>
      </c>
      <c r="AL270" s="8" t="n">
        <v>34</v>
      </c>
      <c r="AM270" s="8"/>
      <c r="AN270" s="8"/>
      <c r="AO270" s="8"/>
      <c r="AP270" s="8"/>
      <c r="AQ270" s="8"/>
      <c r="AR270" s="8"/>
      <c r="AS270" s="8"/>
      <c r="AT270" s="8"/>
      <c r="AU270" s="8"/>
    </row>
    <row r="271" customFormat="false" ht="15" hidden="false" customHeight="true" outlineLevel="0" collapsed="false">
      <c r="A271" s="8" t="n">
        <v>270</v>
      </c>
      <c r="B271" s="8" t="n">
        <v>40</v>
      </c>
      <c r="C271" s="8" t="s">
        <v>425</v>
      </c>
      <c r="D271" s="8" t="s">
        <v>315</v>
      </c>
      <c r="E271" s="9" t="s">
        <v>468</v>
      </c>
      <c r="F271" s="9" t="s">
        <v>401</v>
      </c>
      <c r="G271" s="8" t="s">
        <v>386</v>
      </c>
      <c r="H271" s="8" t="s">
        <v>302</v>
      </c>
      <c r="I271" s="8" t="s">
        <v>291</v>
      </c>
      <c r="J271" s="8" t="s">
        <v>292</v>
      </c>
      <c r="K271" s="8" t="s">
        <v>293</v>
      </c>
      <c r="L271" s="9" t="s">
        <v>294</v>
      </c>
      <c r="M271" s="8"/>
      <c r="N271" s="8" t="str">
        <f aca="true">IF(M271="","Active (per Notice 1)",IF(M271&lt;TODAY(),"Expired",IF(M271&lt;TODAY()+180,"Expiring Soon","Active")))</f>
        <v>Active (per Notice 1)</v>
      </c>
      <c r="O271" s="10" t="s">
        <v>295</v>
      </c>
      <c r="P271" s="8" t="s">
        <v>454</v>
      </c>
      <c r="Q271" s="8" t="n">
        <v>2.61</v>
      </c>
      <c r="R271" s="8" t="n">
        <v>1</v>
      </c>
      <c r="S271" s="11" t="n">
        <v>45289</v>
      </c>
      <c r="T271" s="8" t="str">
        <f aca="true">IF(S271="","",IF(EDATE(S271,60)&lt;TODAY(),"Expired",IF(EDATE(S271,60)&lt;TODAY()+180,"Expiring Soon","Valid")))</f>
        <v>Valid</v>
      </c>
      <c r="U271" s="8" t="str">
        <f aca="false">IF(P271="","",IF(P271="A++","Top Tier",IF(P271="A+","High",IF(P271="A","Strong",IF(LEFT(P271,1)="B","Acceptable",IF(LEFT(P271,1)="C","Below Avg","-"))))))</f>
        <v>Acceptable</v>
      </c>
      <c r="Y271" s="8" t="n">
        <v>8</v>
      </c>
      <c r="Z271" s="11" t="n">
        <v>46203</v>
      </c>
      <c r="AA271" s="8" t="s">
        <v>328</v>
      </c>
      <c r="AB271" s="8" t="s">
        <v>405</v>
      </c>
      <c r="AC271" s="8" t="n">
        <v>96</v>
      </c>
      <c r="AD271" s="8" t="n">
        <v>63</v>
      </c>
      <c r="AE271" s="8"/>
      <c r="AF271" s="8" t="n">
        <v>76</v>
      </c>
      <c r="AG271" s="8" t="n">
        <v>57</v>
      </c>
      <c r="AH271" s="8"/>
      <c r="AI271" s="8"/>
      <c r="AJ271" s="8"/>
      <c r="AK271" s="8" t="n">
        <v>24</v>
      </c>
      <c r="AL271" s="8" t="n">
        <v>34</v>
      </c>
      <c r="AM271" s="8"/>
      <c r="AN271" s="8"/>
      <c r="AO271" s="8"/>
      <c r="AP271" s="8"/>
      <c r="AQ271" s="8"/>
      <c r="AR271" s="8"/>
      <c r="AS271" s="8"/>
      <c r="AT271" s="8"/>
      <c r="AU271" s="8"/>
    </row>
    <row r="272" customFormat="false" ht="15" hidden="false" customHeight="true" outlineLevel="0" collapsed="false">
      <c r="A272" s="8" t="n">
        <v>271</v>
      </c>
      <c r="B272" s="8" t="n">
        <v>41</v>
      </c>
      <c r="C272" s="8" t="s">
        <v>425</v>
      </c>
      <c r="D272" s="8" t="s">
        <v>333</v>
      </c>
      <c r="E272" s="9" t="s">
        <v>472</v>
      </c>
      <c r="F272" s="9" t="s">
        <v>359</v>
      </c>
      <c r="G272" s="8" t="s">
        <v>289</v>
      </c>
      <c r="H272" s="8" t="s">
        <v>290</v>
      </c>
      <c r="I272" s="8" t="s">
        <v>291</v>
      </c>
      <c r="J272" s="8" t="s">
        <v>292</v>
      </c>
      <c r="K272" s="8" t="s">
        <v>293</v>
      </c>
      <c r="L272" s="9" t="s">
        <v>294</v>
      </c>
      <c r="M272" s="8"/>
      <c r="N272" s="8" t="str">
        <f aca="true">IF(M272="","Active (per Notice 1)",IF(M272&lt;TODAY(),"Expired",IF(M272&lt;TODAY()+180,"Expiring Soon","Active")))</f>
        <v>Active (per Notice 1)</v>
      </c>
      <c r="O272" s="10" t="s">
        <v>295</v>
      </c>
      <c r="P272" s="8" t="s">
        <v>327</v>
      </c>
      <c r="Q272" s="8" t="n">
        <v>3.31</v>
      </c>
      <c r="R272" s="8" t="n">
        <v>1</v>
      </c>
      <c r="S272" s="11" t="n">
        <v>45372</v>
      </c>
      <c r="T272" s="8" t="str">
        <f aca="true">IF(S272="","",IF(EDATE(S272,60)&lt;TODAY(),"Expired",IF(EDATE(S272,60)&lt;TODAY()+180,"Expiring Soon","Valid")))</f>
        <v>Valid</v>
      </c>
      <c r="U272" s="8" t="str">
        <f aca="false">IF(P272="","",IF(P272="A++","Top Tier",IF(P272="A+","High",IF(P272="A","Strong",IF(LEFT(P272,1)="B","Acceptable",IF(LEFT(P272,1)="C","Below Avg","-"))))))</f>
        <v>High</v>
      </c>
      <c r="AT272" s="8"/>
      <c r="AU272" s="8"/>
    </row>
    <row r="273" customFormat="false" ht="15" hidden="false" customHeight="true" outlineLevel="0" collapsed="false">
      <c r="A273" s="8" t="n">
        <v>272</v>
      </c>
      <c r="B273" s="8" t="n">
        <v>41</v>
      </c>
      <c r="C273" s="8" t="s">
        <v>425</v>
      </c>
      <c r="D273" s="8" t="s">
        <v>333</v>
      </c>
      <c r="E273" s="9" t="s">
        <v>472</v>
      </c>
      <c r="F273" s="9" t="s">
        <v>319</v>
      </c>
      <c r="G273" s="8" t="s">
        <v>320</v>
      </c>
      <c r="H273" s="8" t="s">
        <v>290</v>
      </c>
      <c r="I273" s="8" t="s">
        <v>291</v>
      </c>
      <c r="J273" s="8" t="s">
        <v>292</v>
      </c>
      <c r="K273" s="8" t="s">
        <v>293</v>
      </c>
      <c r="L273" s="9" t="s">
        <v>294</v>
      </c>
      <c r="M273" s="8"/>
      <c r="N273" s="8" t="str">
        <f aca="true">IF(M273="","Active (per Notice 1)",IF(M273&lt;TODAY(),"Expired",IF(M273&lt;TODAY()+180,"Expiring Soon","Active")))</f>
        <v>Active (per Notice 1)</v>
      </c>
      <c r="O273" s="12" t="s">
        <v>305</v>
      </c>
      <c r="P273" s="8" t="s">
        <v>327</v>
      </c>
      <c r="Q273" s="8" t="n">
        <v>3.31</v>
      </c>
      <c r="R273" s="8" t="n">
        <v>1</v>
      </c>
      <c r="S273" s="11" t="n">
        <v>45372</v>
      </c>
      <c r="T273" s="8" t="str">
        <f aca="true">IF(S273="","",IF(EDATE(S273,60)&lt;TODAY(),"Expired",IF(EDATE(S273,60)&lt;TODAY()+180,"Expiring Soon","Valid")))</f>
        <v>Valid</v>
      </c>
      <c r="U273" s="8" t="str">
        <f aca="false">IF(P273="","",IF(P273="A++","Top Tier",IF(P273="A+","High",IF(P273="A","Strong",IF(LEFT(P273,1)="B","Acceptable",IF(LEFT(P273,1)="C","Below Avg","-"))))))</f>
        <v>High</v>
      </c>
      <c r="AT273" s="8"/>
      <c r="AU273" s="8"/>
    </row>
    <row r="274" customFormat="false" ht="15" hidden="false" customHeight="true" outlineLevel="0" collapsed="false">
      <c r="A274" s="8" t="n">
        <v>273</v>
      </c>
      <c r="B274" s="8" t="n">
        <v>41</v>
      </c>
      <c r="C274" s="8" t="s">
        <v>425</v>
      </c>
      <c r="D274" s="8" t="s">
        <v>333</v>
      </c>
      <c r="E274" s="9" t="s">
        <v>472</v>
      </c>
      <c r="F274" s="9" t="s">
        <v>317</v>
      </c>
      <c r="G274" s="8" t="s">
        <v>318</v>
      </c>
      <c r="H274" s="8" t="s">
        <v>290</v>
      </c>
      <c r="I274" s="8" t="s">
        <v>291</v>
      </c>
      <c r="J274" s="8" t="s">
        <v>292</v>
      </c>
      <c r="K274" s="8" t="s">
        <v>293</v>
      </c>
      <c r="L274" s="9" t="s">
        <v>294</v>
      </c>
      <c r="M274" s="8"/>
      <c r="N274" s="8" t="str">
        <f aca="true">IF(M274="","Active (per Notice 1)",IF(M274&lt;TODAY(),"Expired",IF(M274&lt;TODAY()+180,"Expiring Soon","Active")))</f>
        <v>Active (per Notice 1)</v>
      </c>
      <c r="O274" s="12" t="s">
        <v>305</v>
      </c>
      <c r="P274" s="8" t="s">
        <v>327</v>
      </c>
      <c r="Q274" s="8" t="n">
        <v>3.31</v>
      </c>
      <c r="R274" s="8" t="n">
        <v>1</v>
      </c>
      <c r="S274" s="11" t="n">
        <v>45372</v>
      </c>
      <c r="T274" s="8" t="str">
        <f aca="true">IF(S274="","",IF(EDATE(S274,60)&lt;TODAY(),"Expired",IF(EDATE(S274,60)&lt;TODAY()+180,"Expiring Soon","Valid")))</f>
        <v>Valid</v>
      </c>
      <c r="U274" s="8" t="str">
        <f aca="false">IF(P274="","",IF(P274="A++","Top Tier",IF(P274="A+","High",IF(P274="A","Strong",IF(LEFT(P274,1)="B","Acceptable",IF(LEFT(P274,1)="C","Below Avg","-"))))))</f>
        <v>High</v>
      </c>
      <c r="AT274" s="8"/>
      <c r="AU274" s="8"/>
    </row>
    <row r="275" customFormat="false" ht="15" hidden="false" customHeight="true" outlineLevel="0" collapsed="false">
      <c r="A275" s="8" t="n">
        <v>274</v>
      </c>
      <c r="B275" s="8" t="n">
        <v>41</v>
      </c>
      <c r="C275" s="8" t="s">
        <v>425</v>
      </c>
      <c r="D275" s="8" t="s">
        <v>333</v>
      </c>
      <c r="E275" s="9" t="s">
        <v>472</v>
      </c>
      <c r="F275" s="9" t="s">
        <v>303</v>
      </c>
      <c r="G275" s="8" t="s">
        <v>304</v>
      </c>
      <c r="H275" s="8" t="s">
        <v>302</v>
      </c>
      <c r="I275" s="8" t="s">
        <v>291</v>
      </c>
      <c r="J275" s="8" t="s">
        <v>292</v>
      </c>
      <c r="K275" s="8" t="s">
        <v>293</v>
      </c>
      <c r="L275" s="9" t="s">
        <v>294</v>
      </c>
      <c r="M275" s="8"/>
      <c r="N275" s="8" t="str">
        <f aca="true">IF(M275="","Active (per Notice 1)",IF(M275&lt;TODAY(),"Expired",IF(M275&lt;TODAY()+180,"Expiring Soon","Active")))</f>
        <v>Active (per Notice 1)</v>
      </c>
      <c r="O275" s="12" t="s">
        <v>305</v>
      </c>
      <c r="P275" s="8" t="s">
        <v>327</v>
      </c>
      <c r="Q275" s="8" t="n">
        <v>3.31</v>
      </c>
      <c r="R275" s="8" t="n">
        <v>1</v>
      </c>
      <c r="S275" s="11" t="n">
        <v>45372</v>
      </c>
      <c r="T275" s="8" t="str">
        <f aca="true">IF(S275="","",IF(EDATE(S275,60)&lt;TODAY(),"Expired",IF(EDATE(S275,60)&lt;TODAY()+180,"Expiring Soon","Valid")))</f>
        <v>Valid</v>
      </c>
      <c r="U275" s="8" t="str">
        <f aca="false">IF(P275="","",IF(P275="A++","Top Tier",IF(P275="A+","High",IF(P275="A","Strong",IF(LEFT(P275,1)="B","Acceptable",IF(LEFT(P275,1)="C","Below Avg","-"))))))</f>
        <v>High</v>
      </c>
      <c r="AT275" s="8"/>
      <c r="AU275" s="8"/>
    </row>
    <row r="276" customFormat="false" ht="15" hidden="false" customHeight="true" outlineLevel="0" collapsed="false">
      <c r="A276" s="8" t="n">
        <v>275</v>
      </c>
      <c r="B276" s="8" t="n">
        <v>41</v>
      </c>
      <c r="C276" s="8" t="s">
        <v>425</v>
      </c>
      <c r="D276" s="8" t="s">
        <v>333</v>
      </c>
      <c r="E276" s="9" t="s">
        <v>472</v>
      </c>
      <c r="F276" s="9" t="s">
        <v>306</v>
      </c>
      <c r="G276" s="8" t="s">
        <v>307</v>
      </c>
      <c r="H276" s="8" t="s">
        <v>302</v>
      </c>
      <c r="I276" s="8" t="s">
        <v>291</v>
      </c>
      <c r="J276" s="8" t="s">
        <v>292</v>
      </c>
      <c r="K276" s="8" t="s">
        <v>293</v>
      </c>
      <c r="L276" s="9" t="s">
        <v>294</v>
      </c>
      <c r="M276" s="8"/>
      <c r="N276" s="8" t="str">
        <f aca="true">IF(M276="","Active (per Notice 1)",IF(M276&lt;TODAY(),"Expired",IF(M276&lt;TODAY()+180,"Expiring Soon","Active")))</f>
        <v>Active (per Notice 1)</v>
      </c>
      <c r="O276" s="12" t="s">
        <v>305</v>
      </c>
      <c r="P276" s="8" t="s">
        <v>327</v>
      </c>
      <c r="Q276" s="8" t="n">
        <v>3.31</v>
      </c>
      <c r="R276" s="8" t="n">
        <v>1</v>
      </c>
      <c r="S276" s="11" t="n">
        <v>45372</v>
      </c>
      <c r="T276" s="8" t="str">
        <f aca="true">IF(S276="","",IF(EDATE(S276,60)&lt;TODAY(),"Expired",IF(EDATE(S276,60)&lt;TODAY()+180,"Expiring Soon","Valid")))</f>
        <v>Valid</v>
      </c>
      <c r="U276" s="8" t="str">
        <f aca="false">IF(P276="","",IF(P276="A++","Top Tier",IF(P276="A+","High",IF(P276="A","Strong",IF(LEFT(P276,1)="B","Acceptable",IF(LEFT(P276,1)="C","Below Avg","-"))))))</f>
        <v>High</v>
      </c>
      <c r="AT276" s="8"/>
      <c r="AU276" s="8"/>
    </row>
    <row r="277" customFormat="false" ht="15" hidden="false" customHeight="true" outlineLevel="0" collapsed="false">
      <c r="A277" s="8" t="n">
        <v>276</v>
      </c>
      <c r="B277" s="8" t="n">
        <v>42</v>
      </c>
      <c r="C277" s="8" t="s">
        <v>425</v>
      </c>
      <c r="D277" s="8" t="s">
        <v>333</v>
      </c>
      <c r="E277" s="9" t="s">
        <v>473</v>
      </c>
      <c r="F277" s="9" t="s">
        <v>474</v>
      </c>
      <c r="G277" s="8" t="s">
        <v>289</v>
      </c>
      <c r="H277" s="8" t="s">
        <v>290</v>
      </c>
      <c r="I277" s="8" t="s">
        <v>291</v>
      </c>
      <c r="J277" s="8" t="s">
        <v>292</v>
      </c>
      <c r="K277" s="8" t="s">
        <v>293</v>
      </c>
      <c r="L277" s="9" t="s">
        <v>294</v>
      </c>
      <c r="M277" s="8"/>
      <c r="N277" s="8" t="str">
        <f aca="true">IF(M277="","Active (per Notice 1)",IF(M277&lt;TODAY(),"Expired",IF(M277&lt;TODAY()+180,"Expiring Soon","Active")))</f>
        <v>Active (per Notice 1)</v>
      </c>
      <c r="O277" s="10" t="s">
        <v>295</v>
      </c>
      <c r="P277" s="8" t="s">
        <v>327</v>
      </c>
      <c r="Q277" s="8" t="n">
        <v>3.26</v>
      </c>
      <c r="R277" s="8" t="n">
        <v>1</v>
      </c>
      <c r="S277" s="11" t="n">
        <v>45604</v>
      </c>
      <c r="T277" s="8" t="str">
        <f aca="true">IF(S277="","",IF(EDATE(S277,60)&lt;TODAY(),"Expired",IF(EDATE(S277,60)&lt;TODAY()+180,"Expiring Soon","Valid")))</f>
        <v>Valid</v>
      </c>
      <c r="U277" s="8" t="str">
        <f aca="false">IF(P277="","",IF(P277="A++","Top Tier",IF(P277="A+","High",IF(P277="A","Strong",IF(LEFT(P277,1)="B","Acceptable",IF(LEFT(P277,1)="C","Below Avg","-"))))))</f>
        <v>High</v>
      </c>
      <c r="AC277" s="8"/>
      <c r="AD277" s="8"/>
      <c r="AE277" s="8"/>
      <c r="AF277" s="8"/>
      <c r="AG277" s="8" t="n">
        <v>71</v>
      </c>
      <c r="AH277" s="8"/>
      <c r="AI277" s="8"/>
      <c r="AJ277" s="8"/>
      <c r="AK277" s="8" t="n">
        <v>20</v>
      </c>
      <c r="AL277" s="8"/>
      <c r="AM277" s="8"/>
      <c r="AN277" s="8"/>
      <c r="AO277" s="8"/>
      <c r="AP277" s="8"/>
      <c r="AQ277" s="8"/>
      <c r="AR277" s="8"/>
      <c r="AS277" s="8"/>
      <c r="AT277" s="8"/>
      <c r="AU277" s="8"/>
    </row>
    <row r="278" customFormat="false" ht="15" hidden="false" customHeight="true" outlineLevel="0" collapsed="false">
      <c r="A278" s="8" t="n">
        <v>277</v>
      </c>
      <c r="B278" s="8" t="n">
        <v>42</v>
      </c>
      <c r="C278" s="8" t="s">
        <v>425</v>
      </c>
      <c r="D278" s="8" t="s">
        <v>333</v>
      </c>
      <c r="E278" s="9" t="s">
        <v>473</v>
      </c>
      <c r="F278" s="9" t="s">
        <v>317</v>
      </c>
      <c r="G278" s="8" t="s">
        <v>318</v>
      </c>
      <c r="H278" s="8" t="s">
        <v>290</v>
      </c>
      <c r="I278" s="8" t="s">
        <v>291</v>
      </c>
      <c r="J278" s="8" t="s">
        <v>292</v>
      </c>
      <c r="K278" s="8" t="s">
        <v>293</v>
      </c>
      <c r="L278" s="9" t="s">
        <v>294</v>
      </c>
      <c r="M278" s="8"/>
      <c r="N278" s="8" t="str">
        <f aca="true">IF(M278="","Active (per Notice 1)",IF(M278&lt;TODAY(),"Expired",IF(M278&lt;TODAY()+180,"Expiring Soon","Active")))</f>
        <v>Active (per Notice 1)</v>
      </c>
      <c r="O278" s="12" t="s">
        <v>305</v>
      </c>
      <c r="P278" s="8" t="s">
        <v>327</v>
      </c>
      <c r="Q278" s="8" t="n">
        <v>3.26</v>
      </c>
      <c r="R278" s="8" t="n">
        <v>1</v>
      </c>
      <c r="S278" s="11" t="n">
        <v>45604</v>
      </c>
      <c r="T278" s="8" t="str">
        <f aca="true">IF(S278="","",IF(EDATE(S278,60)&lt;TODAY(),"Expired",IF(EDATE(S278,60)&lt;TODAY()+180,"Expiring Soon","Valid")))</f>
        <v>Valid</v>
      </c>
      <c r="U278" s="8" t="str">
        <f aca="false">IF(P278="","",IF(P278="A++","Top Tier",IF(P278="A+","High",IF(P278="A","Strong",IF(LEFT(P278,1)="B","Acceptable",IF(LEFT(P278,1)="C","Below Avg","-"))))))</f>
        <v>High</v>
      </c>
      <c r="AC278" s="8"/>
      <c r="AD278" s="8"/>
      <c r="AE278" s="8"/>
      <c r="AF278" s="8"/>
      <c r="AG278" s="8" t="n">
        <v>71</v>
      </c>
      <c r="AH278" s="8"/>
      <c r="AI278" s="8"/>
      <c r="AJ278" s="8"/>
      <c r="AK278" s="8" t="n">
        <v>20</v>
      </c>
      <c r="AL278" s="8"/>
      <c r="AM278" s="8"/>
      <c r="AN278" s="8"/>
      <c r="AO278" s="8"/>
      <c r="AP278" s="8"/>
      <c r="AQ278" s="8"/>
      <c r="AR278" s="8"/>
      <c r="AS278" s="8"/>
      <c r="AT278" s="8"/>
      <c r="AU278" s="8"/>
    </row>
    <row r="279" customFormat="false" ht="15" hidden="false" customHeight="true" outlineLevel="0" collapsed="false">
      <c r="A279" s="8" t="n">
        <v>278</v>
      </c>
      <c r="B279" s="8" t="n">
        <v>42</v>
      </c>
      <c r="C279" s="8" t="s">
        <v>425</v>
      </c>
      <c r="D279" s="8" t="s">
        <v>333</v>
      </c>
      <c r="E279" s="9" t="s">
        <v>473</v>
      </c>
      <c r="F279" s="9" t="s">
        <v>303</v>
      </c>
      <c r="G279" s="8" t="s">
        <v>304</v>
      </c>
      <c r="H279" s="8" t="s">
        <v>302</v>
      </c>
      <c r="I279" s="8" t="s">
        <v>291</v>
      </c>
      <c r="J279" s="8" t="s">
        <v>292</v>
      </c>
      <c r="K279" s="8" t="s">
        <v>293</v>
      </c>
      <c r="L279" s="9" t="s">
        <v>294</v>
      </c>
      <c r="M279" s="8"/>
      <c r="N279" s="8" t="str">
        <f aca="true">IF(M279="","Active (per Notice 1)",IF(M279&lt;TODAY(),"Expired",IF(M279&lt;TODAY()+180,"Expiring Soon","Active")))</f>
        <v>Active (per Notice 1)</v>
      </c>
      <c r="O279" s="13" t="s">
        <v>292</v>
      </c>
      <c r="P279" s="8" t="s">
        <v>327</v>
      </c>
      <c r="Q279" s="8" t="n">
        <v>3.26</v>
      </c>
      <c r="R279" s="8" t="n">
        <v>1</v>
      </c>
      <c r="S279" s="11" t="n">
        <v>45604</v>
      </c>
      <c r="T279" s="8" t="str">
        <f aca="true">IF(S279="","",IF(EDATE(S279,60)&lt;TODAY(),"Expired",IF(EDATE(S279,60)&lt;TODAY()+180,"Expiring Soon","Valid")))</f>
        <v>Valid</v>
      </c>
      <c r="U279" s="8" t="str">
        <f aca="false">IF(P279="","",IF(P279="A++","Top Tier",IF(P279="A+","High",IF(P279="A","Strong",IF(LEFT(P279,1)="B","Acceptable",IF(LEFT(P279,1)="C","Below Avg","-"))))))</f>
        <v>High</v>
      </c>
      <c r="AC279" s="8"/>
      <c r="AD279" s="8"/>
      <c r="AE279" s="8"/>
      <c r="AF279" s="8"/>
      <c r="AG279" s="8" t="n">
        <v>71</v>
      </c>
      <c r="AH279" s="8"/>
      <c r="AI279" s="8"/>
      <c r="AJ279" s="8"/>
      <c r="AK279" s="8" t="n">
        <v>20</v>
      </c>
      <c r="AL279" s="8"/>
      <c r="AM279" s="8"/>
      <c r="AN279" s="8"/>
      <c r="AO279" s="8"/>
      <c r="AP279" s="8"/>
      <c r="AQ279" s="8"/>
      <c r="AR279" s="8"/>
      <c r="AS279" s="8"/>
      <c r="AT279" s="8"/>
      <c r="AU279" s="8"/>
    </row>
    <row r="280" customFormat="false" ht="15" hidden="false" customHeight="true" outlineLevel="0" collapsed="false">
      <c r="A280" s="8" t="n">
        <v>279</v>
      </c>
      <c r="B280" s="8" t="n">
        <v>43</v>
      </c>
      <c r="C280" s="8" t="s">
        <v>425</v>
      </c>
      <c r="D280" s="8" t="s">
        <v>333</v>
      </c>
      <c r="E280" s="9" t="s">
        <v>475</v>
      </c>
      <c r="F280" s="9" t="s">
        <v>303</v>
      </c>
      <c r="G280" s="8" t="s">
        <v>304</v>
      </c>
      <c r="H280" s="8" t="s">
        <v>302</v>
      </c>
      <c r="I280" s="8" t="s">
        <v>291</v>
      </c>
      <c r="J280" s="8" t="s">
        <v>292</v>
      </c>
      <c r="K280" s="8" t="s">
        <v>293</v>
      </c>
      <c r="L280" s="9" t="s">
        <v>294</v>
      </c>
      <c r="M280" s="8"/>
      <c r="N280" s="8" t="str">
        <f aca="true">IF(M280="","Active (per Notice 1)",IF(M280&lt;TODAY(),"Expired",IF(M280&lt;TODAY()+180,"Expiring Soon","Active")))</f>
        <v>Active (per Notice 1)</v>
      </c>
      <c r="O280" s="12" t="s">
        <v>305</v>
      </c>
      <c r="P280" s="8" t="s">
        <v>327</v>
      </c>
      <c r="Q280" s="8" t="n">
        <v>3.39</v>
      </c>
      <c r="R280" s="8" t="n">
        <v>1</v>
      </c>
      <c r="S280" s="11" t="n">
        <v>45527</v>
      </c>
      <c r="T280" s="8" t="str">
        <f aca="true">IF(S280="","",IF(EDATE(S280,60)&lt;TODAY(),"Expired",IF(EDATE(S280,60)&lt;TODAY()+180,"Expiring Soon","Valid")))</f>
        <v>Valid</v>
      </c>
      <c r="U280" s="8" t="str">
        <f aca="false">IF(P280="","",IF(P280="A++","Top Tier",IF(P280="A+","High",IF(P280="A","Strong",IF(LEFT(P280,1)="B","Acceptable",IF(LEFT(P280,1)="C","Below Avg","-"))))))</f>
        <v>High</v>
      </c>
      <c r="AT280" s="8"/>
      <c r="AU280" s="8"/>
    </row>
    <row r="281" customFormat="false" ht="15" hidden="false" customHeight="true" outlineLevel="0" collapsed="false">
      <c r="A281" s="8" t="n">
        <v>280</v>
      </c>
      <c r="B281" s="8" t="n">
        <v>44</v>
      </c>
      <c r="C281" s="8" t="s">
        <v>476</v>
      </c>
      <c r="D281" s="8" t="s">
        <v>286</v>
      </c>
      <c r="E281" s="9" t="s">
        <v>477</v>
      </c>
      <c r="F281" s="9" t="s">
        <v>474</v>
      </c>
      <c r="G281" s="8" t="s">
        <v>289</v>
      </c>
      <c r="H281" s="8" t="s">
        <v>290</v>
      </c>
      <c r="I281" s="8" t="s">
        <v>291</v>
      </c>
      <c r="J281" s="8" t="s">
        <v>292</v>
      </c>
      <c r="K281" s="8" t="s">
        <v>293</v>
      </c>
      <c r="L281" s="9" t="s">
        <v>294</v>
      </c>
      <c r="M281" s="8"/>
      <c r="N281" s="8" t="str">
        <f aca="true">IF(M281="","Active (per Notice 1)",IF(M281&lt;TODAY(),"Expired",IF(M281&lt;TODAY()+180,"Expiring Soon","Active")))</f>
        <v>Active (per Notice 1)</v>
      </c>
      <c r="O281" s="10" t="s">
        <v>295</v>
      </c>
      <c r="P281" s="8" t="s">
        <v>296</v>
      </c>
      <c r="Q281" s="8" t="n">
        <v>3.61</v>
      </c>
      <c r="R281" s="8" t="n">
        <v>4</v>
      </c>
      <c r="S281" s="11" t="n">
        <v>45365</v>
      </c>
      <c r="T281" s="8" t="str">
        <f aca="true">IF(S281="","",IF(EDATE(S281,60)&lt;TODAY(),"Expired",IF(EDATE(S281,60)&lt;TODAY()+180,"Expiring Soon","Valid")))</f>
        <v>Valid</v>
      </c>
      <c r="U281" s="8" t="str">
        <f aca="false">IF(P281="","",IF(P281="A++","Top Tier",IF(P281="A+","High",IF(P281="A","Strong",IF(LEFT(P281,1)="B","Acceptable",IF(LEFT(P281,1)="C","Below Avg","-"))))))</f>
        <v>Top Tier</v>
      </c>
      <c r="AC281" s="8" t="n">
        <v>79</v>
      </c>
      <c r="AD281" s="8" t="n">
        <v>43</v>
      </c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 t="n">
        <v>17</v>
      </c>
      <c r="AP281" s="8"/>
      <c r="AQ281" s="8"/>
      <c r="AR281" s="8"/>
      <c r="AS281" s="8"/>
      <c r="AT281" s="8"/>
      <c r="AU281" s="8"/>
    </row>
    <row r="282" customFormat="false" ht="15" hidden="false" customHeight="true" outlineLevel="0" collapsed="false">
      <c r="A282" s="8" t="n">
        <v>281</v>
      </c>
      <c r="B282" s="8" t="n">
        <v>44</v>
      </c>
      <c r="C282" s="8" t="s">
        <v>476</v>
      </c>
      <c r="D282" s="8" t="s">
        <v>286</v>
      </c>
      <c r="E282" s="9" t="s">
        <v>477</v>
      </c>
      <c r="F282" s="9" t="s">
        <v>478</v>
      </c>
      <c r="G282" s="8" t="s">
        <v>318</v>
      </c>
      <c r="H282" s="8" t="s">
        <v>290</v>
      </c>
      <c r="I282" s="8" t="s">
        <v>291</v>
      </c>
      <c r="J282" s="8" t="s">
        <v>292</v>
      </c>
      <c r="K282" s="8" t="s">
        <v>293</v>
      </c>
      <c r="L282" s="9" t="s">
        <v>294</v>
      </c>
      <c r="M282" s="8"/>
      <c r="N282" s="8" t="str">
        <f aca="true">IF(M282="","Active (per Notice 1)",IF(M282&lt;TODAY(),"Expired",IF(M282&lt;TODAY()+180,"Expiring Soon","Active")))</f>
        <v>Active (per Notice 1)</v>
      </c>
      <c r="O282" s="12" t="s">
        <v>305</v>
      </c>
      <c r="P282" s="8" t="s">
        <v>296</v>
      </c>
      <c r="Q282" s="8" t="n">
        <v>3.61</v>
      </c>
      <c r="R282" s="8" t="n">
        <v>4</v>
      </c>
      <c r="S282" s="11" t="n">
        <v>45365</v>
      </c>
      <c r="T282" s="8" t="str">
        <f aca="true">IF(S282="","",IF(EDATE(S282,60)&lt;TODAY(),"Expired",IF(EDATE(S282,60)&lt;TODAY()+180,"Expiring Soon","Valid")))</f>
        <v>Valid</v>
      </c>
      <c r="U282" s="8" t="str">
        <f aca="false">IF(P282="","",IF(P282="A++","Top Tier",IF(P282="A+","High",IF(P282="A","Strong",IF(LEFT(P282,1)="B","Acceptable",IF(LEFT(P282,1)="C","Below Avg","-"))))))</f>
        <v>Top Tier</v>
      </c>
      <c r="AC282" s="8" t="n">
        <v>79</v>
      </c>
      <c r="AD282" s="8" t="n">
        <v>43</v>
      </c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 t="n">
        <v>17</v>
      </c>
      <c r="AP282" s="8"/>
      <c r="AQ282" s="8"/>
      <c r="AR282" s="8"/>
      <c r="AS282" s="8"/>
      <c r="AT282" s="8"/>
      <c r="AU282" s="8"/>
    </row>
    <row r="283" customFormat="false" ht="15" hidden="false" customHeight="true" outlineLevel="0" collapsed="false">
      <c r="A283" s="8" t="n">
        <v>282</v>
      </c>
      <c r="B283" s="8" t="n">
        <v>44</v>
      </c>
      <c r="C283" s="8" t="s">
        <v>476</v>
      </c>
      <c r="D283" s="8" t="s">
        <v>286</v>
      </c>
      <c r="E283" s="9" t="s">
        <v>477</v>
      </c>
      <c r="F283" s="9" t="s">
        <v>479</v>
      </c>
      <c r="G283" s="8" t="s">
        <v>298</v>
      </c>
      <c r="H283" s="8" t="s">
        <v>290</v>
      </c>
      <c r="I283" s="8" t="s">
        <v>291</v>
      </c>
      <c r="J283" s="8" t="s">
        <v>292</v>
      </c>
      <c r="K283" s="8" t="s">
        <v>293</v>
      </c>
      <c r="L283" s="9" t="s">
        <v>294</v>
      </c>
      <c r="M283" s="8"/>
      <c r="N283" s="8" t="str">
        <f aca="true">IF(M283="","Active (per Notice 1)",IF(M283&lt;TODAY(),"Expired",IF(M283&lt;TODAY()+180,"Expiring Soon","Active")))</f>
        <v>Active (per Notice 1)</v>
      </c>
      <c r="O283" s="10" t="s">
        <v>295</v>
      </c>
      <c r="P283" s="8" t="s">
        <v>296</v>
      </c>
      <c r="Q283" s="8" t="n">
        <v>3.61</v>
      </c>
      <c r="R283" s="8" t="n">
        <v>4</v>
      </c>
      <c r="S283" s="11" t="n">
        <v>45365</v>
      </c>
      <c r="T283" s="8" t="str">
        <f aca="true">IF(S283="","",IF(EDATE(S283,60)&lt;TODAY(),"Expired",IF(EDATE(S283,60)&lt;TODAY()+180,"Expiring Soon","Valid")))</f>
        <v>Valid</v>
      </c>
      <c r="U283" s="8" t="str">
        <f aca="false">IF(P283="","",IF(P283="A++","Top Tier",IF(P283="A+","High",IF(P283="A","Strong",IF(LEFT(P283,1)="B","Acceptable",IF(LEFT(P283,1)="C","Below Avg","-"))))))</f>
        <v>Top Tier</v>
      </c>
      <c r="AC283" s="8" t="n">
        <v>79</v>
      </c>
      <c r="AD283" s="8" t="n">
        <v>43</v>
      </c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 t="n">
        <v>17</v>
      </c>
      <c r="AP283" s="8"/>
      <c r="AQ283" s="8"/>
      <c r="AR283" s="8"/>
      <c r="AS283" s="8"/>
      <c r="AT283" s="8"/>
      <c r="AU283" s="8"/>
    </row>
    <row r="284" customFormat="false" ht="15" hidden="false" customHeight="true" outlineLevel="0" collapsed="false">
      <c r="A284" s="8" t="n">
        <v>283</v>
      </c>
      <c r="B284" s="8" t="n">
        <v>44</v>
      </c>
      <c r="C284" s="8" t="s">
        <v>476</v>
      </c>
      <c r="D284" s="8" t="s">
        <v>286</v>
      </c>
      <c r="E284" s="9" t="s">
        <v>477</v>
      </c>
      <c r="F284" s="9" t="s">
        <v>311</v>
      </c>
      <c r="G284" s="8" t="s">
        <v>301</v>
      </c>
      <c r="H284" s="8" t="s">
        <v>302</v>
      </c>
      <c r="I284" s="8" t="s">
        <v>291</v>
      </c>
      <c r="J284" s="8" t="s">
        <v>292</v>
      </c>
      <c r="K284" s="8" t="s">
        <v>293</v>
      </c>
      <c r="L284" s="9" t="s">
        <v>294</v>
      </c>
      <c r="M284" s="8"/>
      <c r="N284" s="8" t="str">
        <f aca="true">IF(M284="","Active (per Notice 1)",IF(M284&lt;TODAY(),"Expired",IF(M284&lt;TODAY()+180,"Expiring Soon","Active")))</f>
        <v>Active (per Notice 1)</v>
      </c>
      <c r="O284" s="10" t="s">
        <v>295</v>
      </c>
      <c r="P284" s="8" t="s">
        <v>296</v>
      </c>
      <c r="Q284" s="8" t="n">
        <v>3.61</v>
      </c>
      <c r="R284" s="8" t="n">
        <v>4</v>
      </c>
      <c r="S284" s="11" t="n">
        <v>45365</v>
      </c>
      <c r="T284" s="8" t="str">
        <f aca="true">IF(S284="","",IF(EDATE(S284,60)&lt;TODAY(),"Expired",IF(EDATE(S284,60)&lt;TODAY()+180,"Expiring Soon","Valid")))</f>
        <v>Valid</v>
      </c>
      <c r="U284" s="8" t="str">
        <f aca="false">IF(P284="","",IF(P284="A++","Top Tier",IF(P284="A+","High",IF(P284="A","Strong",IF(LEFT(P284,1)="B","Acceptable",IF(LEFT(P284,1)="C","Below Avg","-"))))))</f>
        <v>Top Tier</v>
      </c>
      <c r="AC284" s="8" t="n">
        <v>79</v>
      </c>
      <c r="AD284" s="8" t="n">
        <v>43</v>
      </c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 t="n">
        <v>17</v>
      </c>
      <c r="AP284" s="8"/>
      <c r="AQ284" s="8"/>
      <c r="AR284" s="8"/>
      <c r="AS284" s="8"/>
      <c r="AT284" s="8"/>
      <c r="AU284" s="8"/>
    </row>
    <row r="285" customFormat="false" ht="15" hidden="false" customHeight="true" outlineLevel="0" collapsed="false">
      <c r="A285" s="8" t="n">
        <v>284</v>
      </c>
      <c r="B285" s="8" t="n">
        <v>44</v>
      </c>
      <c r="C285" s="8" t="s">
        <v>476</v>
      </c>
      <c r="D285" s="8" t="s">
        <v>286</v>
      </c>
      <c r="E285" s="9" t="s">
        <v>477</v>
      </c>
      <c r="F285" s="9" t="s">
        <v>480</v>
      </c>
      <c r="G285" s="8" t="s">
        <v>309</v>
      </c>
      <c r="H285" s="8" t="s">
        <v>302</v>
      </c>
      <c r="I285" s="8" t="s">
        <v>291</v>
      </c>
      <c r="J285" s="8" t="s">
        <v>292</v>
      </c>
      <c r="K285" s="8" t="s">
        <v>293</v>
      </c>
      <c r="L285" s="9" t="s">
        <v>294</v>
      </c>
      <c r="M285" s="8"/>
      <c r="N285" s="8" t="str">
        <f aca="true">IF(M285="","Active (per Notice 1)",IF(M285&lt;TODAY(),"Expired",IF(M285&lt;TODAY()+180,"Expiring Soon","Active")))</f>
        <v>Active (per Notice 1)</v>
      </c>
      <c r="O285" s="10" t="s">
        <v>295</v>
      </c>
      <c r="P285" s="8" t="s">
        <v>296</v>
      </c>
      <c r="Q285" s="8" t="n">
        <v>3.61</v>
      </c>
      <c r="R285" s="8" t="n">
        <v>4</v>
      </c>
      <c r="S285" s="11" t="n">
        <v>45365</v>
      </c>
      <c r="T285" s="8" t="str">
        <f aca="true">IF(S285="","",IF(EDATE(S285,60)&lt;TODAY(),"Expired",IF(EDATE(S285,60)&lt;TODAY()+180,"Expiring Soon","Valid")))</f>
        <v>Valid</v>
      </c>
      <c r="U285" s="8" t="str">
        <f aca="false">IF(P285="","",IF(P285="A++","Top Tier",IF(P285="A+","High",IF(P285="A","Strong",IF(LEFT(P285,1)="B","Acceptable",IF(LEFT(P285,1)="C","Below Avg","-"))))))</f>
        <v>Top Tier</v>
      </c>
      <c r="AC285" s="8" t="n">
        <v>79</v>
      </c>
      <c r="AD285" s="8" t="n">
        <v>43</v>
      </c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 t="n">
        <v>17</v>
      </c>
      <c r="AP285" s="8"/>
      <c r="AQ285" s="8"/>
      <c r="AR285" s="8"/>
      <c r="AS285" s="8"/>
      <c r="AT285" s="8"/>
      <c r="AU285" s="8"/>
    </row>
    <row r="286" customFormat="false" ht="15" hidden="false" customHeight="true" outlineLevel="0" collapsed="false">
      <c r="A286" s="8" t="n">
        <v>285</v>
      </c>
      <c r="B286" s="8" t="n">
        <v>44</v>
      </c>
      <c r="C286" s="8" t="s">
        <v>476</v>
      </c>
      <c r="D286" s="8" t="s">
        <v>286</v>
      </c>
      <c r="E286" s="9" t="s">
        <v>477</v>
      </c>
      <c r="F286" s="9" t="s">
        <v>481</v>
      </c>
      <c r="G286" s="8" t="s">
        <v>301</v>
      </c>
      <c r="H286" s="8" t="s">
        <v>302</v>
      </c>
      <c r="I286" s="8" t="s">
        <v>291</v>
      </c>
      <c r="J286" s="8" t="s">
        <v>292</v>
      </c>
      <c r="K286" s="8" t="s">
        <v>293</v>
      </c>
      <c r="L286" s="9" t="s">
        <v>294</v>
      </c>
      <c r="M286" s="8"/>
      <c r="N286" s="8" t="str">
        <f aca="true">IF(M286="","Active (per Notice 1)",IF(M286&lt;TODAY(),"Expired",IF(M286&lt;TODAY()+180,"Expiring Soon","Active")))</f>
        <v>Active (per Notice 1)</v>
      </c>
      <c r="O286" s="10" t="s">
        <v>295</v>
      </c>
      <c r="P286" s="8" t="s">
        <v>296</v>
      </c>
      <c r="Q286" s="8" t="n">
        <v>3.61</v>
      </c>
      <c r="R286" s="8" t="n">
        <v>4</v>
      </c>
      <c r="S286" s="11" t="n">
        <v>45365</v>
      </c>
      <c r="T286" s="8" t="str">
        <f aca="true">IF(S286="","",IF(EDATE(S286,60)&lt;TODAY(),"Expired",IF(EDATE(S286,60)&lt;TODAY()+180,"Expiring Soon","Valid")))</f>
        <v>Valid</v>
      </c>
      <c r="U286" s="8" t="str">
        <f aca="false">IF(P286="","",IF(P286="A++","Top Tier",IF(P286="A+","High",IF(P286="A","Strong",IF(LEFT(P286,1)="B","Acceptable",IF(LEFT(P286,1)="C","Below Avg","-"))))))</f>
        <v>Top Tier</v>
      </c>
      <c r="AC286" s="8" t="n">
        <v>79</v>
      </c>
      <c r="AD286" s="8" t="n">
        <v>43</v>
      </c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 t="n">
        <v>17</v>
      </c>
      <c r="AP286" s="8"/>
      <c r="AQ286" s="8"/>
      <c r="AR286" s="8"/>
      <c r="AS286" s="8"/>
      <c r="AT286" s="8"/>
      <c r="AU286" s="8"/>
    </row>
    <row r="287" customFormat="false" ht="15" hidden="false" customHeight="true" outlineLevel="0" collapsed="false">
      <c r="A287" s="8" t="n">
        <v>286</v>
      </c>
      <c r="B287" s="8" t="n">
        <v>44</v>
      </c>
      <c r="C287" s="8" t="s">
        <v>476</v>
      </c>
      <c r="D287" s="8" t="s">
        <v>286</v>
      </c>
      <c r="E287" s="9" t="s">
        <v>477</v>
      </c>
      <c r="F287" s="9" t="s">
        <v>482</v>
      </c>
      <c r="G287" s="8" t="s">
        <v>301</v>
      </c>
      <c r="H287" s="8" t="s">
        <v>302</v>
      </c>
      <c r="I287" s="8" t="s">
        <v>291</v>
      </c>
      <c r="J287" s="8" t="s">
        <v>292</v>
      </c>
      <c r="K287" s="8" t="s">
        <v>293</v>
      </c>
      <c r="L287" s="9" t="s">
        <v>294</v>
      </c>
      <c r="M287" s="8"/>
      <c r="N287" s="8" t="str">
        <f aca="true">IF(M287="","Active (per Notice 1)",IF(M287&lt;TODAY(),"Expired",IF(M287&lt;TODAY()+180,"Expiring Soon","Active")))</f>
        <v>Active (per Notice 1)</v>
      </c>
      <c r="O287" s="10" t="s">
        <v>295</v>
      </c>
      <c r="P287" s="8" t="s">
        <v>296</v>
      </c>
      <c r="Q287" s="8" t="n">
        <v>3.61</v>
      </c>
      <c r="R287" s="8" t="n">
        <v>4</v>
      </c>
      <c r="S287" s="11" t="n">
        <v>45365</v>
      </c>
      <c r="T287" s="8" t="str">
        <f aca="true">IF(S287="","",IF(EDATE(S287,60)&lt;TODAY(),"Expired",IF(EDATE(S287,60)&lt;TODAY()+180,"Expiring Soon","Valid")))</f>
        <v>Valid</v>
      </c>
      <c r="U287" s="8" t="str">
        <f aca="false">IF(P287="","",IF(P287="A++","Top Tier",IF(P287="A+","High",IF(P287="A","Strong",IF(LEFT(P287,1)="B","Acceptable",IF(LEFT(P287,1)="C","Below Avg","-"))))))</f>
        <v>Top Tier</v>
      </c>
      <c r="AC287" s="8" t="n">
        <v>79</v>
      </c>
      <c r="AD287" s="8" t="n">
        <v>43</v>
      </c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 t="n">
        <v>17</v>
      </c>
      <c r="AP287" s="8"/>
      <c r="AQ287" s="8"/>
      <c r="AR287" s="8"/>
      <c r="AS287" s="8"/>
      <c r="AT287" s="8"/>
      <c r="AU287" s="8"/>
    </row>
    <row r="288" customFormat="false" ht="15" hidden="false" customHeight="true" outlineLevel="0" collapsed="false">
      <c r="A288" s="8" t="n">
        <v>287</v>
      </c>
      <c r="B288" s="8" t="n">
        <v>44</v>
      </c>
      <c r="C288" s="8" t="s">
        <v>476</v>
      </c>
      <c r="D288" s="8" t="s">
        <v>286</v>
      </c>
      <c r="E288" s="9" t="s">
        <v>477</v>
      </c>
      <c r="F288" s="9" t="s">
        <v>483</v>
      </c>
      <c r="G288" s="8" t="s">
        <v>301</v>
      </c>
      <c r="H288" s="8" t="s">
        <v>302</v>
      </c>
      <c r="I288" s="8" t="s">
        <v>291</v>
      </c>
      <c r="J288" s="8" t="s">
        <v>292</v>
      </c>
      <c r="K288" s="8" t="s">
        <v>293</v>
      </c>
      <c r="L288" s="9" t="s">
        <v>294</v>
      </c>
      <c r="M288" s="8"/>
      <c r="N288" s="8" t="str">
        <f aca="true">IF(M288="","Active (per Notice 1)",IF(M288&lt;TODAY(),"Expired",IF(M288&lt;TODAY()+180,"Expiring Soon","Active")))</f>
        <v>Active (per Notice 1)</v>
      </c>
      <c r="O288" s="10" t="s">
        <v>295</v>
      </c>
      <c r="P288" s="8" t="s">
        <v>296</v>
      </c>
      <c r="Q288" s="8" t="n">
        <v>3.61</v>
      </c>
      <c r="R288" s="8" t="n">
        <v>4</v>
      </c>
      <c r="S288" s="11" t="n">
        <v>45365</v>
      </c>
      <c r="T288" s="8" t="str">
        <f aca="true">IF(S288="","",IF(EDATE(S288,60)&lt;TODAY(),"Expired",IF(EDATE(S288,60)&lt;TODAY()+180,"Expiring Soon","Valid")))</f>
        <v>Valid</v>
      </c>
      <c r="U288" s="8" t="str">
        <f aca="false">IF(P288="","",IF(P288="A++","Top Tier",IF(P288="A+","High",IF(P288="A","Strong",IF(LEFT(P288,1)="B","Acceptable",IF(LEFT(P288,1)="C","Below Avg","-"))))))</f>
        <v>Top Tier</v>
      </c>
      <c r="AC288" s="8" t="n">
        <v>79</v>
      </c>
      <c r="AD288" s="8" t="n">
        <v>43</v>
      </c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 t="n">
        <v>17</v>
      </c>
      <c r="AP288" s="8"/>
      <c r="AQ288" s="8"/>
      <c r="AR288" s="8"/>
      <c r="AS288" s="8"/>
      <c r="AT288" s="8"/>
      <c r="AU288" s="8"/>
    </row>
    <row r="289" customFormat="false" ht="15" hidden="false" customHeight="true" outlineLevel="0" collapsed="false">
      <c r="A289" s="8" t="n">
        <v>288</v>
      </c>
      <c r="B289" s="8" t="n">
        <v>44</v>
      </c>
      <c r="C289" s="8" t="s">
        <v>476</v>
      </c>
      <c r="D289" s="8" t="s">
        <v>286</v>
      </c>
      <c r="E289" s="9" t="s">
        <v>477</v>
      </c>
      <c r="F289" s="9" t="s">
        <v>300</v>
      </c>
      <c r="G289" s="8" t="s">
        <v>301</v>
      </c>
      <c r="H289" s="8" t="s">
        <v>302</v>
      </c>
      <c r="I289" s="8" t="s">
        <v>291</v>
      </c>
      <c r="J289" s="8" t="s">
        <v>292</v>
      </c>
      <c r="K289" s="8" t="s">
        <v>293</v>
      </c>
      <c r="L289" s="9" t="s">
        <v>294</v>
      </c>
      <c r="M289" s="8"/>
      <c r="N289" s="8" t="str">
        <f aca="true">IF(M289="","Active (per Notice 1)",IF(M289&lt;TODAY(),"Expired",IF(M289&lt;TODAY()+180,"Expiring Soon","Active")))</f>
        <v>Active (per Notice 1)</v>
      </c>
      <c r="O289" s="10" t="s">
        <v>295</v>
      </c>
      <c r="P289" s="8" t="s">
        <v>296</v>
      </c>
      <c r="Q289" s="8" t="n">
        <v>3.61</v>
      </c>
      <c r="R289" s="8" t="n">
        <v>4</v>
      </c>
      <c r="S289" s="11" t="n">
        <v>45365</v>
      </c>
      <c r="T289" s="8" t="str">
        <f aca="true">IF(S289="","",IF(EDATE(S289,60)&lt;TODAY(),"Expired",IF(EDATE(S289,60)&lt;TODAY()+180,"Expiring Soon","Valid")))</f>
        <v>Valid</v>
      </c>
      <c r="U289" s="8" t="str">
        <f aca="false">IF(P289="","",IF(P289="A++","Top Tier",IF(P289="A+","High",IF(P289="A","Strong",IF(LEFT(P289,1)="B","Acceptable",IF(LEFT(P289,1)="C","Below Avg","-"))))))</f>
        <v>Top Tier</v>
      </c>
      <c r="AC289" s="8" t="n">
        <v>79</v>
      </c>
      <c r="AD289" s="8" t="n">
        <v>43</v>
      </c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 t="n">
        <v>17</v>
      </c>
      <c r="AP289" s="8"/>
      <c r="AQ289" s="8"/>
      <c r="AR289" s="8"/>
      <c r="AS289" s="8"/>
      <c r="AT289" s="8"/>
      <c r="AU289" s="8"/>
    </row>
    <row r="290" customFormat="false" ht="15" hidden="false" customHeight="true" outlineLevel="0" collapsed="false">
      <c r="A290" s="8" t="n">
        <v>289</v>
      </c>
      <c r="B290" s="8" t="n">
        <v>44</v>
      </c>
      <c r="C290" s="8" t="s">
        <v>476</v>
      </c>
      <c r="D290" s="8" t="s">
        <v>286</v>
      </c>
      <c r="E290" s="9" t="s">
        <v>477</v>
      </c>
      <c r="F290" s="9" t="s">
        <v>312</v>
      </c>
      <c r="G290" s="8" t="s">
        <v>301</v>
      </c>
      <c r="H290" s="8" t="s">
        <v>302</v>
      </c>
      <c r="I290" s="8" t="s">
        <v>291</v>
      </c>
      <c r="J290" s="8" t="s">
        <v>292</v>
      </c>
      <c r="K290" s="8" t="s">
        <v>293</v>
      </c>
      <c r="L290" s="9" t="s">
        <v>294</v>
      </c>
      <c r="M290" s="8"/>
      <c r="N290" s="8" t="str">
        <f aca="true">IF(M290="","Active (per Notice 1)",IF(M290&lt;TODAY(),"Expired",IF(M290&lt;TODAY()+180,"Expiring Soon","Active")))</f>
        <v>Active (per Notice 1)</v>
      </c>
      <c r="O290" s="10" t="s">
        <v>295</v>
      </c>
      <c r="P290" s="8" t="s">
        <v>296</v>
      </c>
      <c r="Q290" s="8" t="n">
        <v>3.61</v>
      </c>
      <c r="R290" s="8" t="n">
        <v>4</v>
      </c>
      <c r="S290" s="11" t="n">
        <v>45365</v>
      </c>
      <c r="T290" s="8" t="str">
        <f aca="true">IF(S290="","",IF(EDATE(S290,60)&lt;TODAY(),"Expired",IF(EDATE(S290,60)&lt;TODAY()+180,"Expiring Soon","Valid")))</f>
        <v>Valid</v>
      </c>
      <c r="U290" s="8" t="str">
        <f aca="false">IF(P290="","",IF(P290="A++","Top Tier",IF(P290="A+","High",IF(P290="A","Strong",IF(LEFT(P290,1)="B","Acceptable",IF(LEFT(P290,1)="C","Below Avg","-"))))))</f>
        <v>Top Tier</v>
      </c>
      <c r="AC290" s="8" t="n">
        <v>79</v>
      </c>
      <c r="AD290" s="8" t="n">
        <v>43</v>
      </c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 t="n">
        <v>17</v>
      </c>
      <c r="AP290" s="8"/>
      <c r="AQ290" s="8"/>
      <c r="AR290" s="8"/>
      <c r="AS290" s="8"/>
      <c r="AT290" s="8"/>
      <c r="AU290" s="8"/>
    </row>
    <row r="291" customFormat="false" ht="15" hidden="false" customHeight="true" outlineLevel="0" collapsed="false">
      <c r="A291" s="8" t="n">
        <v>290</v>
      </c>
      <c r="B291" s="8" t="n">
        <v>44</v>
      </c>
      <c r="C291" s="8" t="s">
        <v>476</v>
      </c>
      <c r="D291" s="8" t="s">
        <v>286</v>
      </c>
      <c r="E291" s="9" t="s">
        <v>477</v>
      </c>
      <c r="F291" s="9" t="s">
        <v>484</v>
      </c>
      <c r="G291" s="8" t="s">
        <v>301</v>
      </c>
      <c r="H291" s="8" t="s">
        <v>302</v>
      </c>
      <c r="I291" s="8" t="s">
        <v>291</v>
      </c>
      <c r="J291" s="8" t="s">
        <v>292</v>
      </c>
      <c r="K291" s="8" t="s">
        <v>293</v>
      </c>
      <c r="L291" s="9" t="s">
        <v>294</v>
      </c>
      <c r="M291" s="8"/>
      <c r="N291" s="8" t="str">
        <f aca="true">IF(M291="","Active (per Notice 1)",IF(M291&lt;TODAY(),"Expired",IF(M291&lt;TODAY()+180,"Expiring Soon","Active")))</f>
        <v>Active (per Notice 1)</v>
      </c>
      <c r="O291" s="10" t="s">
        <v>295</v>
      </c>
      <c r="P291" s="8" t="s">
        <v>296</v>
      </c>
      <c r="Q291" s="8" t="n">
        <v>3.61</v>
      </c>
      <c r="R291" s="8" t="n">
        <v>4</v>
      </c>
      <c r="S291" s="11" t="n">
        <v>45365</v>
      </c>
      <c r="T291" s="8" t="str">
        <f aca="true">IF(S291="","",IF(EDATE(S291,60)&lt;TODAY(),"Expired",IF(EDATE(S291,60)&lt;TODAY()+180,"Expiring Soon","Valid")))</f>
        <v>Valid</v>
      </c>
      <c r="U291" s="8" t="str">
        <f aca="false">IF(P291="","",IF(P291="A++","Top Tier",IF(P291="A+","High",IF(P291="A","Strong",IF(LEFT(P291,1)="B","Acceptable",IF(LEFT(P291,1)="C","Below Avg","-"))))))</f>
        <v>Top Tier</v>
      </c>
      <c r="AC291" s="8" t="n">
        <v>79</v>
      </c>
      <c r="AD291" s="8" t="n">
        <v>43</v>
      </c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 t="n">
        <v>17</v>
      </c>
      <c r="AP291" s="8"/>
      <c r="AQ291" s="8"/>
      <c r="AR291" s="8"/>
      <c r="AS291" s="8"/>
      <c r="AT291" s="8"/>
      <c r="AU291" s="8"/>
    </row>
    <row r="292" customFormat="false" ht="15" hidden="false" customHeight="true" outlineLevel="0" collapsed="false">
      <c r="A292" s="8" t="n">
        <v>291</v>
      </c>
      <c r="B292" s="8" t="n">
        <v>44</v>
      </c>
      <c r="C292" s="8" t="s">
        <v>476</v>
      </c>
      <c r="D292" s="8" t="s">
        <v>286</v>
      </c>
      <c r="E292" s="9" t="s">
        <v>477</v>
      </c>
      <c r="F292" s="9" t="s">
        <v>485</v>
      </c>
      <c r="G292" s="8" t="s">
        <v>386</v>
      </c>
      <c r="H292" s="8" t="s">
        <v>302</v>
      </c>
      <c r="I292" s="8" t="s">
        <v>291</v>
      </c>
      <c r="J292" s="8" t="s">
        <v>292</v>
      </c>
      <c r="K292" s="8" t="s">
        <v>293</v>
      </c>
      <c r="L292" s="9" t="s">
        <v>294</v>
      </c>
      <c r="M292" s="8"/>
      <c r="N292" s="8" t="str">
        <f aca="true">IF(M292="","Active (per Notice 1)",IF(M292&lt;TODAY(),"Expired",IF(M292&lt;TODAY()+180,"Expiring Soon","Active")))</f>
        <v>Active (per Notice 1)</v>
      </c>
      <c r="O292" s="10" t="s">
        <v>295</v>
      </c>
      <c r="P292" s="8" t="s">
        <v>296</v>
      </c>
      <c r="Q292" s="8" t="n">
        <v>3.61</v>
      </c>
      <c r="R292" s="8" t="n">
        <v>4</v>
      </c>
      <c r="S292" s="11" t="n">
        <v>45365</v>
      </c>
      <c r="T292" s="8" t="str">
        <f aca="true">IF(S292="","",IF(EDATE(S292,60)&lt;TODAY(),"Expired",IF(EDATE(S292,60)&lt;TODAY()+180,"Expiring Soon","Valid")))</f>
        <v>Valid</v>
      </c>
      <c r="U292" s="8" t="str">
        <f aca="false">IF(P292="","",IF(P292="A++","Top Tier",IF(P292="A+","High",IF(P292="A","Strong",IF(LEFT(P292,1)="B","Acceptable",IF(LEFT(P292,1)="C","Below Avg","-"))))))</f>
        <v>Top Tier</v>
      </c>
      <c r="AC292" s="8" t="n">
        <v>79</v>
      </c>
      <c r="AD292" s="8" t="n">
        <v>43</v>
      </c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 t="n">
        <v>17</v>
      </c>
      <c r="AP292" s="8"/>
      <c r="AQ292" s="8"/>
      <c r="AR292" s="8"/>
      <c r="AS292" s="8"/>
      <c r="AT292" s="8"/>
      <c r="AU292" s="8"/>
    </row>
    <row r="293" customFormat="false" ht="15" hidden="false" customHeight="true" outlineLevel="0" collapsed="false">
      <c r="A293" s="8" t="n">
        <v>292</v>
      </c>
      <c r="B293" s="8" t="n">
        <v>44</v>
      </c>
      <c r="C293" s="8" t="s">
        <v>476</v>
      </c>
      <c r="D293" s="8" t="s">
        <v>286</v>
      </c>
      <c r="E293" s="9" t="s">
        <v>477</v>
      </c>
      <c r="F293" s="9" t="s">
        <v>303</v>
      </c>
      <c r="G293" s="8" t="s">
        <v>304</v>
      </c>
      <c r="H293" s="8" t="s">
        <v>302</v>
      </c>
      <c r="I293" s="8" t="s">
        <v>291</v>
      </c>
      <c r="J293" s="8" t="s">
        <v>292</v>
      </c>
      <c r="K293" s="8" t="s">
        <v>293</v>
      </c>
      <c r="L293" s="9" t="s">
        <v>294</v>
      </c>
      <c r="M293" s="8"/>
      <c r="N293" s="8" t="str">
        <f aca="true">IF(M293="","Active (per Notice 1)",IF(M293&lt;TODAY(),"Expired",IF(M293&lt;TODAY()+180,"Expiring Soon","Active")))</f>
        <v>Active (per Notice 1)</v>
      </c>
      <c r="O293" s="12" t="s">
        <v>305</v>
      </c>
      <c r="P293" s="8" t="s">
        <v>296</v>
      </c>
      <c r="Q293" s="8" t="n">
        <v>3.61</v>
      </c>
      <c r="R293" s="8" t="n">
        <v>4</v>
      </c>
      <c r="S293" s="11" t="n">
        <v>45365</v>
      </c>
      <c r="T293" s="8" t="str">
        <f aca="true">IF(S293="","",IF(EDATE(S293,60)&lt;TODAY(),"Expired",IF(EDATE(S293,60)&lt;TODAY()+180,"Expiring Soon","Valid")))</f>
        <v>Valid</v>
      </c>
      <c r="U293" s="8" t="str">
        <f aca="false">IF(P293="","",IF(P293="A++","Top Tier",IF(P293="A+","High",IF(P293="A","Strong",IF(LEFT(P293,1)="B","Acceptable",IF(LEFT(P293,1)="C","Below Avg","-"))))))</f>
        <v>Top Tier</v>
      </c>
      <c r="AC293" s="8" t="n">
        <v>79</v>
      </c>
      <c r="AD293" s="8" t="n">
        <v>43</v>
      </c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 t="n">
        <v>17</v>
      </c>
      <c r="AP293" s="8"/>
      <c r="AQ293" s="8"/>
      <c r="AR293" s="8"/>
      <c r="AS293" s="8"/>
      <c r="AT293" s="8"/>
      <c r="AU293" s="8"/>
    </row>
    <row r="294" customFormat="false" ht="15" hidden="false" customHeight="true" outlineLevel="0" collapsed="false">
      <c r="A294" s="8" t="n">
        <v>293</v>
      </c>
      <c r="B294" s="8" t="n">
        <v>45</v>
      </c>
      <c r="C294" s="8" t="s">
        <v>476</v>
      </c>
      <c r="D294" s="8" t="s">
        <v>286</v>
      </c>
      <c r="E294" s="9" t="s">
        <v>486</v>
      </c>
      <c r="F294" s="9" t="s">
        <v>487</v>
      </c>
      <c r="G294" s="8" t="s">
        <v>289</v>
      </c>
      <c r="H294" s="8" t="s">
        <v>290</v>
      </c>
      <c r="I294" s="8" t="s">
        <v>291</v>
      </c>
      <c r="J294" s="8" t="s">
        <v>292</v>
      </c>
      <c r="K294" s="8" t="s">
        <v>293</v>
      </c>
      <c r="L294" s="9" t="s">
        <v>294</v>
      </c>
      <c r="M294" s="8"/>
      <c r="N294" s="8" t="str">
        <f aca="true">IF(M294="","Active (per Notice 1)",IF(M294&lt;TODAY(),"Expired",IF(M294&lt;TODAY()+180,"Expiring Soon","Active")))</f>
        <v>Active (per Notice 1)</v>
      </c>
      <c r="O294" s="10" t="s">
        <v>295</v>
      </c>
      <c r="P294" s="8" t="s">
        <v>296</v>
      </c>
      <c r="Q294" s="8" t="n">
        <v>3.67</v>
      </c>
      <c r="R294" s="8" t="n">
        <v>3</v>
      </c>
      <c r="S294" s="11" t="n">
        <v>44733</v>
      </c>
      <c r="T294" s="8" t="str">
        <f aca="true">IF(S294="","",IF(EDATE(S294,60)&lt;TODAY(),"Expired",IF(EDATE(S294,60)&lt;TODAY()+180,"Expiring Soon","Valid")))</f>
        <v>Valid</v>
      </c>
      <c r="U294" s="8" t="str">
        <f aca="false">IF(P294="","",IF(P294="A++","Top Tier",IF(P294="A+","High",IF(P294="A","Strong",IF(LEFT(P294,1)="B","Acceptable",IF(LEFT(P294,1)="C","Below Avg","-"))))))</f>
        <v>Top Tier</v>
      </c>
      <c r="AC294" s="8" t="n">
        <v>42</v>
      </c>
      <c r="AD294" s="8" t="n">
        <v>25</v>
      </c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 t="n">
        <v>5</v>
      </c>
      <c r="AP294" s="8"/>
      <c r="AQ294" s="8"/>
      <c r="AR294" s="8"/>
      <c r="AS294" s="8"/>
      <c r="AT294" s="8"/>
      <c r="AU294" s="8"/>
    </row>
    <row r="295" customFormat="false" ht="15" hidden="false" customHeight="true" outlineLevel="0" collapsed="false">
      <c r="A295" s="8" t="n">
        <v>294</v>
      </c>
      <c r="B295" s="8" t="n">
        <v>45</v>
      </c>
      <c r="C295" s="8" t="s">
        <v>476</v>
      </c>
      <c r="D295" s="8" t="s">
        <v>286</v>
      </c>
      <c r="E295" s="9" t="s">
        <v>486</v>
      </c>
      <c r="F295" s="9" t="s">
        <v>326</v>
      </c>
      <c r="G295" s="8" t="s">
        <v>318</v>
      </c>
      <c r="H295" s="8" t="s">
        <v>290</v>
      </c>
      <c r="I295" s="8" t="s">
        <v>291</v>
      </c>
      <c r="J295" s="8" t="s">
        <v>292</v>
      </c>
      <c r="K295" s="8" t="s">
        <v>293</v>
      </c>
      <c r="L295" s="9" t="s">
        <v>294</v>
      </c>
      <c r="M295" s="8"/>
      <c r="N295" s="8" t="str">
        <f aca="true">IF(M295="","Active (per Notice 1)",IF(M295&lt;TODAY(),"Expired",IF(M295&lt;TODAY()+180,"Expiring Soon","Active")))</f>
        <v>Active (per Notice 1)</v>
      </c>
      <c r="O295" s="12" t="s">
        <v>305</v>
      </c>
      <c r="P295" s="8" t="s">
        <v>296</v>
      </c>
      <c r="Q295" s="8" t="n">
        <v>3.67</v>
      </c>
      <c r="R295" s="8" t="n">
        <v>3</v>
      </c>
      <c r="S295" s="11" t="n">
        <v>44733</v>
      </c>
      <c r="T295" s="8" t="str">
        <f aca="true">IF(S295="","",IF(EDATE(S295,60)&lt;TODAY(),"Expired",IF(EDATE(S295,60)&lt;TODAY()+180,"Expiring Soon","Valid")))</f>
        <v>Valid</v>
      </c>
      <c r="U295" s="8" t="str">
        <f aca="false">IF(P295="","",IF(P295="A++","Top Tier",IF(P295="A+","High",IF(P295="A","Strong",IF(LEFT(P295,1)="B","Acceptable",IF(LEFT(P295,1)="C","Below Avg","-"))))))</f>
        <v>Top Tier</v>
      </c>
      <c r="AC295" s="8" t="n">
        <v>42</v>
      </c>
      <c r="AD295" s="8" t="n">
        <v>25</v>
      </c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 t="n">
        <v>5</v>
      </c>
      <c r="AP295" s="8"/>
      <c r="AQ295" s="8"/>
      <c r="AR295" s="8"/>
      <c r="AS295" s="8"/>
      <c r="AT295" s="8"/>
      <c r="AU295" s="8"/>
    </row>
    <row r="296" customFormat="false" ht="15" hidden="false" customHeight="true" outlineLevel="0" collapsed="false">
      <c r="A296" s="8" t="n">
        <v>295</v>
      </c>
      <c r="B296" s="8" t="n">
        <v>45</v>
      </c>
      <c r="C296" s="8" t="s">
        <v>476</v>
      </c>
      <c r="D296" s="8" t="s">
        <v>286</v>
      </c>
      <c r="E296" s="9" t="s">
        <v>486</v>
      </c>
      <c r="F296" s="9" t="s">
        <v>480</v>
      </c>
      <c r="G296" s="8" t="s">
        <v>309</v>
      </c>
      <c r="H296" s="8" t="s">
        <v>302</v>
      </c>
      <c r="I296" s="8" t="s">
        <v>291</v>
      </c>
      <c r="J296" s="8" t="s">
        <v>292</v>
      </c>
      <c r="K296" s="8" t="s">
        <v>293</v>
      </c>
      <c r="L296" s="9" t="s">
        <v>294</v>
      </c>
      <c r="M296" s="8"/>
      <c r="N296" s="8" t="str">
        <f aca="true">IF(M296="","Active (per Notice 1)",IF(M296&lt;TODAY(),"Expired",IF(M296&lt;TODAY()+180,"Expiring Soon","Active")))</f>
        <v>Active (per Notice 1)</v>
      </c>
      <c r="O296" s="10" t="s">
        <v>295</v>
      </c>
      <c r="P296" s="8" t="s">
        <v>296</v>
      </c>
      <c r="Q296" s="8" t="n">
        <v>3.67</v>
      </c>
      <c r="R296" s="8" t="n">
        <v>3</v>
      </c>
      <c r="S296" s="11" t="n">
        <v>44733</v>
      </c>
      <c r="T296" s="8" t="str">
        <f aca="true">IF(S296="","",IF(EDATE(S296,60)&lt;TODAY(),"Expired",IF(EDATE(S296,60)&lt;TODAY()+180,"Expiring Soon","Valid")))</f>
        <v>Valid</v>
      </c>
      <c r="U296" s="8" t="str">
        <f aca="false">IF(P296="","",IF(P296="A++","Top Tier",IF(P296="A+","High",IF(P296="A","Strong",IF(LEFT(P296,1)="B","Acceptable",IF(LEFT(P296,1)="C","Below Avg","-"))))))</f>
        <v>Top Tier</v>
      </c>
      <c r="AC296" s="8" t="n">
        <v>42</v>
      </c>
      <c r="AD296" s="8" t="n">
        <v>25</v>
      </c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 t="n">
        <v>5</v>
      </c>
      <c r="AP296" s="8"/>
      <c r="AQ296" s="8"/>
      <c r="AR296" s="8"/>
      <c r="AS296" s="8"/>
      <c r="AT296" s="8"/>
      <c r="AU296" s="8"/>
    </row>
    <row r="297" customFormat="false" ht="15" hidden="false" customHeight="true" outlineLevel="0" collapsed="false">
      <c r="A297" s="8" t="n">
        <v>296</v>
      </c>
      <c r="B297" s="8" t="n">
        <v>45</v>
      </c>
      <c r="C297" s="8" t="s">
        <v>476</v>
      </c>
      <c r="D297" s="8" t="s">
        <v>286</v>
      </c>
      <c r="E297" s="9" t="s">
        <v>486</v>
      </c>
      <c r="F297" s="9" t="s">
        <v>332</v>
      </c>
      <c r="G297" s="8" t="s">
        <v>304</v>
      </c>
      <c r="H297" s="8" t="s">
        <v>302</v>
      </c>
      <c r="I297" s="8" t="s">
        <v>291</v>
      </c>
      <c r="J297" s="8" t="s">
        <v>292</v>
      </c>
      <c r="K297" s="8" t="s">
        <v>293</v>
      </c>
      <c r="L297" s="9" t="s">
        <v>294</v>
      </c>
      <c r="M297" s="8"/>
      <c r="N297" s="8" t="str">
        <f aca="true">IF(M297="","Active (per Notice 1)",IF(M297&lt;TODAY(),"Expired",IF(M297&lt;TODAY()+180,"Expiring Soon","Active")))</f>
        <v>Active (per Notice 1)</v>
      </c>
      <c r="O297" s="12" t="s">
        <v>305</v>
      </c>
      <c r="P297" s="8" t="s">
        <v>296</v>
      </c>
      <c r="Q297" s="8" t="n">
        <v>3.67</v>
      </c>
      <c r="R297" s="8" t="n">
        <v>3</v>
      </c>
      <c r="S297" s="11" t="n">
        <v>44733</v>
      </c>
      <c r="T297" s="8" t="str">
        <f aca="true">IF(S297="","",IF(EDATE(S297,60)&lt;TODAY(),"Expired",IF(EDATE(S297,60)&lt;TODAY()+180,"Expiring Soon","Valid")))</f>
        <v>Valid</v>
      </c>
      <c r="U297" s="8" t="str">
        <f aca="false">IF(P297="","",IF(P297="A++","Top Tier",IF(P297="A+","High",IF(P297="A","Strong",IF(LEFT(P297,1)="B","Acceptable",IF(LEFT(P297,1)="C","Below Avg","-"))))))</f>
        <v>Top Tier</v>
      </c>
      <c r="AC297" s="8" t="n">
        <v>42</v>
      </c>
      <c r="AD297" s="8" t="n">
        <v>25</v>
      </c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 t="n">
        <v>5</v>
      </c>
      <c r="AP297" s="8"/>
      <c r="AQ297" s="8"/>
      <c r="AR297" s="8"/>
      <c r="AS297" s="8"/>
      <c r="AT297" s="8"/>
      <c r="AU297" s="8"/>
    </row>
    <row r="298" customFormat="false" ht="15" hidden="false" customHeight="true" outlineLevel="0" collapsed="false">
      <c r="A298" s="8" t="n">
        <v>297</v>
      </c>
      <c r="B298" s="8" t="n">
        <v>46</v>
      </c>
      <c r="C298" s="8" t="s">
        <v>488</v>
      </c>
      <c r="D298" s="8" t="s">
        <v>286</v>
      </c>
      <c r="E298" s="9" t="s">
        <v>489</v>
      </c>
      <c r="F298" s="9" t="s">
        <v>311</v>
      </c>
      <c r="G298" s="8" t="s">
        <v>301</v>
      </c>
      <c r="H298" s="8" t="s">
        <v>302</v>
      </c>
      <c r="I298" s="8" t="s">
        <v>291</v>
      </c>
      <c r="J298" s="8" t="s">
        <v>292</v>
      </c>
      <c r="K298" s="8" t="s">
        <v>293</v>
      </c>
      <c r="L298" s="9" t="s">
        <v>294</v>
      </c>
      <c r="M298" s="8"/>
      <c r="N298" s="8" t="str">
        <f aca="true">IF(M298="","Active (per Notice 1)",IF(M298&lt;TODAY(),"Expired",IF(M298&lt;TODAY()+180,"Expiring Soon","Active")))</f>
        <v>Active (per Notice 1)</v>
      </c>
      <c r="O298" s="10" t="s">
        <v>295</v>
      </c>
      <c r="P298" s="8" t="s">
        <v>327</v>
      </c>
      <c r="Q298" s="8" t="n">
        <v>3.3</v>
      </c>
      <c r="R298" s="8" t="n">
        <v>4</v>
      </c>
      <c r="S298" s="11" t="n">
        <v>43795</v>
      </c>
      <c r="T298" s="8" t="str">
        <f aca="true">IF(S298="","",IF(EDATE(S298,60)&lt;TODAY(),"Expired",IF(EDATE(S298,60)&lt;TODAY()+180,"Expiring Soon","Valid")))</f>
        <v>Expired</v>
      </c>
      <c r="U298" s="8" t="str">
        <f aca="false">IF(P298="","",IF(P298="A++","Top Tier",IF(P298="A+","High",IF(P298="A","Strong",IF(LEFT(P298,1)="B","Acceptable",IF(LEFT(P298,1)="C","Below Avg","-"))))))</f>
        <v>High</v>
      </c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 t="n">
        <v>49</v>
      </c>
      <c r="AP298" s="8"/>
      <c r="AQ298" s="8"/>
      <c r="AR298" s="8"/>
      <c r="AS298" s="8"/>
      <c r="AT298" s="8"/>
      <c r="AU298" s="8"/>
    </row>
    <row r="299" customFormat="false" ht="15" hidden="false" customHeight="true" outlineLevel="0" collapsed="false">
      <c r="A299" s="8" t="n">
        <v>298</v>
      </c>
      <c r="B299" s="8" t="n">
        <v>46</v>
      </c>
      <c r="C299" s="8" t="s">
        <v>488</v>
      </c>
      <c r="D299" s="8" t="s">
        <v>286</v>
      </c>
      <c r="E299" s="9" t="s">
        <v>489</v>
      </c>
      <c r="F299" s="9" t="s">
        <v>300</v>
      </c>
      <c r="G299" s="8" t="s">
        <v>301</v>
      </c>
      <c r="H299" s="8" t="s">
        <v>302</v>
      </c>
      <c r="I299" s="8" t="s">
        <v>291</v>
      </c>
      <c r="J299" s="8" t="s">
        <v>292</v>
      </c>
      <c r="K299" s="8" t="s">
        <v>293</v>
      </c>
      <c r="L299" s="9" t="s">
        <v>294</v>
      </c>
      <c r="M299" s="8"/>
      <c r="N299" s="8" t="str">
        <f aca="true">IF(M299="","Active (per Notice 1)",IF(M299&lt;TODAY(),"Expired",IF(M299&lt;TODAY()+180,"Expiring Soon","Active")))</f>
        <v>Active (per Notice 1)</v>
      </c>
      <c r="O299" s="10" t="s">
        <v>295</v>
      </c>
      <c r="P299" s="8" t="s">
        <v>327</v>
      </c>
      <c r="Q299" s="8" t="n">
        <v>3.3</v>
      </c>
      <c r="R299" s="8" t="n">
        <v>4</v>
      </c>
      <c r="S299" s="11" t="n">
        <v>43795</v>
      </c>
      <c r="T299" s="8" t="str">
        <f aca="true">IF(S299="","",IF(EDATE(S299,60)&lt;TODAY(),"Expired",IF(EDATE(S299,60)&lt;TODAY()+180,"Expiring Soon","Valid")))</f>
        <v>Expired</v>
      </c>
      <c r="U299" s="8" t="str">
        <f aca="false">IF(P299="","",IF(P299="A++","Top Tier",IF(P299="A+","High",IF(P299="A","Strong",IF(LEFT(P299,1)="B","Acceptable",IF(LEFT(P299,1)="C","Below Avg","-"))))))</f>
        <v>High</v>
      </c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 t="n">
        <v>49</v>
      </c>
      <c r="AP299" s="8"/>
      <c r="AQ299" s="8"/>
      <c r="AR299" s="8"/>
      <c r="AS299" s="8"/>
      <c r="AT299" s="8"/>
      <c r="AU299" s="8"/>
    </row>
    <row r="300" customFormat="false" ht="15" hidden="false" customHeight="true" outlineLevel="0" collapsed="false">
      <c r="A300" s="8" t="n">
        <v>299</v>
      </c>
      <c r="B300" s="8" t="n">
        <v>46</v>
      </c>
      <c r="C300" s="8" t="s">
        <v>488</v>
      </c>
      <c r="D300" s="8" t="s">
        <v>286</v>
      </c>
      <c r="E300" s="9" t="s">
        <v>489</v>
      </c>
      <c r="F300" s="9" t="s">
        <v>303</v>
      </c>
      <c r="G300" s="8" t="s">
        <v>304</v>
      </c>
      <c r="H300" s="8" t="s">
        <v>302</v>
      </c>
      <c r="I300" s="8" t="s">
        <v>291</v>
      </c>
      <c r="J300" s="8" t="s">
        <v>292</v>
      </c>
      <c r="K300" s="8" t="s">
        <v>293</v>
      </c>
      <c r="L300" s="9" t="s">
        <v>294</v>
      </c>
      <c r="M300" s="8"/>
      <c r="N300" s="8" t="str">
        <f aca="true">IF(M300="","Active (per Notice 1)",IF(M300&lt;TODAY(),"Expired",IF(M300&lt;TODAY()+180,"Expiring Soon","Active")))</f>
        <v>Active (per Notice 1)</v>
      </c>
      <c r="O300" s="12" t="s">
        <v>305</v>
      </c>
      <c r="P300" s="8" t="s">
        <v>327</v>
      </c>
      <c r="Q300" s="8" t="n">
        <v>3.3</v>
      </c>
      <c r="R300" s="8" t="n">
        <v>4</v>
      </c>
      <c r="S300" s="11" t="n">
        <v>43795</v>
      </c>
      <c r="T300" s="8" t="str">
        <f aca="true">IF(S300="","",IF(EDATE(S300,60)&lt;TODAY(),"Expired",IF(EDATE(S300,60)&lt;TODAY()+180,"Expiring Soon","Valid")))</f>
        <v>Expired</v>
      </c>
      <c r="U300" s="8" t="str">
        <f aca="false">IF(P300="","",IF(P300="A++","Top Tier",IF(P300="A+","High",IF(P300="A","Strong",IF(LEFT(P300,1)="B","Acceptable",IF(LEFT(P300,1)="C","Below Avg","-"))))))</f>
        <v>High</v>
      </c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 t="n">
        <v>49</v>
      </c>
      <c r="AP300" s="8"/>
      <c r="AQ300" s="8"/>
      <c r="AR300" s="8"/>
      <c r="AS300" s="8"/>
      <c r="AT300" s="8"/>
      <c r="AU300" s="8"/>
    </row>
    <row r="301" customFormat="false" ht="15" hidden="false" customHeight="true" outlineLevel="0" collapsed="false">
      <c r="A301" s="8" t="n">
        <v>300</v>
      </c>
      <c r="B301" s="8" t="n">
        <v>47</v>
      </c>
      <c r="C301" s="8" t="s">
        <v>488</v>
      </c>
      <c r="D301" s="8" t="s">
        <v>333</v>
      </c>
      <c r="E301" s="9" t="s">
        <v>490</v>
      </c>
      <c r="F301" s="9" t="s">
        <v>319</v>
      </c>
      <c r="G301" s="8" t="s">
        <v>320</v>
      </c>
      <c r="H301" s="8" t="s">
        <v>290</v>
      </c>
      <c r="I301" s="8" t="s">
        <v>291</v>
      </c>
      <c r="J301" s="8" t="s">
        <v>292</v>
      </c>
      <c r="K301" s="8" t="s">
        <v>293</v>
      </c>
      <c r="L301" s="9" t="s">
        <v>294</v>
      </c>
      <c r="M301" s="8"/>
      <c r="N301" s="8" t="str">
        <f aca="true">IF(M301="","Active (per Notice 1)",IF(M301&lt;TODAY(),"Expired",IF(M301&lt;TODAY()+180,"Expiring Soon","Active")))</f>
        <v>Active (per Notice 1)</v>
      </c>
      <c r="O301" s="12" t="s">
        <v>305</v>
      </c>
      <c r="P301" s="8" t="s">
        <v>327</v>
      </c>
      <c r="Q301" s="8" t="n">
        <v>3.41</v>
      </c>
      <c r="R301" s="8" t="n">
        <v>1</v>
      </c>
      <c r="S301" s="11" t="n">
        <v>45279</v>
      </c>
      <c r="T301" s="8" t="str">
        <f aca="true">IF(S301="","",IF(EDATE(S301,60)&lt;TODAY(),"Expired",IF(EDATE(S301,60)&lt;TODAY()+180,"Expiring Soon","Valid")))</f>
        <v>Valid</v>
      </c>
      <c r="U301" s="8" t="str">
        <f aca="false">IF(P301="","",IF(P301="A++","Top Tier",IF(P301="A+","High",IF(P301="A","Strong",IF(LEFT(P301,1)="B","Acceptable",IF(LEFT(P301,1)="C","Below Avg","-"))))))</f>
        <v>High</v>
      </c>
      <c r="AT301" s="8"/>
      <c r="AU301" s="8"/>
    </row>
    <row r="302" customFormat="false" ht="15" hidden="false" customHeight="true" outlineLevel="0" collapsed="false">
      <c r="A302" s="8" t="n">
        <v>301</v>
      </c>
      <c r="B302" s="8" t="n">
        <v>47</v>
      </c>
      <c r="C302" s="8" t="s">
        <v>488</v>
      </c>
      <c r="D302" s="8" t="s">
        <v>333</v>
      </c>
      <c r="E302" s="9" t="s">
        <v>490</v>
      </c>
      <c r="F302" s="9" t="s">
        <v>317</v>
      </c>
      <c r="G302" s="8" t="s">
        <v>318</v>
      </c>
      <c r="H302" s="8" t="s">
        <v>290</v>
      </c>
      <c r="I302" s="8" t="s">
        <v>291</v>
      </c>
      <c r="J302" s="8" t="s">
        <v>292</v>
      </c>
      <c r="K302" s="8" t="s">
        <v>293</v>
      </c>
      <c r="L302" s="9" t="s">
        <v>294</v>
      </c>
      <c r="M302" s="8"/>
      <c r="N302" s="8" t="str">
        <f aca="true">IF(M302="","Active (per Notice 1)",IF(M302&lt;TODAY(),"Expired",IF(M302&lt;TODAY()+180,"Expiring Soon","Active")))</f>
        <v>Active (per Notice 1)</v>
      </c>
      <c r="O302" s="12" t="s">
        <v>305</v>
      </c>
      <c r="P302" s="8" t="s">
        <v>327</v>
      </c>
      <c r="Q302" s="8" t="n">
        <v>3.41</v>
      </c>
      <c r="R302" s="8" t="n">
        <v>1</v>
      </c>
      <c r="S302" s="11" t="n">
        <v>45279</v>
      </c>
      <c r="T302" s="8" t="str">
        <f aca="true">IF(S302="","",IF(EDATE(S302,60)&lt;TODAY(),"Expired",IF(EDATE(S302,60)&lt;TODAY()+180,"Expiring Soon","Valid")))</f>
        <v>Valid</v>
      </c>
      <c r="U302" s="8" t="str">
        <f aca="false">IF(P302="","",IF(P302="A++","Top Tier",IF(P302="A+","High",IF(P302="A","Strong",IF(LEFT(P302,1)="B","Acceptable",IF(LEFT(P302,1)="C","Below Avg","-"))))))</f>
        <v>High</v>
      </c>
      <c r="AT302" s="8"/>
      <c r="AU302" s="8"/>
    </row>
    <row r="303" customFormat="false" ht="15" hidden="false" customHeight="true" outlineLevel="0" collapsed="false">
      <c r="A303" s="8" t="n">
        <v>302</v>
      </c>
      <c r="B303" s="8" t="n">
        <v>47</v>
      </c>
      <c r="C303" s="8" t="s">
        <v>488</v>
      </c>
      <c r="D303" s="8" t="s">
        <v>333</v>
      </c>
      <c r="E303" s="9" t="s">
        <v>490</v>
      </c>
      <c r="F303" s="9" t="s">
        <v>385</v>
      </c>
      <c r="G303" s="8" t="s">
        <v>386</v>
      </c>
      <c r="H303" s="8" t="s">
        <v>302</v>
      </c>
      <c r="I303" s="8" t="s">
        <v>291</v>
      </c>
      <c r="J303" s="8" t="s">
        <v>292</v>
      </c>
      <c r="K303" s="8" t="s">
        <v>293</v>
      </c>
      <c r="L303" s="9" t="s">
        <v>294</v>
      </c>
      <c r="M303" s="8"/>
      <c r="N303" s="8" t="str">
        <f aca="true">IF(M303="","Active (per Notice 1)",IF(M303&lt;TODAY(),"Expired",IF(M303&lt;TODAY()+180,"Expiring Soon","Active")))</f>
        <v>Active (per Notice 1)</v>
      </c>
      <c r="O303" s="10" t="s">
        <v>295</v>
      </c>
      <c r="P303" s="8" t="s">
        <v>327</v>
      </c>
      <c r="Q303" s="8" t="n">
        <v>3.41</v>
      </c>
      <c r="R303" s="8" t="n">
        <v>1</v>
      </c>
      <c r="S303" s="11" t="n">
        <v>45279</v>
      </c>
      <c r="T303" s="8" t="str">
        <f aca="true">IF(S303="","",IF(EDATE(S303,60)&lt;TODAY(),"Expired",IF(EDATE(S303,60)&lt;TODAY()+180,"Expiring Soon","Valid")))</f>
        <v>Valid</v>
      </c>
      <c r="U303" s="8" t="str">
        <f aca="false">IF(P303="","",IF(P303="A++","Top Tier",IF(P303="A+","High",IF(P303="A","Strong",IF(LEFT(P303,1)="B","Acceptable",IF(LEFT(P303,1)="C","Below Avg","-"))))))</f>
        <v>High</v>
      </c>
      <c r="AT303" s="8"/>
      <c r="AU303" s="8"/>
    </row>
    <row r="304" customFormat="false" ht="15" hidden="false" customHeight="true" outlineLevel="0" collapsed="false">
      <c r="A304" s="8" t="n">
        <v>303</v>
      </c>
      <c r="B304" s="8" t="n">
        <v>47</v>
      </c>
      <c r="C304" s="8" t="s">
        <v>488</v>
      </c>
      <c r="D304" s="8" t="s">
        <v>333</v>
      </c>
      <c r="E304" s="9" t="s">
        <v>490</v>
      </c>
      <c r="F304" s="9" t="s">
        <v>314</v>
      </c>
      <c r="G304" s="8" t="s">
        <v>301</v>
      </c>
      <c r="H304" s="8" t="s">
        <v>302</v>
      </c>
      <c r="I304" s="8" t="s">
        <v>291</v>
      </c>
      <c r="J304" s="8" t="s">
        <v>292</v>
      </c>
      <c r="K304" s="8" t="s">
        <v>293</v>
      </c>
      <c r="L304" s="9" t="s">
        <v>294</v>
      </c>
      <c r="M304" s="8"/>
      <c r="N304" s="8" t="str">
        <f aca="true">IF(M304="","Active (per Notice 1)",IF(M304&lt;TODAY(),"Expired",IF(M304&lt;TODAY()+180,"Expiring Soon","Active")))</f>
        <v>Active (per Notice 1)</v>
      </c>
      <c r="O304" s="10" t="s">
        <v>295</v>
      </c>
      <c r="P304" s="8" t="s">
        <v>327</v>
      </c>
      <c r="Q304" s="8" t="n">
        <v>3.41</v>
      </c>
      <c r="R304" s="8" t="n">
        <v>1</v>
      </c>
      <c r="S304" s="11" t="n">
        <v>45279</v>
      </c>
      <c r="T304" s="8" t="str">
        <f aca="true">IF(S304="","",IF(EDATE(S304,60)&lt;TODAY(),"Expired",IF(EDATE(S304,60)&lt;TODAY()+180,"Expiring Soon","Valid")))</f>
        <v>Valid</v>
      </c>
      <c r="U304" s="8" t="str">
        <f aca="false">IF(P304="","",IF(P304="A++","Top Tier",IF(P304="A+","High",IF(P304="A","Strong",IF(LEFT(P304,1)="B","Acceptable",IF(LEFT(P304,1)="C","Below Avg","-"))))))</f>
        <v>High</v>
      </c>
      <c r="AT304" s="8"/>
      <c r="AU304" s="8"/>
    </row>
    <row r="305" customFormat="false" ht="15" hidden="false" customHeight="true" outlineLevel="0" collapsed="false">
      <c r="A305" s="8" t="n">
        <v>304</v>
      </c>
      <c r="B305" s="8" t="n">
        <v>47</v>
      </c>
      <c r="C305" s="8" t="s">
        <v>488</v>
      </c>
      <c r="D305" s="8" t="s">
        <v>333</v>
      </c>
      <c r="E305" s="9" t="s">
        <v>490</v>
      </c>
      <c r="F305" s="9" t="s">
        <v>311</v>
      </c>
      <c r="G305" s="8" t="s">
        <v>301</v>
      </c>
      <c r="H305" s="8" t="s">
        <v>302</v>
      </c>
      <c r="I305" s="8" t="s">
        <v>291</v>
      </c>
      <c r="J305" s="8" t="s">
        <v>292</v>
      </c>
      <c r="K305" s="8" t="s">
        <v>293</v>
      </c>
      <c r="L305" s="9" t="s">
        <v>294</v>
      </c>
      <c r="M305" s="8"/>
      <c r="N305" s="8" t="str">
        <f aca="true">IF(M305="","Active (per Notice 1)",IF(M305&lt;TODAY(),"Expired",IF(M305&lt;TODAY()+180,"Expiring Soon","Active")))</f>
        <v>Active (per Notice 1)</v>
      </c>
      <c r="O305" s="10" t="s">
        <v>295</v>
      </c>
      <c r="P305" s="8" t="s">
        <v>327</v>
      </c>
      <c r="Q305" s="8" t="n">
        <v>3.41</v>
      </c>
      <c r="R305" s="8" t="n">
        <v>1</v>
      </c>
      <c r="S305" s="11" t="n">
        <v>45279</v>
      </c>
      <c r="T305" s="8" t="str">
        <f aca="true">IF(S305="","",IF(EDATE(S305,60)&lt;TODAY(),"Expired",IF(EDATE(S305,60)&lt;TODAY()+180,"Expiring Soon","Valid")))</f>
        <v>Valid</v>
      </c>
      <c r="U305" s="8" t="str">
        <f aca="false">IF(P305="","",IF(P305="A++","Top Tier",IF(P305="A+","High",IF(P305="A","Strong",IF(LEFT(P305,1)="B","Acceptable",IF(LEFT(P305,1)="C","Below Avg","-"))))))</f>
        <v>High</v>
      </c>
      <c r="AT305" s="8"/>
      <c r="AU305" s="8"/>
    </row>
    <row r="306" customFormat="false" ht="15" hidden="false" customHeight="true" outlineLevel="0" collapsed="false">
      <c r="A306" s="8" t="n">
        <v>305</v>
      </c>
      <c r="B306" s="8" t="n">
        <v>47</v>
      </c>
      <c r="C306" s="8" t="s">
        <v>488</v>
      </c>
      <c r="D306" s="8" t="s">
        <v>333</v>
      </c>
      <c r="E306" s="9" t="s">
        <v>490</v>
      </c>
      <c r="F306" s="9" t="s">
        <v>491</v>
      </c>
      <c r="G306" s="8" t="s">
        <v>304</v>
      </c>
      <c r="H306" s="8" t="s">
        <v>302</v>
      </c>
      <c r="I306" s="8" t="s">
        <v>291</v>
      </c>
      <c r="J306" s="8" t="s">
        <v>292</v>
      </c>
      <c r="K306" s="8" t="s">
        <v>293</v>
      </c>
      <c r="L306" s="9" t="s">
        <v>294</v>
      </c>
      <c r="M306" s="8"/>
      <c r="N306" s="8" t="str">
        <f aca="true">IF(M306="","Active (per Notice 1)",IF(M306&lt;TODAY(),"Expired",IF(M306&lt;TODAY()+180,"Expiring Soon","Active")))</f>
        <v>Active (per Notice 1)</v>
      </c>
      <c r="O306" s="12" t="s">
        <v>305</v>
      </c>
      <c r="P306" s="8" t="s">
        <v>327</v>
      </c>
      <c r="Q306" s="8" t="n">
        <v>3.41</v>
      </c>
      <c r="R306" s="8" t="n">
        <v>1</v>
      </c>
      <c r="S306" s="11" t="n">
        <v>45279</v>
      </c>
      <c r="T306" s="8" t="str">
        <f aca="true">IF(S306="","",IF(EDATE(S306,60)&lt;TODAY(),"Expired",IF(EDATE(S306,60)&lt;TODAY()+180,"Expiring Soon","Valid")))</f>
        <v>Valid</v>
      </c>
      <c r="U306" s="8" t="str">
        <f aca="false">IF(P306="","",IF(P306="A++","Top Tier",IF(P306="A+","High",IF(P306="A","Strong",IF(LEFT(P306,1)="B","Acceptable",IF(LEFT(P306,1)="C","Below Avg","-"))))))</f>
        <v>High</v>
      </c>
      <c r="AT306" s="8"/>
      <c r="AU306" s="8"/>
    </row>
    <row r="307" customFormat="false" ht="15" hidden="false" customHeight="true" outlineLevel="0" collapsed="false">
      <c r="A307" s="8" t="n">
        <v>306</v>
      </c>
      <c r="B307" s="8" t="n">
        <v>47</v>
      </c>
      <c r="C307" s="8" t="s">
        <v>488</v>
      </c>
      <c r="D307" s="8" t="s">
        <v>333</v>
      </c>
      <c r="E307" s="9" t="s">
        <v>490</v>
      </c>
      <c r="F307" s="9" t="s">
        <v>492</v>
      </c>
      <c r="G307" s="8" t="s">
        <v>304</v>
      </c>
      <c r="H307" s="8" t="s">
        <v>302</v>
      </c>
      <c r="I307" s="8" t="s">
        <v>291</v>
      </c>
      <c r="J307" s="8" t="s">
        <v>292</v>
      </c>
      <c r="K307" s="8" t="s">
        <v>293</v>
      </c>
      <c r="L307" s="9" t="s">
        <v>294</v>
      </c>
      <c r="M307" s="8"/>
      <c r="N307" s="8" t="str">
        <f aca="true">IF(M307="","Active (per Notice 1)",IF(M307&lt;TODAY(),"Expired",IF(M307&lt;TODAY()+180,"Expiring Soon","Active")))</f>
        <v>Active (per Notice 1)</v>
      </c>
      <c r="O307" s="12" t="s">
        <v>305</v>
      </c>
      <c r="P307" s="8" t="s">
        <v>327</v>
      </c>
      <c r="Q307" s="8" t="n">
        <v>3.41</v>
      </c>
      <c r="R307" s="8" t="n">
        <v>1</v>
      </c>
      <c r="S307" s="11" t="n">
        <v>45279</v>
      </c>
      <c r="T307" s="8" t="str">
        <f aca="true">IF(S307="","",IF(EDATE(S307,60)&lt;TODAY(),"Expired",IF(EDATE(S307,60)&lt;TODAY()+180,"Expiring Soon","Valid")))</f>
        <v>Valid</v>
      </c>
      <c r="U307" s="8" t="str">
        <f aca="false">IF(P307="","",IF(P307="A++","Top Tier",IF(P307="A+","High",IF(P307="A","Strong",IF(LEFT(P307,1)="B","Acceptable",IF(LEFT(P307,1)="C","Below Avg","-"))))))</f>
        <v>High</v>
      </c>
      <c r="AT307" s="8"/>
      <c r="AU307" s="8"/>
    </row>
    <row r="308" customFormat="false" ht="15" hidden="false" customHeight="true" outlineLevel="0" collapsed="false">
      <c r="A308" s="8" t="n">
        <v>307</v>
      </c>
      <c r="B308" s="8" t="n">
        <v>47</v>
      </c>
      <c r="C308" s="8" t="s">
        <v>488</v>
      </c>
      <c r="D308" s="8" t="s">
        <v>333</v>
      </c>
      <c r="E308" s="9" t="s">
        <v>490</v>
      </c>
      <c r="F308" s="9" t="s">
        <v>306</v>
      </c>
      <c r="G308" s="8" t="s">
        <v>307</v>
      </c>
      <c r="H308" s="8" t="s">
        <v>302</v>
      </c>
      <c r="I308" s="8" t="s">
        <v>291</v>
      </c>
      <c r="J308" s="8" t="s">
        <v>292</v>
      </c>
      <c r="K308" s="8" t="s">
        <v>293</v>
      </c>
      <c r="L308" s="9" t="s">
        <v>294</v>
      </c>
      <c r="M308" s="8"/>
      <c r="N308" s="8" t="str">
        <f aca="true">IF(M308="","Active (per Notice 1)",IF(M308&lt;TODAY(),"Expired",IF(M308&lt;TODAY()+180,"Expiring Soon","Active")))</f>
        <v>Active (per Notice 1)</v>
      </c>
      <c r="O308" s="12" t="s">
        <v>305</v>
      </c>
      <c r="P308" s="8" t="s">
        <v>327</v>
      </c>
      <c r="Q308" s="8" t="n">
        <v>3.41</v>
      </c>
      <c r="R308" s="8" t="n">
        <v>1</v>
      </c>
      <c r="S308" s="11" t="n">
        <v>45279</v>
      </c>
      <c r="T308" s="8" t="str">
        <f aca="true">IF(S308="","",IF(EDATE(S308,60)&lt;TODAY(),"Expired",IF(EDATE(S308,60)&lt;TODAY()+180,"Expiring Soon","Valid")))</f>
        <v>Valid</v>
      </c>
      <c r="U308" s="8" t="str">
        <f aca="false">IF(P308="","",IF(P308="A++","Top Tier",IF(P308="A+","High",IF(P308="A","Strong",IF(LEFT(P308,1)="B","Acceptable",IF(LEFT(P308,1)="C","Below Avg","-"))))))</f>
        <v>High</v>
      </c>
      <c r="AT308" s="8"/>
      <c r="AU308" s="8"/>
    </row>
    <row r="309" customFormat="false" ht="15" hidden="false" customHeight="true" outlineLevel="0" collapsed="false">
      <c r="A309" s="8" t="n">
        <v>308</v>
      </c>
      <c r="B309" s="8" t="n">
        <v>47</v>
      </c>
      <c r="C309" s="8" t="s">
        <v>488</v>
      </c>
      <c r="D309" s="8" t="s">
        <v>333</v>
      </c>
      <c r="E309" s="9" t="s">
        <v>490</v>
      </c>
      <c r="F309" s="9" t="s">
        <v>493</v>
      </c>
      <c r="G309" s="8" t="s">
        <v>309</v>
      </c>
      <c r="H309" s="8" t="s">
        <v>302</v>
      </c>
      <c r="I309" s="8" t="s">
        <v>291</v>
      </c>
      <c r="J309" s="8" t="s">
        <v>292</v>
      </c>
      <c r="K309" s="8" t="s">
        <v>293</v>
      </c>
      <c r="L309" s="9" t="s">
        <v>294</v>
      </c>
      <c r="M309" s="8"/>
      <c r="N309" s="8" t="str">
        <f aca="true">IF(M309="","Active (per Notice 1)",IF(M309&lt;TODAY(),"Expired",IF(M309&lt;TODAY()+180,"Expiring Soon","Active")))</f>
        <v>Active (per Notice 1)</v>
      </c>
      <c r="O309" s="10" t="s">
        <v>295</v>
      </c>
      <c r="P309" s="8" t="s">
        <v>327</v>
      </c>
      <c r="Q309" s="8" t="n">
        <v>3.41</v>
      </c>
      <c r="R309" s="8" t="n">
        <v>1</v>
      </c>
      <c r="S309" s="11" t="n">
        <v>45279</v>
      </c>
      <c r="T309" s="8" t="str">
        <f aca="true">IF(S309="","",IF(EDATE(S309,60)&lt;TODAY(),"Expired",IF(EDATE(S309,60)&lt;TODAY()+180,"Expiring Soon","Valid")))</f>
        <v>Valid</v>
      </c>
      <c r="U309" s="8" t="str">
        <f aca="false">IF(P309="","",IF(P309="A++","Top Tier",IF(P309="A+","High",IF(P309="A","Strong",IF(LEFT(P309,1)="B","Acceptable",IF(LEFT(P309,1)="C","Below Avg","-"))))))</f>
        <v>High</v>
      </c>
      <c r="AT309" s="8"/>
      <c r="AU309" s="8"/>
    </row>
    <row r="310" customFormat="false" ht="15" hidden="false" customHeight="true" outlineLevel="0" collapsed="false">
      <c r="A310" s="8" t="n">
        <v>309</v>
      </c>
      <c r="B310" s="8" t="n">
        <v>48</v>
      </c>
      <c r="C310" s="8" t="s">
        <v>494</v>
      </c>
      <c r="D310" s="8" t="s">
        <v>315</v>
      </c>
      <c r="E310" s="9" t="s">
        <v>495</v>
      </c>
      <c r="F310" s="9" t="s">
        <v>317</v>
      </c>
      <c r="G310" s="8" t="s">
        <v>318</v>
      </c>
      <c r="H310" s="8" t="s">
        <v>290</v>
      </c>
      <c r="I310" s="8" t="s">
        <v>291</v>
      </c>
      <c r="J310" s="8" t="s">
        <v>292</v>
      </c>
      <c r="K310" s="8" t="s">
        <v>293</v>
      </c>
      <c r="L310" s="9" t="s">
        <v>294</v>
      </c>
      <c r="M310" s="8"/>
      <c r="N310" s="8" t="str">
        <f aca="true">IF(M310="","Active (per Notice 1)",IF(M310&lt;TODAY(),"Expired",IF(M310&lt;TODAY()+180,"Expiring Soon","Active")))</f>
        <v>Active (per Notice 1)</v>
      </c>
      <c r="O310" s="13" t="s">
        <v>292</v>
      </c>
      <c r="P310" s="8" t="s">
        <v>296</v>
      </c>
      <c r="Q310" s="8" t="n">
        <v>3.64</v>
      </c>
      <c r="R310" s="8" t="n">
        <v>3</v>
      </c>
      <c r="S310" s="11" t="n">
        <v>44600</v>
      </c>
      <c r="T310" s="8" t="str">
        <f aca="true">IF(S310="","",IF(EDATE(S310,60)&lt;TODAY(),"Expired",IF(EDATE(S310,60)&lt;TODAY()+180,"Expiring Soon","Valid")))</f>
        <v>Valid</v>
      </c>
      <c r="U310" s="8" t="str">
        <f aca="false">IF(P310="","",IF(P310="A++","Top Tier",IF(P310="A+","High",IF(P310="A","Strong",IF(LEFT(P310,1)="B","Acceptable",IF(LEFT(P310,1)="C","Below Avg","-"))))))</f>
        <v>Top Tier</v>
      </c>
      <c r="AC310" s="8" t="n">
        <v>71</v>
      </c>
      <c r="AD310" s="8" t="n">
        <v>41</v>
      </c>
      <c r="AE310" s="8"/>
      <c r="AF310" s="8"/>
      <c r="AG310" s="8"/>
      <c r="AH310" s="8"/>
      <c r="AI310" s="8" t="n">
        <v>12</v>
      </c>
      <c r="AJ310" s="8" t="n">
        <v>4</v>
      </c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</row>
    <row r="311" customFormat="false" ht="15" hidden="false" customHeight="true" outlineLevel="0" collapsed="false">
      <c r="A311" s="8" t="n">
        <v>310</v>
      </c>
      <c r="B311" s="8" t="n">
        <v>48</v>
      </c>
      <c r="C311" s="8" t="s">
        <v>494</v>
      </c>
      <c r="D311" s="8" t="s">
        <v>315</v>
      </c>
      <c r="E311" s="9" t="s">
        <v>495</v>
      </c>
      <c r="F311" s="9" t="s">
        <v>303</v>
      </c>
      <c r="G311" s="8" t="s">
        <v>304</v>
      </c>
      <c r="H311" s="8" t="s">
        <v>302</v>
      </c>
      <c r="I311" s="8" t="s">
        <v>291</v>
      </c>
      <c r="J311" s="8" t="s">
        <v>292</v>
      </c>
      <c r="K311" s="8" t="s">
        <v>293</v>
      </c>
      <c r="L311" s="9" t="s">
        <v>294</v>
      </c>
      <c r="M311" s="8"/>
      <c r="N311" s="8" t="str">
        <f aca="true">IF(M311="","Active (per Notice 1)",IF(M311&lt;TODAY(),"Expired",IF(M311&lt;TODAY()+180,"Expiring Soon","Active")))</f>
        <v>Active (per Notice 1)</v>
      </c>
      <c r="O311" s="13" t="s">
        <v>292</v>
      </c>
      <c r="P311" s="8" t="s">
        <v>296</v>
      </c>
      <c r="Q311" s="8" t="n">
        <v>3.64</v>
      </c>
      <c r="R311" s="8" t="n">
        <v>3</v>
      </c>
      <c r="S311" s="11" t="n">
        <v>44600</v>
      </c>
      <c r="T311" s="8" t="str">
        <f aca="true">IF(S311="","",IF(EDATE(S311,60)&lt;TODAY(),"Expired",IF(EDATE(S311,60)&lt;TODAY()+180,"Expiring Soon","Valid")))</f>
        <v>Valid</v>
      </c>
      <c r="U311" s="8" t="str">
        <f aca="false">IF(P311="","",IF(P311="A++","Top Tier",IF(P311="A+","High",IF(P311="A","Strong",IF(LEFT(P311,1)="B","Acceptable",IF(LEFT(P311,1)="C","Below Avg","-"))))))</f>
        <v>Top Tier</v>
      </c>
      <c r="AC311" s="8" t="n">
        <v>71</v>
      </c>
      <c r="AD311" s="8" t="n">
        <v>41</v>
      </c>
      <c r="AE311" s="8"/>
      <c r="AF311" s="8"/>
      <c r="AG311" s="8"/>
      <c r="AH311" s="8"/>
      <c r="AI311" s="8" t="n">
        <v>12</v>
      </c>
      <c r="AJ311" s="8" t="n">
        <v>4</v>
      </c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</row>
    <row r="312" customFormat="false" ht="15" hidden="false" customHeight="true" outlineLevel="0" collapsed="false">
      <c r="A312" s="8" t="n">
        <v>311</v>
      </c>
      <c r="B312" s="8" t="n">
        <v>48</v>
      </c>
      <c r="C312" s="8" t="s">
        <v>494</v>
      </c>
      <c r="D312" s="8" t="s">
        <v>315</v>
      </c>
      <c r="E312" s="9" t="s">
        <v>495</v>
      </c>
      <c r="F312" s="9" t="s">
        <v>306</v>
      </c>
      <c r="G312" s="8" t="s">
        <v>307</v>
      </c>
      <c r="H312" s="8" t="s">
        <v>302</v>
      </c>
      <c r="I312" s="8" t="s">
        <v>291</v>
      </c>
      <c r="J312" s="8" t="s">
        <v>292</v>
      </c>
      <c r="K312" s="8" t="s">
        <v>293</v>
      </c>
      <c r="L312" s="9" t="s">
        <v>294</v>
      </c>
      <c r="M312" s="8"/>
      <c r="N312" s="8" t="str">
        <f aca="true">IF(M312="","Active (per Notice 1)",IF(M312&lt;TODAY(),"Expired",IF(M312&lt;TODAY()+180,"Expiring Soon","Active")))</f>
        <v>Active (per Notice 1)</v>
      </c>
      <c r="O312" s="13" t="s">
        <v>292</v>
      </c>
      <c r="P312" s="8" t="s">
        <v>296</v>
      </c>
      <c r="Q312" s="8" t="n">
        <v>3.64</v>
      </c>
      <c r="R312" s="8" t="n">
        <v>3</v>
      </c>
      <c r="S312" s="11" t="n">
        <v>44600</v>
      </c>
      <c r="T312" s="8" t="str">
        <f aca="true">IF(S312="","",IF(EDATE(S312,60)&lt;TODAY(),"Expired",IF(EDATE(S312,60)&lt;TODAY()+180,"Expiring Soon","Valid")))</f>
        <v>Valid</v>
      </c>
      <c r="U312" s="8" t="str">
        <f aca="false">IF(P312="","",IF(P312="A++","Top Tier",IF(P312="A+","High",IF(P312="A","Strong",IF(LEFT(P312,1)="B","Acceptable",IF(LEFT(P312,1)="C","Below Avg","-"))))))</f>
        <v>Top Tier</v>
      </c>
      <c r="AC312" s="8" t="n">
        <v>71</v>
      </c>
      <c r="AD312" s="8" t="n">
        <v>41</v>
      </c>
      <c r="AE312" s="8"/>
      <c r="AF312" s="8"/>
      <c r="AG312" s="8"/>
      <c r="AH312" s="8"/>
      <c r="AI312" s="8" t="n">
        <v>12</v>
      </c>
      <c r="AJ312" s="8" t="n">
        <v>4</v>
      </c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</row>
    <row r="313" customFormat="false" ht="15" hidden="false" customHeight="true" outlineLevel="0" collapsed="false">
      <c r="A313" s="8" t="n">
        <v>312</v>
      </c>
      <c r="B313" s="8" t="n">
        <v>49</v>
      </c>
      <c r="C313" s="8" t="s">
        <v>494</v>
      </c>
      <c r="D313" s="8" t="s">
        <v>315</v>
      </c>
      <c r="E313" s="9" t="s">
        <v>496</v>
      </c>
      <c r="F313" s="9" t="s">
        <v>317</v>
      </c>
      <c r="G313" s="8" t="s">
        <v>318</v>
      </c>
      <c r="H313" s="8" t="s">
        <v>290</v>
      </c>
      <c r="I313" s="8" t="s">
        <v>291</v>
      </c>
      <c r="J313" s="8" t="s">
        <v>292</v>
      </c>
      <c r="K313" s="8" t="s">
        <v>293</v>
      </c>
      <c r="L313" s="9" t="s">
        <v>294</v>
      </c>
      <c r="M313" s="8"/>
      <c r="N313" s="8" t="str">
        <f aca="true">IF(M313="","Active (per Notice 1)",IF(M313&lt;TODAY(),"Expired",IF(M313&lt;TODAY()+180,"Expiring Soon","Active")))</f>
        <v>Active (per Notice 1)</v>
      </c>
      <c r="O313" s="13" t="s">
        <v>292</v>
      </c>
      <c r="P313" s="8" t="s">
        <v>296</v>
      </c>
      <c r="Q313" s="8" t="n">
        <v>3.59</v>
      </c>
      <c r="R313" s="8" t="n">
        <v>3</v>
      </c>
      <c r="S313" s="11" t="n">
        <v>44874</v>
      </c>
      <c r="T313" s="8" t="str">
        <f aca="true">IF(S313="","",IF(EDATE(S313,60)&lt;TODAY(),"Expired",IF(EDATE(S313,60)&lt;TODAY()+180,"Expiring Soon","Valid")))</f>
        <v>Valid</v>
      </c>
      <c r="U313" s="8" t="str">
        <f aca="false">IF(P313="","",IF(P313="A++","Top Tier",IF(P313="A+","High",IF(P313="A","Strong",IF(LEFT(P313,1)="B","Acceptable",IF(LEFT(P313,1)="C","Below Avg","-"))))))</f>
        <v>Top Tier</v>
      </c>
      <c r="AC313" s="8"/>
      <c r="AD313" s="8" t="n">
        <v>91</v>
      </c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</row>
    <row r="314" customFormat="false" ht="15" hidden="false" customHeight="true" outlineLevel="0" collapsed="false">
      <c r="A314" s="8" t="n">
        <v>313</v>
      </c>
      <c r="B314" s="8" t="n">
        <v>49</v>
      </c>
      <c r="C314" s="8" t="s">
        <v>494</v>
      </c>
      <c r="D314" s="8" t="s">
        <v>315</v>
      </c>
      <c r="E314" s="9" t="s">
        <v>496</v>
      </c>
      <c r="F314" s="9" t="s">
        <v>319</v>
      </c>
      <c r="G314" s="8" t="s">
        <v>320</v>
      </c>
      <c r="H314" s="8" t="s">
        <v>290</v>
      </c>
      <c r="I314" s="8" t="s">
        <v>291</v>
      </c>
      <c r="J314" s="8" t="s">
        <v>292</v>
      </c>
      <c r="K314" s="8" t="s">
        <v>293</v>
      </c>
      <c r="L314" s="9" t="s">
        <v>294</v>
      </c>
      <c r="M314" s="8"/>
      <c r="N314" s="8" t="str">
        <f aca="true">IF(M314="","Active (per Notice 1)",IF(M314&lt;TODAY(),"Expired",IF(M314&lt;TODAY()+180,"Expiring Soon","Active")))</f>
        <v>Active (per Notice 1)</v>
      </c>
      <c r="O314" s="13" t="s">
        <v>292</v>
      </c>
      <c r="P314" s="8" t="s">
        <v>296</v>
      </c>
      <c r="Q314" s="8" t="n">
        <v>3.59</v>
      </c>
      <c r="R314" s="8" t="n">
        <v>3</v>
      </c>
      <c r="S314" s="11" t="n">
        <v>44874</v>
      </c>
      <c r="T314" s="8" t="str">
        <f aca="true">IF(S314="","",IF(EDATE(S314,60)&lt;TODAY(),"Expired",IF(EDATE(S314,60)&lt;TODAY()+180,"Expiring Soon","Valid")))</f>
        <v>Valid</v>
      </c>
      <c r="U314" s="8" t="str">
        <f aca="false">IF(P314="","",IF(P314="A++","Top Tier",IF(P314="A+","High",IF(P314="A","Strong",IF(LEFT(P314,1)="B","Acceptable",IF(LEFT(P314,1)="C","Below Avg","-"))))))</f>
        <v>Top Tier</v>
      </c>
      <c r="AC314" s="8"/>
      <c r="AD314" s="8" t="n">
        <v>91</v>
      </c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</row>
    <row r="315" customFormat="false" ht="15" hidden="false" customHeight="true" outlineLevel="0" collapsed="false">
      <c r="A315" s="8" t="n">
        <v>314</v>
      </c>
      <c r="B315" s="8" t="n">
        <v>49</v>
      </c>
      <c r="C315" s="8" t="s">
        <v>494</v>
      </c>
      <c r="D315" s="8" t="s">
        <v>315</v>
      </c>
      <c r="E315" s="9" t="s">
        <v>496</v>
      </c>
      <c r="F315" s="9" t="s">
        <v>303</v>
      </c>
      <c r="G315" s="8" t="s">
        <v>304</v>
      </c>
      <c r="H315" s="8" t="s">
        <v>302</v>
      </c>
      <c r="I315" s="8" t="s">
        <v>291</v>
      </c>
      <c r="J315" s="8" t="s">
        <v>292</v>
      </c>
      <c r="K315" s="8" t="s">
        <v>293</v>
      </c>
      <c r="L315" s="9" t="s">
        <v>294</v>
      </c>
      <c r="M315" s="8"/>
      <c r="N315" s="8" t="str">
        <f aca="true">IF(M315="","Active (per Notice 1)",IF(M315&lt;TODAY(),"Expired",IF(M315&lt;TODAY()+180,"Expiring Soon","Active")))</f>
        <v>Active (per Notice 1)</v>
      </c>
      <c r="O315" s="13" t="s">
        <v>292</v>
      </c>
      <c r="P315" s="8" t="s">
        <v>296</v>
      </c>
      <c r="Q315" s="8" t="n">
        <v>3.59</v>
      </c>
      <c r="R315" s="8" t="n">
        <v>3</v>
      </c>
      <c r="S315" s="11" t="n">
        <v>44874</v>
      </c>
      <c r="T315" s="8" t="str">
        <f aca="true">IF(S315="","",IF(EDATE(S315,60)&lt;TODAY(),"Expired",IF(EDATE(S315,60)&lt;TODAY()+180,"Expiring Soon","Valid")))</f>
        <v>Valid</v>
      </c>
      <c r="U315" s="8" t="str">
        <f aca="false">IF(P315="","",IF(P315="A++","Top Tier",IF(P315="A+","High",IF(P315="A","Strong",IF(LEFT(P315,1)="B","Acceptable",IF(LEFT(P315,1)="C","Below Avg","-"))))))</f>
        <v>Top Tier</v>
      </c>
      <c r="AC315" s="8"/>
      <c r="AD315" s="8" t="n">
        <v>91</v>
      </c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</row>
    <row r="316" customFormat="false" ht="15" hidden="false" customHeight="true" outlineLevel="0" collapsed="false">
      <c r="A316" s="8" t="n">
        <v>315</v>
      </c>
      <c r="B316" s="8" t="n">
        <v>49</v>
      </c>
      <c r="C316" s="8" t="s">
        <v>494</v>
      </c>
      <c r="D316" s="8" t="s">
        <v>315</v>
      </c>
      <c r="E316" s="9" t="s">
        <v>496</v>
      </c>
      <c r="F316" s="9" t="s">
        <v>306</v>
      </c>
      <c r="G316" s="8" t="s">
        <v>307</v>
      </c>
      <c r="H316" s="8" t="s">
        <v>302</v>
      </c>
      <c r="I316" s="8" t="s">
        <v>291</v>
      </c>
      <c r="J316" s="8" t="s">
        <v>292</v>
      </c>
      <c r="K316" s="8" t="s">
        <v>293</v>
      </c>
      <c r="L316" s="9" t="s">
        <v>294</v>
      </c>
      <c r="M316" s="8"/>
      <c r="N316" s="8" t="str">
        <f aca="true">IF(M316="","Active (per Notice 1)",IF(M316&lt;TODAY(),"Expired",IF(M316&lt;TODAY()+180,"Expiring Soon","Active")))</f>
        <v>Active (per Notice 1)</v>
      </c>
      <c r="O316" s="13" t="s">
        <v>292</v>
      </c>
      <c r="P316" s="8" t="s">
        <v>296</v>
      </c>
      <c r="Q316" s="8" t="n">
        <v>3.59</v>
      </c>
      <c r="R316" s="8" t="n">
        <v>3</v>
      </c>
      <c r="S316" s="11" t="n">
        <v>44874</v>
      </c>
      <c r="T316" s="8" t="str">
        <f aca="true">IF(S316="","",IF(EDATE(S316,60)&lt;TODAY(),"Expired",IF(EDATE(S316,60)&lt;TODAY()+180,"Expiring Soon","Valid")))</f>
        <v>Valid</v>
      </c>
      <c r="U316" s="8" t="str">
        <f aca="false">IF(P316="","",IF(P316="A++","Top Tier",IF(P316="A+","High",IF(P316="A","Strong",IF(LEFT(P316,1)="B","Acceptable",IF(LEFT(P316,1)="C","Below Avg","-"))))))</f>
        <v>Top Tier</v>
      </c>
      <c r="AC316" s="8"/>
      <c r="AD316" s="8" t="n">
        <v>91</v>
      </c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</row>
    <row r="317" customFormat="false" ht="15" hidden="false" customHeight="true" outlineLevel="0" collapsed="false">
      <c r="A317" s="8" t="n">
        <v>316</v>
      </c>
      <c r="B317" s="8" t="n">
        <v>50</v>
      </c>
      <c r="C317" s="8" t="s">
        <v>494</v>
      </c>
      <c r="D317" s="8" t="s">
        <v>315</v>
      </c>
      <c r="E317" s="9" t="s">
        <v>497</v>
      </c>
      <c r="F317" s="9" t="s">
        <v>498</v>
      </c>
      <c r="G317" s="8" t="s">
        <v>499</v>
      </c>
      <c r="H317" s="8" t="s">
        <v>290</v>
      </c>
      <c r="I317" s="8" t="s">
        <v>291</v>
      </c>
      <c r="J317" s="8" t="s">
        <v>292</v>
      </c>
      <c r="K317" s="8" t="s">
        <v>293</v>
      </c>
      <c r="L317" s="9" t="s">
        <v>294</v>
      </c>
      <c r="M317" s="8"/>
      <c r="N317" s="8" t="str">
        <f aca="true">IF(M317="","Active (per Notice 1)",IF(M317&lt;TODAY(),"Expired",IF(M317&lt;TODAY()+180,"Expiring Soon","Active")))</f>
        <v>Active (per Notice 1)</v>
      </c>
      <c r="O317" s="10" t="s">
        <v>295</v>
      </c>
      <c r="P317" s="8" t="s">
        <v>296</v>
      </c>
      <c r="Q317" s="8" t="n">
        <v>3.56</v>
      </c>
      <c r="R317" s="8" t="n">
        <v>3</v>
      </c>
      <c r="S317" s="11" t="n">
        <v>44915</v>
      </c>
      <c r="T317" s="8" t="str">
        <f aca="true">IF(S317="","",IF(EDATE(S317,60)&lt;TODAY(),"Expired",IF(EDATE(S317,60)&lt;TODAY()+180,"Expiring Soon","Valid")))</f>
        <v>Valid</v>
      </c>
      <c r="U317" s="8" t="str">
        <f aca="false">IF(P317="","",IF(P317="A++","Top Tier",IF(P317="A+","High",IF(P317="A","Strong",IF(LEFT(P317,1)="B","Acceptable",IF(LEFT(P317,1)="C","Below Avg","-"))))))</f>
        <v>Top Tier</v>
      </c>
      <c r="V317" s="8" t="s">
        <v>440</v>
      </c>
      <c r="AC317" s="8" t="n">
        <v>40</v>
      </c>
      <c r="AD317" s="8" t="n">
        <v>24</v>
      </c>
      <c r="AE317" s="8"/>
      <c r="AF317" s="8" t="n">
        <v>46</v>
      </c>
      <c r="AG317" s="15" t="n">
        <v>11</v>
      </c>
      <c r="AH317" s="8"/>
      <c r="AI317" s="8"/>
      <c r="AJ317" s="8"/>
      <c r="AK317" s="15" t="n">
        <v>7</v>
      </c>
      <c r="AL317" s="8"/>
      <c r="AM317" s="8"/>
      <c r="AN317" s="8"/>
      <c r="AO317" s="8"/>
      <c r="AP317" s="8"/>
      <c r="AQ317" s="8"/>
      <c r="AR317" s="8"/>
      <c r="AS317" s="8"/>
      <c r="AT317" s="8"/>
      <c r="AU317" s="9" t="s">
        <v>500</v>
      </c>
    </row>
    <row r="318" customFormat="false" ht="15" hidden="false" customHeight="true" outlineLevel="0" collapsed="false">
      <c r="A318" s="8" t="n">
        <v>317</v>
      </c>
      <c r="B318" s="8" t="n">
        <v>50</v>
      </c>
      <c r="C318" s="8" t="s">
        <v>494</v>
      </c>
      <c r="D318" s="8" t="s">
        <v>315</v>
      </c>
      <c r="E318" s="9" t="s">
        <v>497</v>
      </c>
      <c r="F318" s="9" t="s">
        <v>319</v>
      </c>
      <c r="G318" s="8" t="s">
        <v>320</v>
      </c>
      <c r="H318" s="8" t="s">
        <v>290</v>
      </c>
      <c r="I318" s="8" t="s">
        <v>291</v>
      </c>
      <c r="J318" s="8" t="s">
        <v>292</v>
      </c>
      <c r="K318" s="8" t="s">
        <v>293</v>
      </c>
      <c r="L318" s="9" t="s">
        <v>294</v>
      </c>
      <c r="M318" s="8"/>
      <c r="N318" s="8" t="str">
        <f aca="true">IF(M318="","Active (per Notice 1)",IF(M318&lt;TODAY(),"Expired",IF(M318&lt;TODAY()+180,"Expiring Soon","Active")))</f>
        <v>Active (per Notice 1)</v>
      </c>
      <c r="O318" s="13" t="s">
        <v>292</v>
      </c>
      <c r="P318" s="8" t="s">
        <v>296</v>
      </c>
      <c r="Q318" s="8" t="n">
        <v>3.56</v>
      </c>
      <c r="R318" s="8" t="n">
        <v>3</v>
      </c>
      <c r="S318" s="11" t="n">
        <v>44915</v>
      </c>
      <c r="T318" s="8" t="str">
        <f aca="true">IF(S318="","",IF(EDATE(S318,60)&lt;TODAY(),"Expired",IF(EDATE(S318,60)&lt;TODAY()+180,"Expiring Soon","Valid")))</f>
        <v>Valid</v>
      </c>
      <c r="U318" s="8" t="str">
        <f aca="false">IF(P318="","",IF(P318="A++","Top Tier",IF(P318="A+","High",IF(P318="A","Strong",IF(LEFT(P318,1)="B","Acceptable",IF(LEFT(P318,1)="C","Below Avg","-"))))))</f>
        <v>Top Tier</v>
      </c>
      <c r="V318" s="8" t="s">
        <v>440</v>
      </c>
      <c r="AC318" s="8" t="n">
        <v>40</v>
      </c>
      <c r="AD318" s="8" t="n">
        <v>24</v>
      </c>
      <c r="AE318" s="8"/>
      <c r="AF318" s="8" t="n">
        <v>46</v>
      </c>
      <c r="AG318" s="15" t="n">
        <v>11</v>
      </c>
      <c r="AH318" s="8"/>
      <c r="AI318" s="8"/>
      <c r="AJ318" s="8"/>
      <c r="AK318" s="15" t="n">
        <v>7</v>
      </c>
      <c r="AL318" s="8"/>
      <c r="AM318" s="8"/>
      <c r="AN318" s="8"/>
      <c r="AO318" s="8"/>
      <c r="AP318" s="8"/>
      <c r="AQ318" s="8"/>
      <c r="AR318" s="8"/>
      <c r="AS318" s="8"/>
      <c r="AT318" s="8"/>
      <c r="AU318" s="9" t="s">
        <v>500</v>
      </c>
    </row>
    <row r="319" customFormat="false" ht="23.25" hidden="false" customHeight="true" outlineLevel="0" collapsed="false">
      <c r="A319" s="8" t="n">
        <v>318</v>
      </c>
      <c r="B319" s="8" t="n">
        <v>50</v>
      </c>
      <c r="C319" s="8" t="s">
        <v>494</v>
      </c>
      <c r="D319" s="8" t="s">
        <v>315</v>
      </c>
      <c r="E319" s="9" t="s">
        <v>497</v>
      </c>
      <c r="F319" s="9" t="s">
        <v>317</v>
      </c>
      <c r="G319" s="8" t="s">
        <v>318</v>
      </c>
      <c r="H319" s="8" t="s">
        <v>290</v>
      </c>
      <c r="I319" s="8" t="s">
        <v>291</v>
      </c>
      <c r="J319" s="8" t="s">
        <v>292</v>
      </c>
      <c r="K319" s="8" t="s">
        <v>293</v>
      </c>
      <c r="L319" s="9" t="s">
        <v>294</v>
      </c>
      <c r="M319" s="8"/>
      <c r="N319" s="8" t="str">
        <f aca="true">IF(M319="","Active (per Notice 1)",IF(M319&lt;TODAY(),"Expired",IF(M319&lt;TODAY()+180,"Expiring Soon","Active")))</f>
        <v>Active (per Notice 1)</v>
      </c>
      <c r="O319" s="13" t="s">
        <v>292</v>
      </c>
      <c r="P319" s="8" t="s">
        <v>296</v>
      </c>
      <c r="Q319" s="8" t="n">
        <v>3.56</v>
      </c>
      <c r="R319" s="8" t="n">
        <v>3</v>
      </c>
      <c r="S319" s="11" t="n">
        <v>44915</v>
      </c>
      <c r="T319" s="8" t="str">
        <f aca="true">IF(S319="","",IF(EDATE(S319,60)&lt;TODAY(),"Expired",IF(EDATE(S319,60)&lt;TODAY()+180,"Expiring Soon","Valid")))</f>
        <v>Valid</v>
      </c>
      <c r="U319" s="8" t="str">
        <f aca="false">IF(P319="","",IF(P319="A++","Top Tier",IF(P319="A+","High",IF(P319="A","Strong",IF(LEFT(P319,1)="B","Acceptable",IF(LEFT(P319,1)="C","Below Avg","-"))))))</f>
        <v>Top Tier</v>
      </c>
      <c r="V319" s="8" t="s">
        <v>380</v>
      </c>
      <c r="W319" s="9" t="s">
        <v>501</v>
      </c>
      <c r="X319" s="14" t="s">
        <v>502</v>
      </c>
      <c r="AC319" s="8" t="n">
        <v>40</v>
      </c>
      <c r="AD319" s="8" t="n">
        <v>24</v>
      </c>
      <c r="AE319" s="8"/>
      <c r="AF319" s="8" t="n">
        <v>46</v>
      </c>
      <c r="AG319" s="15" t="n">
        <v>11</v>
      </c>
      <c r="AH319" s="8"/>
      <c r="AI319" s="8"/>
      <c r="AJ319" s="8"/>
      <c r="AK319" s="15" t="n">
        <v>7</v>
      </c>
      <c r="AL319" s="8"/>
      <c r="AM319" s="8"/>
      <c r="AN319" s="8"/>
      <c r="AO319" s="8"/>
      <c r="AP319" s="8"/>
      <c r="AQ319" s="8"/>
      <c r="AR319" s="8"/>
      <c r="AS319" s="8"/>
      <c r="AT319" s="8"/>
      <c r="AU319" s="9" t="s">
        <v>500</v>
      </c>
    </row>
    <row r="320" customFormat="false" ht="23.25" hidden="false" customHeight="true" outlineLevel="0" collapsed="false">
      <c r="A320" s="8" t="n">
        <v>319</v>
      </c>
      <c r="B320" s="8" t="n">
        <v>50</v>
      </c>
      <c r="C320" s="8" t="s">
        <v>494</v>
      </c>
      <c r="D320" s="8" t="s">
        <v>315</v>
      </c>
      <c r="E320" s="9" t="s">
        <v>497</v>
      </c>
      <c r="F320" s="9" t="s">
        <v>303</v>
      </c>
      <c r="G320" s="8" t="s">
        <v>304</v>
      </c>
      <c r="H320" s="8" t="s">
        <v>302</v>
      </c>
      <c r="I320" s="8" t="s">
        <v>291</v>
      </c>
      <c r="J320" s="8" t="s">
        <v>292</v>
      </c>
      <c r="K320" s="8" t="s">
        <v>293</v>
      </c>
      <c r="L320" s="9" t="s">
        <v>294</v>
      </c>
      <c r="M320" s="8"/>
      <c r="N320" s="8" t="str">
        <f aca="true">IF(M320="","Active (per Notice 1)",IF(M320&lt;TODAY(),"Expired",IF(M320&lt;TODAY()+180,"Expiring Soon","Active")))</f>
        <v>Active (per Notice 1)</v>
      </c>
      <c r="O320" s="13" t="s">
        <v>292</v>
      </c>
      <c r="P320" s="8" t="s">
        <v>296</v>
      </c>
      <c r="Q320" s="8" t="n">
        <v>3.56</v>
      </c>
      <c r="R320" s="8" t="n">
        <v>3</v>
      </c>
      <c r="S320" s="11" t="n">
        <v>44915</v>
      </c>
      <c r="T320" s="8" t="str">
        <f aca="true">IF(S320="","",IF(EDATE(S320,60)&lt;TODAY(),"Expired",IF(EDATE(S320,60)&lt;TODAY()+180,"Expiring Soon","Valid")))</f>
        <v>Valid</v>
      </c>
      <c r="U320" s="8" t="str">
        <f aca="false">IF(P320="","",IF(P320="A++","Top Tier",IF(P320="A+","High",IF(P320="A","Strong",IF(LEFT(P320,1)="B","Acceptable",IF(LEFT(P320,1)="C","Below Avg","-"))))))</f>
        <v>Top Tier</v>
      </c>
      <c r="V320" s="8" t="s">
        <v>380</v>
      </c>
      <c r="W320" s="9" t="s">
        <v>501</v>
      </c>
      <c r="X320" s="14" t="s">
        <v>502</v>
      </c>
      <c r="AC320" s="8" t="n">
        <v>40</v>
      </c>
      <c r="AD320" s="8" t="n">
        <v>24</v>
      </c>
      <c r="AE320" s="8"/>
      <c r="AF320" s="8" t="n">
        <v>46</v>
      </c>
      <c r="AG320" s="15" t="n">
        <v>11</v>
      </c>
      <c r="AH320" s="8"/>
      <c r="AI320" s="8"/>
      <c r="AJ320" s="8"/>
      <c r="AK320" s="15" t="n">
        <v>7</v>
      </c>
      <c r="AL320" s="8"/>
      <c r="AM320" s="8"/>
      <c r="AN320" s="8"/>
      <c r="AO320" s="8"/>
      <c r="AP320" s="8"/>
      <c r="AQ320" s="8"/>
      <c r="AR320" s="8"/>
      <c r="AS320" s="8"/>
      <c r="AT320" s="8"/>
      <c r="AU320" s="9" t="s">
        <v>500</v>
      </c>
    </row>
    <row r="321" customFormat="false" ht="15" hidden="false" customHeight="true" outlineLevel="0" collapsed="false">
      <c r="A321" s="8" t="n">
        <v>320</v>
      </c>
      <c r="B321" s="8" t="n">
        <v>50</v>
      </c>
      <c r="C321" s="8" t="s">
        <v>494</v>
      </c>
      <c r="D321" s="8" t="s">
        <v>315</v>
      </c>
      <c r="E321" s="9" t="s">
        <v>497</v>
      </c>
      <c r="F321" s="9" t="s">
        <v>503</v>
      </c>
      <c r="G321" s="8" t="s">
        <v>301</v>
      </c>
      <c r="H321" s="8" t="s">
        <v>302</v>
      </c>
      <c r="I321" s="8" t="s">
        <v>291</v>
      </c>
      <c r="J321" s="8" t="s">
        <v>292</v>
      </c>
      <c r="K321" s="8" t="s">
        <v>293</v>
      </c>
      <c r="L321" s="9" t="s">
        <v>294</v>
      </c>
      <c r="M321" s="8"/>
      <c r="N321" s="8" t="str">
        <f aca="true">IF(M321="","Active (per Notice 1)",IF(M321&lt;TODAY(),"Expired",IF(M321&lt;TODAY()+180,"Expiring Soon","Active")))</f>
        <v>Active (per Notice 1)</v>
      </c>
      <c r="O321" s="10" t="s">
        <v>295</v>
      </c>
      <c r="P321" s="8" t="s">
        <v>296</v>
      </c>
      <c r="Q321" s="8" t="n">
        <v>3.56</v>
      </c>
      <c r="R321" s="8" t="n">
        <v>3</v>
      </c>
      <c r="S321" s="11" t="n">
        <v>44915</v>
      </c>
      <c r="T321" s="8" t="str">
        <f aca="true">IF(S321="","",IF(EDATE(S321,60)&lt;TODAY(),"Expired",IF(EDATE(S321,60)&lt;TODAY()+180,"Expiring Soon","Valid")))</f>
        <v>Valid</v>
      </c>
      <c r="U321" s="8" t="str">
        <f aca="false">IF(P321="","",IF(P321="A++","Top Tier",IF(P321="A+","High",IF(P321="A","Strong",IF(LEFT(P321,1)="B","Acceptable",IF(LEFT(P321,1)="C","Below Avg","-"))))))</f>
        <v>Top Tier</v>
      </c>
      <c r="V321" s="8" t="s">
        <v>440</v>
      </c>
      <c r="AC321" s="8" t="n">
        <v>40</v>
      </c>
      <c r="AD321" s="8" t="n">
        <v>24</v>
      </c>
      <c r="AE321" s="8"/>
      <c r="AF321" s="8" t="n">
        <v>46</v>
      </c>
      <c r="AG321" s="15" t="n">
        <v>11</v>
      </c>
      <c r="AH321" s="8"/>
      <c r="AI321" s="8"/>
      <c r="AJ321" s="8"/>
      <c r="AK321" s="15" t="n">
        <v>7</v>
      </c>
      <c r="AL321" s="8"/>
      <c r="AM321" s="8"/>
      <c r="AN321" s="8"/>
      <c r="AO321" s="8"/>
      <c r="AP321" s="8"/>
      <c r="AQ321" s="8"/>
      <c r="AR321" s="8"/>
      <c r="AS321" s="8"/>
      <c r="AT321" s="8"/>
      <c r="AU321" s="9" t="s">
        <v>500</v>
      </c>
    </row>
    <row r="322" customFormat="false" ht="15" hidden="false" customHeight="true" outlineLevel="0" collapsed="false">
      <c r="A322" s="8" t="n">
        <v>321</v>
      </c>
      <c r="B322" s="8" t="n">
        <v>50</v>
      </c>
      <c r="C322" s="8" t="s">
        <v>494</v>
      </c>
      <c r="D322" s="8" t="s">
        <v>315</v>
      </c>
      <c r="E322" s="9" t="s">
        <v>497</v>
      </c>
      <c r="F322" s="9" t="s">
        <v>377</v>
      </c>
      <c r="G322" s="8" t="s">
        <v>301</v>
      </c>
      <c r="H322" s="8" t="s">
        <v>302</v>
      </c>
      <c r="I322" s="8" t="s">
        <v>291</v>
      </c>
      <c r="J322" s="8" t="s">
        <v>292</v>
      </c>
      <c r="K322" s="8" t="s">
        <v>293</v>
      </c>
      <c r="L322" s="9" t="s">
        <v>294</v>
      </c>
      <c r="M322" s="8"/>
      <c r="N322" s="8" t="str">
        <f aca="true">IF(M322="","Active (per Notice 1)",IF(M322&lt;TODAY(),"Expired",IF(M322&lt;TODAY()+180,"Expiring Soon","Active")))</f>
        <v>Active (per Notice 1)</v>
      </c>
      <c r="O322" s="10" t="s">
        <v>295</v>
      </c>
      <c r="P322" s="8" t="s">
        <v>296</v>
      </c>
      <c r="Q322" s="8" t="n">
        <v>3.56</v>
      </c>
      <c r="R322" s="8" t="n">
        <v>3</v>
      </c>
      <c r="S322" s="11" t="n">
        <v>44915</v>
      </c>
      <c r="T322" s="8" t="str">
        <f aca="true">IF(S322="","",IF(EDATE(S322,60)&lt;TODAY(),"Expired",IF(EDATE(S322,60)&lt;TODAY()+180,"Expiring Soon","Valid")))</f>
        <v>Valid</v>
      </c>
      <c r="U322" s="8" t="str">
        <f aca="false">IF(P322="","",IF(P322="A++","Top Tier",IF(P322="A+","High",IF(P322="A","Strong",IF(LEFT(P322,1)="B","Acceptable",IF(LEFT(P322,1)="C","Below Avg","-"))))))</f>
        <v>Top Tier</v>
      </c>
      <c r="V322" s="8" t="s">
        <v>440</v>
      </c>
      <c r="AC322" s="8" t="n">
        <v>40</v>
      </c>
      <c r="AD322" s="8" t="n">
        <v>24</v>
      </c>
      <c r="AE322" s="8"/>
      <c r="AF322" s="8" t="n">
        <v>46</v>
      </c>
      <c r="AG322" s="15" t="n">
        <v>11</v>
      </c>
      <c r="AH322" s="8"/>
      <c r="AI322" s="8"/>
      <c r="AJ322" s="8"/>
      <c r="AK322" s="15" t="n">
        <v>7</v>
      </c>
      <c r="AL322" s="8"/>
      <c r="AM322" s="8"/>
      <c r="AN322" s="8"/>
      <c r="AO322" s="8"/>
      <c r="AP322" s="8"/>
      <c r="AQ322" s="8"/>
      <c r="AR322" s="8"/>
      <c r="AS322" s="8"/>
      <c r="AT322" s="8"/>
      <c r="AU322" s="9" t="s">
        <v>500</v>
      </c>
    </row>
    <row r="323" customFormat="false" ht="15" hidden="false" customHeight="true" outlineLevel="0" collapsed="false">
      <c r="A323" s="8" t="n">
        <v>322</v>
      </c>
      <c r="B323" s="8" t="n">
        <v>50</v>
      </c>
      <c r="C323" s="8" t="s">
        <v>494</v>
      </c>
      <c r="D323" s="8" t="s">
        <v>315</v>
      </c>
      <c r="E323" s="9" t="s">
        <v>497</v>
      </c>
      <c r="F323" s="9" t="s">
        <v>504</v>
      </c>
      <c r="G323" s="8" t="s">
        <v>386</v>
      </c>
      <c r="H323" s="8" t="s">
        <v>302</v>
      </c>
      <c r="I323" s="8" t="s">
        <v>291</v>
      </c>
      <c r="J323" s="8" t="s">
        <v>292</v>
      </c>
      <c r="K323" s="8" t="s">
        <v>293</v>
      </c>
      <c r="L323" s="9" t="s">
        <v>294</v>
      </c>
      <c r="M323" s="8"/>
      <c r="N323" s="8" t="str">
        <f aca="true">IF(M323="","Active (per Notice 1)",IF(M323&lt;TODAY(),"Expired",IF(M323&lt;TODAY()+180,"Expiring Soon","Active")))</f>
        <v>Active (per Notice 1)</v>
      </c>
      <c r="O323" s="10" t="s">
        <v>295</v>
      </c>
      <c r="P323" s="8" t="s">
        <v>296</v>
      </c>
      <c r="Q323" s="8" t="n">
        <v>3.56</v>
      </c>
      <c r="R323" s="8" t="n">
        <v>3</v>
      </c>
      <c r="S323" s="11" t="n">
        <v>44915</v>
      </c>
      <c r="T323" s="8" t="str">
        <f aca="true">IF(S323="","",IF(EDATE(S323,60)&lt;TODAY(),"Expired",IF(EDATE(S323,60)&lt;TODAY()+180,"Expiring Soon","Valid")))</f>
        <v>Valid</v>
      </c>
      <c r="U323" s="8" t="str">
        <f aca="false">IF(P323="","",IF(P323="A++","Top Tier",IF(P323="A+","High",IF(P323="A","Strong",IF(LEFT(P323,1)="B","Acceptable",IF(LEFT(P323,1)="C","Below Avg","-"))))))</f>
        <v>Top Tier</v>
      </c>
      <c r="V323" s="8" t="s">
        <v>440</v>
      </c>
      <c r="AC323" s="8" t="n">
        <v>40</v>
      </c>
      <c r="AD323" s="8" t="n">
        <v>24</v>
      </c>
      <c r="AE323" s="8"/>
      <c r="AF323" s="8" t="n">
        <v>46</v>
      </c>
      <c r="AG323" s="15" t="n">
        <v>11</v>
      </c>
      <c r="AH323" s="8"/>
      <c r="AI323" s="8"/>
      <c r="AJ323" s="8"/>
      <c r="AK323" s="15" t="n">
        <v>7</v>
      </c>
      <c r="AL323" s="8"/>
      <c r="AM323" s="8"/>
      <c r="AN323" s="8"/>
      <c r="AO323" s="8"/>
      <c r="AP323" s="8"/>
      <c r="AQ323" s="8"/>
      <c r="AR323" s="8"/>
      <c r="AS323" s="8"/>
      <c r="AT323" s="8"/>
      <c r="AU323" s="9" t="s">
        <v>500</v>
      </c>
    </row>
    <row r="324" customFormat="false" ht="15" hidden="false" customHeight="true" outlineLevel="0" collapsed="false">
      <c r="A324" s="8" t="n">
        <v>323</v>
      </c>
      <c r="B324" s="8" t="n">
        <v>50</v>
      </c>
      <c r="C324" s="8" t="s">
        <v>494</v>
      </c>
      <c r="D324" s="8" t="s">
        <v>315</v>
      </c>
      <c r="E324" s="9" t="s">
        <v>497</v>
      </c>
      <c r="F324" s="9" t="s">
        <v>505</v>
      </c>
      <c r="G324" s="8" t="s">
        <v>386</v>
      </c>
      <c r="H324" s="8" t="s">
        <v>302</v>
      </c>
      <c r="I324" s="8" t="s">
        <v>291</v>
      </c>
      <c r="J324" s="8" t="s">
        <v>292</v>
      </c>
      <c r="K324" s="8" t="s">
        <v>293</v>
      </c>
      <c r="L324" s="9" t="s">
        <v>294</v>
      </c>
      <c r="M324" s="8"/>
      <c r="N324" s="8" t="str">
        <f aca="true">IF(M324="","Active (per Notice 1)",IF(M324&lt;TODAY(),"Expired",IF(M324&lt;TODAY()+180,"Expiring Soon","Active")))</f>
        <v>Active (per Notice 1)</v>
      </c>
      <c r="O324" s="10" t="s">
        <v>295</v>
      </c>
      <c r="P324" s="8" t="s">
        <v>296</v>
      </c>
      <c r="Q324" s="8" t="n">
        <v>3.56</v>
      </c>
      <c r="R324" s="8" t="n">
        <v>3</v>
      </c>
      <c r="S324" s="11" t="n">
        <v>44915</v>
      </c>
      <c r="T324" s="8" t="str">
        <f aca="true">IF(S324="","",IF(EDATE(S324,60)&lt;TODAY(),"Expired",IF(EDATE(S324,60)&lt;TODAY()+180,"Expiring Soon","Valid")))</f>
        <v>Valid</v>
      </c>
      <c r="U324" s="8" t="str">
        <f aca="false">IF(P324="","",IF(P324="A++","Top Tier",IF(P324="A+","High",IF(P324="A","Strong",IF(LEFT(P324,1)="B","Acceptable",IF(LEFT(P324,1)="C","Below Avg","-"))))))</f>
        <v>Top Tier</v>
      </c>
      <c r="V324" s="8" t="s">
        <v>440</v>
      </c>
      <c r="AC324" s="8" t="n">
        <v>40</v>
      </c>
      <c r="AD324" s="8" t="n">
        <v>24</v>
      </c>
      <c r="AE324" s="8"/>
      <c r="AF324" s="8" t="n">
        <v>46</v>
      </c>
      <c r="AG324" s="15" t="n">
        <v>11</v>
      </c>
      <c r="AH324" s="8"/>
      <c r="AI324" s="8"/>
      <c r="AJ324" s="8"/>
      <c r="AK324" s="15" t="n">
        <v>7</v>
      </c>
      <c r="AL324" s="8"/>
      <c r="AM324" s="8"/>
      <c r="AN324" s="8"/>
      <c r="AO324" s="8"/>
      <c r="AP324" s="8"/>
      <c r="AQ324" s="8"/>
      <c r="AR324" s="8"/>
      <c r="AS324" s="8"/>
      <c r="AT324" s="8"/>
      <c r="AU324" s="9" t="s">
        <v>500</v>
      </c>
    </row>
    <row r="325" customFormat="false" ht="15" hidden="false" customHeight="true" outlineLevel="0" collapsed="false">
      <c r="A325" s="8" t="n">
        <v>324</v>
      </c>
      <c r="B325" s="8" t="n">
        <v>50</v>
      </c>
      <c r="C325" s="8" t="s">
        <v>494</v>
      </c>
      <c r="D325" s="8" t="s">
        <v>315</v>
      </c>
      <c r="E325" s="9" t="s">
        <v>497</v>
      </c>
      <c r="F325" s="9" t="s">
        <v>401</v>
      </c>
      <c r="G325" s="8" t="s">
        <v>386</v>
      </c>
      <c r="H325" s="8" t="s">
        <v>302</v>
      </c>
      <c r="I325" s="8" t="s">
        <v>291</v>
      </c>
      <c r="J325" s="8" t="s">
        <v>292</v>
      </c>
      <c r="K325" s="8" t="s">
        <v>293</v>
      </c>
      <c r="L325" s="9" t="s">
        <v>294</v>
      </c>
      <c r="M325" s="8"/>
      <c r="N325" s="8" t="str">
        <f aca="true">IF(M325="","Active (per Notice 1)",IF(M325&lt;TODAY(),"Expired",IF(M325&lt;TODAY()+180,"Expiring Soon","Active")))</f>
        <v>Active (per Notice 1)</v>
      </c>
      <c r="O325" s="10" t="s">
        <v>295</v>
      </c>
      <c r="P325" s="8" t="s">
        <v>296</v>
      </c>
      <c r="Q325" s="8" t="n">
        <v>3.56</v>
      </c>
      <c r="R325" s="8" t="n">
        <v>3</v>
      </c>
      <c r="S325" s="11" t="n">
        <v>44915</v>
      </c>
      <c r="T325" s="8" t="str">
        <f aca="true">IF(S325="","",IF(EDATE(S325,60)&lt;TODAY(),"Expired",IF(EDATE(S325,60)&lt;TODAY()+180,"Expiring Soon","Valid")))</f>
        <v>Valid</v>
      </c>
      <c r="U325" s="8" t="str">
        <f aca="false">IF(P325="","",IF(P325="A++","Top Tier",IF(P325="A+","High",IF(P325="A","Strong",IF(LEFT(P325,1)="B","Acceptable",IF(LEFT(P325,1)="C","Below Avg","-"))))))</f>
        <v>Top Tier</v>
      </c>
      <c r="V325" s="8" t="s">
        <v>440</v>
      </c>
      <c r="AC325" s="8" t="n">
        <v>40</v>
      </c>
      <c r="AD325" s="8" t="n">
        <v>24</v>
      </c>
      <c r="AE325" s="8"/>
      <c r="AF325" s="8" t="n">
        <v>46</v>
      </c>
      <c r="AG325" s="15" t="n">
        <v>11</v>
      </c>
      <c r="AH325" s="8"/>
      <c r="AI325" s="8"/>
      <c r="AJ325" s="8"/>
      <c r="AK325" s="15" t="n">
        <v>7</v>
      </c>
      <c r="AL325" s="8"/>
      <c r="AM325" s="8"/>
      <c r="AN325" s="8"/>
      <c r="AO325" s="8"/>
      <c r="AP325" s="8"/>
      <c r="AQ325" s="8"/>
      <c r="AR325" s="8"/>
      <c r="AS325" s="8"/>
      <c r="AT325" s="8"/>
      <c r="AU325" s="9" t="s">
        <v>500</v>
      </c>
    </row>
    <row r="326" customFormat="false" ht="15" hidden="false" customHeight="true" outlineLevel="0" collapsed="false">
      <c r="A326" s="8" t="n">
        <v>325</v>
      </c>
      <c r="B326" s="8" t="n">
        <v>50</v>
      </c>
      <c r="C326" s="8" t="s">
        <v>494</v>
      </c>
      <c r="D326" s="8" t="s">
        <v>315</v>
      </c>
      <c r="E326" s="9" t="s">
        <v>497</v>
      </c>
      <c r="F326" s="9" t="s">
        <v>506</v>
      </c>
      <c r="G326" s="8" t="s">
        <v>386</v>
      </c>
      <c r="H326" s="8" t="s">
        <v>302</v>
      </c>
      <c r="I326" s="8" t="s">
        <v>291</v>
      </c>
      <c r="J326" s="8" t="s">
        <v>292</v>
      </c>
      <c r="K326" s="8" t="s">
        <v>293</v>
      </c>
      <c r="L326" s="9" t="s">
        <v>294</v>
      </c>
      <c r="M326" s="8"/>
      <c r="N326" s="8" t="str">
        <f aca="true">IF(M326="","Active (per Notice 1)",IF(M326&lt;TODAY(),"Expired",IF(M326&lt;TODAY()+180,"Expiring Soon","Active")))</f>
        <v>Active (per Notice 1)</v>
      </c>
      <c r="O326" s="10" t="s">
        <v>295</v>
      </c>
      <c r="P326" s="8" t="s">
        <v>296</v>
      </c>
      <c r="Q326" s="8" t="n">
        <v>3.56</v>
      </c>
      <c r="R326" s="8" t="n">
        <v>3</v>
      </c>
      <c r="S326" s="11" t="n">
        <v>44915</v>
      </c>
      <c r="T326" s="8" t="str">
        <f aca="true">IF(S326="","",IF(EDATE(S326,60)&lt;TODAY(),"Expired",IF(EDATE(S326,60)&lt;TODAY()+180,"Expiring Soon","Valid")))</f>
        <v>Valid</v>
      </c>
      <c r="U326" s="8" t="str">
        <f aca="false">IF(P326="","",IF(P326="A++","Top Tier",IF(P326="A+","High",IF(P326="A","Strong",IF(LEFT(P326,1)="B","Acceptable",IF(LEFT(P326,1)="C","Below Avg","-"))))))</f>
        <v>Top Tier</v>
      </c>
      <c r="V326" s="8" t="s">
        <v>440</v>
      </c>
      <c r="AC326" s="8" t="n">
        <v>40</v>
      </c>
      <c r="AD326" s="8" t="n">
        <v>24</v>
      </c>
      <c r="AE326" s="8"/>
      <c r="AF326" s="8" t="n">
        <v>46</v>
      </c>
      <c r="AG326" s="15" t="n">
        <v>11</v>
      </c>
      <c r="AH326" s="8"/>
      <c r="AI326" s="8"/>
      <c r="AJ326" s="8"/>
      <c r="AK326" s="15" t="n">
        <v>7</v>
      </c>
      <c r="AL326" s="8"/>
      <c r="AM326" s="8"/>
      <c r="AN326" s="8"/>
      <c r="AO326" s="8"/>
      <c r="AP326" s="8"/>
      <c r="AQ326" s="8"/>
      <c r="AR326" s="8"/>
      <c r="AS326" s="8"/>
      <c r="AT326" s="8"/>
      <c r="AU326" s="9" t="s">
        <v>500</v>
      </c>
    </row>
    <row r="327" customFormat="false" ht="15" hidden="false" customHeight="true" outlineLevel="0" collapsed="false">
      <c r="A327" s="8" t="n">
        <v>326</v>
      </c>
      <c r="B327" s="8" t="n">
        <v>51</v>
      </c>
      <c r="C327" s="8" t="s">
        <v>494</v>
      </c>
      <c r="D327" s="8" t="s">
        <v>315</v>
      </c>
      <c r="E327" s="9" t="s">
        <v>507</v>
      </c>
      <c r="F327" s="9" t="s">
        <v>317</v>
      </c>
      <c r="G327" s="8" t="s">
        <v>318</v>
      </c>
      <c r="H327" s="8" t="s">
        <v>290</v>
      </c>
      <c r="I327" s="8" t="s">
        <v>291</v>
      </c>
      <c r="J327" s="8" t="s">
        <v>292</v>
      </c>
      <c r="K327" s="8" t="s">
        <v>293</v>
      </c>
      <c r="L327" s="9" t="s">
        <v>294</v>
      </c>
      <c r="M327" s="8"/>
      <c r="N327" s="8" t="str">
        <f aca="true">IF(M327="","Active (per Notice 1)",IF(M327&lt;TODAY(),"Expired",IF(M327&lt;TODAY()+180,"Expiring Soon","Active")))</f>
        <v>Active (per Notice 1)</v>
      </c>
      <c r="O327" s="13" t="s">
        <v>292</v>
      </c>
      <c r="P327" s="8" t="s">
        <v>296</v>
      </c>
      <c r="Q327" s="8" t="n">
        <v>3.6</v>
      </c>
      <c r="R327" s="8" t="n">
        <v>4</v>
      </c>
      <c r="S327" s="11" t="n">
        <v>45604</v>
      </c>
      <c r="T327" s="8" t="str">
        <f aca="true">IF(S327="","",IF(EDATE(S327,60)&lt;TODAY(),"Expired",IF(EDATE(S327,60)&lt;TODAY()+180,"Expiring Soon","Valid")))</f>
        <v>Valid</v>
      </c>
      <c r="U327" s="8" t="str">
        <f aca="false">IF(P327="","",IF(P327="A++","Top Tier",IF(P327="A+","High",IF(P327="A","Strong",IF(LEFT(P327,1)="B","Acceptable",IF(LEFT(P327,1)="C","Below Avg","-"))))))</f>
        <v>Top Tier</v>
      </c>
      <c r="Y327" s="8" t="n">
        <v>3</v>
      </c>
      <c r="Z327" s="11" t="n">
        <v>45838</v>
      </c>
      <c r="AA327" s="8" t="s">
        <v>357</v>
      </c>
      <c r="AB327" s="8" t="s">
        <v>329</v>
      </c>
      <c r="AC327" s="8"/>
      <c r="AD327" s="8" t="n">
        <v>59</v>
      </c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</row>
    <row r="328" customFormat="false" ht="15" hidden="false" customHeight="true" outlineLevel="0" collapsed="false">
      <c r="A328" s="8" t="n">
        <v>327</v>
      </c>
      <c r="B328" s="8" t="n">
        <v>51</v>
      </c>
      <c r="C328" s="8" t="s">
        <v>494</v>
      </c>
      <c r="D328" s="8" t="s">
        <v>315</v>
      </c>
      <c r="E328" s="9" t="s">
        <v>507</v>
      </c>
      <c r="F328" s="9" t="s">
        <v>319</v>
      </c>
      <c r="G328" s="8" t="s">
        <v>320</v>
      </c>
      <c r="H328" s="8" t="s">
        <v>290</v>
      </c>
      <c r="I328" s="8" t="s">
        <v>291</v>
      </c>
      <c r="J328" s="8" t="s">
        <v>292</v>
      </c>
      <c r="K328" s="8" t="s">
        <v>293</v>
      </c>
      <c r="L328" s="9" t="s">
        <v>294</v>
      </c>
      <c r="M328" s="8"/>
      <c r="N328" s="8" t="str">
        <f aca="true">IF(M328="","Active (per Notice 1)",IF(M328&lt;TODAY(),"Expired",IF(M328&lt;TODAY()+180,"Expiring Soon","Active")))</f>
        <v>Active (per Notice 1)</v>
      </c>
      <c r="O328" s="13" t="s">
        <v>292</v>
      </c>
      <c r="P328" s="8" t="s">
        <v>296</v>
      </c>
      <c r="Q328" s="8" t="n">
        <v>3.6</v>
      </c>
      <c r="R328" s="8" t="n">
        <v>4</v>
      </c>
      <c r="S328" s="11" t="n">
        <v>45604</v>
      </c>
      <c r="T328" s="8" t="str">
        <f aca="true">IF(S328="","",IF(EDATE(S328,60)&lt;TODAY(),"Expired",IF(EDATE(S328,60)&lt;TODAY()+180,"Expiring Soon","Valid")))</f>
        <v>Valid</v>
      </c>
      <c r="U328" s="8" t="str">
        <f aca="false">IF(P328="","",IF(P328="A++","Top Tier",IF(P328="A+","High",IF(P328="A","Strong",IF(LEFT(P328,1)="B","Acceptable",IF(LEFT(P328,1)="C","Below Avg","-"))))))</f>
        <v>Top Tier</v>
      </c>
      <c r="Y328" s="8" t="n">
        <v>3</v>
      </c>
      <c r="Z328" s="11" t="n">
        <v>45838</v>
      </c>
      <c r="AA328" s="8" t="s">
        <v>357</v>
      </c>
      <c r="AB328" s="8" t="s">
        <v>329</v>
      </c>
      <c r="AC328" s="8"/>
      <c r="AD328" s="8" t="n">
        <v>59</v>
      </c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</row>
    <row r="329" customFormat="false" ht="15" hidden="false" customHeight="true" outlineLevel="0" collapsed="false">
      <c r="A329" s="8" t="n">
        <v>328</v>
      </c>
      <c r="B329" s="8" t="n">
        <v>51</v>
      </c>
      <c r="C329" s="8" t="s">
        <v>494</v>
      </c>
      <c r="D329" s="8" t="s">
        <v>315</v>
      </c>
      <c r="E329" s="9" t="s">
        <v>507</v>
      </c>
      <c r="F329" s="9" t="s">
        <v>303</v>
      </c>
      <c r="G329" s="8" t="s">
        <v>304</v>
      </c>
      <c r="H329" s="8" t="s">
        <v>302</v>
      </c>
      <c r="I329" s="8" t="s">
        <v>291</v>
      </c>
      <c r="J329" s="8" t="s">
        <v>292</v>
      </c>
      <c r="K329" s="8" t="s">
        <v>293</v>
      </c>
      <c r="L329" s="9" t="s">
        <v>294</v>
      </c>
      <c r="M329" s="8"/>
      <c r="N329" s="8" t="str">
        <f aca="true">IF(M329="","Active (per Notice 1)",IF(M329&lt;TODAY(),"Expired",IF(M329&lt;TODAY()+180,"Expiring Soon","Active")))</f>
        <v>Active (per Notice 1)</v>
      </c>
      <c r="O329" s="13" t="s">
        <v>292</v>
      </c>
      <c r="P329" s="8" t="s">
        <v>296</v>
      </c>
      <c r="Q329" s="8" t="n">
        <v>3.6</v>
      </c>
      <c r="R329" s="8" t="n">
        <v>4</v>
      </c>
      <c r="S329" s="11" t="n">
        <v>45604</v>
      </c>
      <c r="T329" s="8" t="str">
        <f aca="true">IF(S329="","",IF(EDATE(S329,60)&lt;TODAY(),"Expired",IF(EDATE(S329,60)&lt;TODAY()+180,"Expiring Soon","Valid")))</f>
        <v>Valid</v>
      </c>
      <c r="U329" s="8" t="str">
        <f aca="false">IF(P329="","",IF(P329="A++","Top Tier",IF(P329="A+","High",IF(P329="A","Strong",IF(LEFT(P329,1)="B","Acceptable",IF(LEFT(P329,1)="C","Below Avg","-"))))))</f>
        <v>Top Tier</v>
      </c>
      <c r="Y329" s="8" t="n">
        <v>3</v>
      </c>
      <c r="Z329" s="11" t="n">
        <v>45838</v>
      </c>
      <c r="AA329" s="8" t="s">
        <v>357</v>
      </c>
      <c r="AB329" s="8" t="s">
        <v>329</v>
      </c>
      <c r="AC329" s="8"/>
      <c r="AD329" s="8" t="n">
        <v>59</v>
      </c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</row>
    <row r="330" customFormat="false" ht="15" hidden="false" customHeight="true" outlineLevel="0" collapsed="false">
      <c r="A330" s="8" t="n">
        <v>329</v>
      </c>
      <c r="B330" s="8" t="n">
        <v>51</v>
      </c>
      <c r="C330" s="8" t="s">
        <v>494</v>
      </c>
      <c r="D330" s="8" t="s">
        <v>315</v>
      </c>
      <c r="E330" s="9" t="s">
        <v>507</v>
      </c>
      <c r="F330" s="9" t="s">
        <v>306</v>
      </c>
      <c r="G330" s="8" t="s">
        <v>307</v>
      </c>
      <c r="H330" s="8" t="s">
        <v>302</v>
      </c>
      <c r="I330" s="8" t="s">
        <v>291</v>
      </c>
      <c r="J330" s="8" t="s">
        <v>292</v>
      </c>
      <c r="K330" s="8" t="s">
        <v>293</v>
      </c>
      <c r="L330" s="9" t="s">
        <v>294</v>
      </c>
      <c r="M330" s="8"/>
      <c r="N330" s="8" t="str">
        <f aca="true">IF(M330="","Active (per Notice 1)",IF(M330&lt;TODAY(),"Expired",IF(M330&lt;TODAY()+180,"Expiring Soon","Active")))</f>
        <v>Active (per Notice 1)</v>
      </c>
      <c r="O330" s="13" t="s">
        <v>292</v>
      </c>
      <c r="P330" s="8" t="s">
        <v>296</v>
      </c>
      <c r="Q330" s="8" t="n">
        <v>3.6</v>
      </c>
      <c r="R330" s="8" t="n">
        <v>4</v>
      </c>
      <c r="S330" s="11" t="n">
        <v>45604</v>
      </c>
      <c r="T330" s="8" t="str">
        <f aca="true">IF(S330="","",IF(EDATE(S330,60)&lt;TODAY(),"Expired",IF(EDATE(S330,60)&lt;TODAY()+180,"Expiring Soon","Valid")))</f>
        <v>Valid</v>
      </c>
      <c r="U330" s="8" t="str">
        <f aca="false">IF(P330="","",IF(P330="A++","Top Tier",IF(P330="A+","High",IF(P330="A","Strong",IF(LEFT(P330,1)="B","Acceptable",IF(LEFT(P330,1)="C","Below Avg","-"))))))</f>
        <v>Top Tier</v>
      </c>
      <c r="Y330" s="8" t="n">
        <v>3</v>
      </c>
      <c r="Z330" s="11" t="n">
        <v>45838</v>
      </c>
      <c r="AA330" s="8" t="s">
        <v>357</v>
      </c>
      <c r="AB330" s="8" t="s">
        <v>329</v>
      </c>
      <c r="AC330" s="8"/>
      <c r="AD330" s="8" t="n">
        <v>59</v>
      </c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</row>
    <row r="331" customFormat="false" ht="23.25" hidden="false" customHeight="true" outlineLevel="0" collapsed="false">
      <c r="A331" s="8" t="n">
        <v>330</v>
      </c>
      <c r="B331" s="8" t="n">
        <v>52</v>
      </c>
      <c r="C331" s="8" t="s">
        <v>494</v>
      </c>
      <c r="D331" s="8" t="s">
        <v>315</v>
      </c>
      <c r="E331" s="9" t="s">
        <v>508</v>
      </c>
      <c r="F331" s="9" t="s">
        <v>359</v>
      </c>
      <c r="G331" s="8" t="s">
        <v>289</v>
      </c>
      <c r="H331" s="8" t="s">
        <v>290</v>
      </c>
      <c r="I331" s="8" t="s">
        <v>291</v>
      </c>
      <c r="J331" s="8" t="s">
        <v>292</v>
      </c>
      <c r="K331" s="8" t="s">
        <v>293</v>
      </c>
      <c r="L331" s="9" t="s">
        <v>294</v>
      </c>
      <c r="M331" s="8"/>
      <c r="N331" s="8" t="str">
        <f aca="true">IF(M331="","Active (per Notice 1)",IF(M331&lt;TODAY(),"Expired",IF(M331&lt;TODAY()+180,"Expiring Soon","Active")))</f>
        <v>Active (per Notice 1)</v>
      </c>
      <c r="O331" s="10" t="s">
        <v>295</v>
      </c>
      <c r="P331" s="8" t="s">
        <v>296</v>
      </c>
      <c r="Q331" s="8" t="n">
        <v>3.78</v>
      </c>
      <c r="R331" s="8" t="n">
        <v>4</v>
      </c>
      <c r="S331" s="11" t="n">
        <v>45126</v>
      </c>
      <c r="T331" s="8" t="str">
        <f aca="true">IF(S331="","",IF(EDATE(S331,60)&lt;TODAY(),"Expired",IF(EDATE(S331,60)&lt;TODAY()+180,"Expiring Soon","Valid")))</f>
        <v>Valid</v>
      </c>
      <c r="U331" s="8" t="str">
        <f aca="false">IF(P331="","",IF(P331="A++","Top Tier",IF(P331="A+","High",IF(P331="A","Strong",IF(LEFT(P331,1)="B","Acceptable",IF(LEFT(P331,1)="C","Below Avg","-"))))))</f>
        <v>Top Tier</v>
      </c>
      <c r="AC331" s="8" t="n">
        <v>84</v>
      </c>
      <c r="AD331" s="8" t="n">
        <v>49</v>
      </c>
      <c r="AE331" s="8"/>
      <c r="AF331" s="8"/>
      <c r="AG331" s="8"/>
      <c r="AH331" s="8"/>
      <c r="AI331" s="8" t="n">
        <v>20</v>
      </c>
      <c r="AJ331" s="8" t="n">
        <v>36</v>
      </c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</row>
    <row r="332" customFormat="false" ht="23.25" hidden="false" customHeight="true" outlineLevel="0" collapsed="false">
      <c r="A332" s="8" t="n">
        <v>331</v>
      </c>
      <c r="B332" s="8" t="n">
        <v>52</v>
      </c>
      <c r="C332" s="8" t="s">
        <v>494</v>
      </c>
      <c r="D332" s="8" t="s">
        <v>315</v>
      </c>
      <c r="E332" s="9" t="s">
        <v>508</v>
      </c>
      <c r="F332" s="9" t="s">
        <v>317</v>
      </c>
      <c r="G332" s="8" t="s">
        <v>318</v>
      </c>
      <c r="H332" s="8" t="s">
        <v>290</v>
      </c>
      <c r="I332" s="8" t="s">
        <v>291</v>
      </c>
      <c r="J332" s="8" t="s">
        <v>292</v>
      </c>
      <c r="K332" s="8" t="s">
        <v>293</v>
      </c>
      <c r="L332" s="9" t="s">
        <v>294</v>
      </c>
      <c r="M332" s="8"/>
      <c r="N332" s="8" t="str">
        <f aca="true">IF(M332="","Active (per Notice 1)",IF(M332&lt;TODAY(),"Expired",IF(M332&lt;TODAY()+180,"Expiring Soon","Active")))</f>
        <v>Active (per Notice 1)</v>
      </c>
      <c r="O332" s="12" t="s">
        <v>305</v>
      </c>
      <c r="P332" s="8" t="s">
        <v>296</v>
      </c>
      <c r="Q332" s="8" t="n">
        <v>3.78</v>
      </c>
      <c r="R332" s="8" t="n">
        <v>4</v>
      </c>
      <c r="S332" s="11" t="n">
        <v>45126</v>
      </c>
      <c r="T332" s="8" t="str">
        <f aca="true">IF(S332="","",IF(EDATE(S332,60)&lt;TODAY(),"Expired",IF(EDATE(S332,60)&lt;TODAY()+180,"Expiring Soon","Valid")))</f>
        <v>Valid</v>
      </c>
      <c r="U332" s="8" t="str">
        <f aca="false">IF(P332="","",IF(P332="A++","Top Tier",IF(P332="A+","High",IF(P332="A","Strong",IF(LEFT(P332,1)="B","Acceptable",IF(LEFT(P332,1)="C","Below Avg","-"))))))</f>
        <v>Top Tier</v>
      </c>
      <c r="AC332" s="8" t="n">
        <v>84</v>
      </c>
      <c r="AD332" s="8" t="n">
        <v>49</v>
      </c>
      <c r="AE332" s="8"/>
      <c r="AF332" s="8"/>
      <c r="AG332" s="8"/>
      <c r="AH332" s="8"/>
      <c r="AI332" s="8" t="n">
        <v>20</v>
      </c>
      <c r="AJ332" s="8" t="n">
        <v>36</v>
      </c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</row>
    <row r="333" customFormat="false" ht="23.25" hidden="false" customHeight="true" outlineLevel="0" collapsed="false">
      <c r="A333" s="8" t="n">
        <v>332</v>
      </c>
      <c r="B333" s="8" t="n">
        <v>52</v>
      </c>
      <c r="C333" s="8" t="s">
        <v>494</v>
      </c>
      <c r="D333" s="8" t="s">
        <v>315</v>
      </c>
      <c r="E333" s="9" t="s">
        <v>508</v>
      </c>
      <c r="F333" s="9" t="s">
        <v>319</v>
      </c>
      <c r="G333" s="8" t="s">
        <v>320</v>
      </c>
      <c r="H333" s="8" t="s">
        <v>290</v>
      </c>
      <c r="I333" s="8" t="s">
        <v>291</v>
      </c>
      <c r="J333" s="8" t="s">
        <v>292</v>
      </c>
      <c r="K333" s="8" t="s">
        <v>293</v>
      </c>
      <c r="L333" s="9" t="s">
        <v>294</v>
      </c>
      <c r="M333" s="8"/>
      <c r="N333" s="8" t="str">
        <f aca="true">IF(M333="","Active (per Notice 1)",IF(M333&lt;TODAY(),"Expired",IF(M333&lt;TODAY()+180,"Expiring Soon","Active")))</f>
        <v>Active (per Notice 1)</v>
      </c>
      <c r="O333" s="12" t="s">
        <v>305</v>
      </c>
      <c r="P333" s="8" t="s">
        <v>296</v>
      </c>
      <c r="Q333" s="8" t="n">
        <v>3.78</v>
      </c>
      <c r="R333" s="8" t="n">
        <v>4</v>
      </c>
      <c r="S333" s="11" t="n">
        <v>45126</v>
      </c>
      <c r="T333" s="8" t="str">
        <f aca="true">IF(S333="","",IF(EDATE(S333,60)&lt;TODAY(),"Expired",IF(EDATE(S333,60)&lt;TODAY()+180,"Expiring Soon","Valid")))</f>
        <v>Valid</v>
      </c>
      <c r="U333" s="8" t="str">
        <f aca="false">IF(P333="","",IF(P333="A++","Top Tier",IF(P333="A+","High",IF(P333="A","Strong",IF(LEFT(P333,1)="B","Acceptable",IF(LEFT(P333,1)="C","Below Avg","-"))))))</f>
        <v>Top Tier</v>
      </c>
      <c r="AC333" s="8" t="n">
        <v>84</v>
      </c>
      <c r="AD333" s="8" t="n">
        <v>49</v>
      </c>
      <c r="AE333" s="8"/>
      <c r="AF333" s="8"/>
      <c r="AG333" s="8"/>
      <c r="AH333" s="8"/>
      <c r="AI333" s="8" t="n">
        <v>20</v>
      </c>
      <c r="AJ333" s="8" t="n">
        <v>36</v>
      </c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</row>
    <row r="334" customFormat="false" ht="23.25" hidden="false" customHeight="true" outlineLevel="0" collapsed="false">
      <c r="A334" s="8" t="n">
        <v>333</v>
      </c>
      <c r="B334" s="8" t="n">
        <v>52</v>
      </c>
      <c r="C334" s="8" t="s">
        <v>494</v>
      </c>
      <c r="D334" s="8" t="s">
        <v>315</v>
      </c>
      <c r="E334" s="9" t="s">
        <v>508</v>
      </c>
      <c r="F334" s="9" t="s">
        <v>306</v>
      </c>
      <c r="G334" s="8" t="s">
        <v>307</v>
      </c>
      <c r="H334" s="8" t="s">
        <v>302</v>
      </c>
      <c r="I334" s="8" t="s">
        <v>291</v>
      </c>
      <c r="J334" s="8" t="s">
        <v>292</v>
      </c>
      <c r="K334" s="8" t="s">
        <v>293</v>
      </c>
      <c r="L334" s="9" t="s">
        <v>294</v>
      </c>
      <c r="M334" s="8"/>
      <c r="N334" s="8" t="str">
        <f aca="true">IF(M334="","Active (per Notice 1)",IF(M334&lt;TODAY(),"Expired",IF(M334&lt;TODAY()+180,"Expiring Soon","Active")))</f>
        <v>Active (per Notice 1)</v>
      </c>
      <c r="O334" s="13" t="s">
        <v>292</v>
      </c>
      <c r="P334" s="8" t="s">
        <v>296</v>
      </c>
      <c r="Q334" s="8" t="n">
        <v>3.78</v>
      </c>
      <c r="R334" s="8" t="n">
        <v>4</v>
      </c>
      <c r="S334" s="11" t="n">
        <v>45126</v>
      </c>
      <c r="T334" s="8" t="str">
        <f aca="true">IF(S334="","",IF(EDATE(S334,60)&lt;TODAY(),"Expired",IF(EDATE(S334,60)&lt;TODAY()+180,"Expiring Soon","Valid")))</f>
        <v>Valid</v>
      </c>
      <c r="U334" s="8" t="str">
        <f aca="false">IF(P334="","",IF(P334="A++","Top Tier",IF(P334="A+","High",IF(P334="A","Strong",IF(LEFT(P334,1)="B","Acceptable",IF(LEFT(P334,1)="C","Below Avg","-"))))))</f>
        <v>Top Tier</v>
      </c>
      <c r="AC334" s="8" t="n">
        <v>84</v>
      </c>
      <c r="AD334" s="8" t="n">
        <v>49</v>
      </c>
      <c r="AE334" s="8"/>
      <c r="AF334" s="8"/>
      <c r="AG334" s="8"/>
      <c r="AH334" s="8"/>
      <c r="AI334" s="8" t="n">
        <v>20</v>
      </c>
      <c r="AJ334" s="8" t="n">
        <v>36</v>
      </c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</row>
    <row r="335" customFormat="false" ht="23.25" hidden="false" customHeight="true" outlineLevel="0" collapsed="false">
      <c r="A335" s="8" t="n">
        <v>334</v>
      </c>
      <c r="B335" s="8" t="n">
        <v>52</v>
      </c>
      <c r="C335" s="8" t="s">
        <v>494</v>
      </c>
      <c r="D335" s="8" t="s">
        <v>315</v>
      </c>
      <c r="E335" s="9" t="s">
        <v>508</v>
      </c>
      <c r="F335" s="9" t="s">
        <v>303</v>
      </c>
      <c r="G335" s="8" t="s">
        <v>304</v>
      </c>
      <c r="H335" s="8" t="s">
        <v>302</v>
      </c>
      <c r="I335" s="8" t="s">
        <v>291</v>
      </c>
      <c r="J335" s="8" t="s">
        <v>292</v>
      </c>
      <c r="K335" s="8" t="s">
        <v>293</v>
      </c>
      <c r="L335" s="9" t="s">
        <v>294</v>
      </c>
      <c r="M335" s="8"/>
      <c r="N335" s="8" t="str">
        <f aca="true">IF(M335="","Active (per Notice 1)",IF(M335&lt;TODAY(),"Expired",IF(M335&lt;TODAY()+180,"Expiring Soon","Active")))</f>
        <v>Active (per Notice 1)</v>
      </c>
      <c r="O335" s="13" t="s">
        <v>292</v>
      </c>
      <c r="P335" s="8" t="s">
        <v>296</v>
      </c>
      <c r="Q335" s="8" t="n">
        <v>3.78</v>
      </c>
      <c r="R335" s="8" t="n">
        <v>4</v>
      </c>
      <c r="S335" s="11" t="n">
        <v>45126</v>
      </c>
      <c r="T335" s="8" t="str">
        <f aca="true">IF(S335="","",IF(EDATE(S335,60)&lt;TODAY(),"Expired",IF(EDATE(S335,60)&lt;TODAY()+180,"Expiring Soon","Valid")))</f>
        <v>Valid</v>
      </c>
      <c r="U335" s="8" t="str">
        <f aca="false">IF(P335="","",IF(P335="A++","Top Tier",IF(P335="A+","High",IF(P335="A","Strong",IF(LEFT(P335,1)="B","Acceptable",IF(LEFT(P335,1)="C","Below Avg","-"))))))</f>
        <v>Top Tier</v>
      </c>
      <c r="AC335" s="8" t="n">
        <v>84</v>
      </c>
      <c r="AD335" s="8" t="n">
        <v>49</v>
      </c>
      <c r="AE335" s="8"/>
      <c r="AF335" s="8"/>
      <c r="AG335" s="8"/>
      <c r="AH335" s="8"/>
      <c r="AI335" s="8" t="n">
        <v>20</v>
      </c>
      <c r="AJ335" s="8" t="n">
        <v>36</v>
      </c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</row>
    <row r="336" customFormat="false" ht="15" hidden="false" customHeight="true" outlineLevel="0" collapsed="false">
      <c r="A336" s="8" t="n">
        <v>335</v>
      </c>
      <c r="B336" s="8" t="n">
        <v>53</v>
      </c>
      <c r="C336" s="8" t="s">
        <v>494</v>
      </c>
      <c r="D336" s="8" t="s">
        <v>286</v>
      </c>
      <c r="E336" s="9" t="s">
        <v>509</v>
      </c>
      <c r="F336" s="9" t="s">
        <v>300</v>
      </c>
      <c r="G336" s="8" t="s">
        <v>301</v>
      </c>
      <c r="H336" s="8" t="s">
        <v>302</v>
      </c>
      <c r="I336" s="8" t="s">
        <v>291</v>
      </c>
      <c r="J336" s="8" t="s">
        <v>292</v>
      </c>
      <c r="K336" s="8" t="s">
        <v>293</v>
      </c>
      <c r="L336" s="9" t="s">
        <v>294</v>
      </c>
      <c r="M336" s="8"/>
      <c r="N336" s="8" t="str">
        <f aca="true">IF(M336="","Active (per Notice 1)",IF(M336&lt;TODAY(),"Expired",IF(M336&lt;TODAY()+180,"Expiring Soon","Active")))</f>
        <v>Active (per Notice 1)</v>
      </c>
      <c r="O336" s="10" t="s">
        <v>295</v>
      </c>
      <c r="P336" s="8" t="s">
        <v>296</v>
      </c>
      <c r="Q336" s="8" t="n">
        <v>3.65</v>
      </c>
      <c r="R336" s="8" t="n">
        <v>3</v>
      </c>
      <c r="S336" s="11" t="n">
        <v>44439</v>
      </c>
      <c r="T336" s="8" t="str">
        <f aca="true">IF(S336="","",IF(EDATE(S336,60)&lt;TODAY(),"Expired",IF(EDATE(S336,60)&lt;TODAY()+180,"Expiring Soon","Valid")))</f>
        <v>Expiring Soon</v>
      </c>
      <c r="U336" s="8" t="str">
        <f aca="false">IF(P336="","",IF(P336="A++","Top Tier",IF(P336="A+","High",IF(P336="A","Strong",IF(LEFT(P336,1)="B","Acceptable",IF(LEFT(P336,1)="C","Below Avg","-"))))))</f>
        <v>Top Tier</v>
      </c>
      <c r="AC336" s="8" t="n">
        <v>92</v>
      </c>
      <c r="AD336" s="8" t="n">
        <v>54</v>
      </c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 t="n">
        <v>12</v>
      </c>
      <c r="AP336" s="8"/>
      <c r="AQ336" s="8"/>
      <c r="AR336" s="8"/>
      <c r="AS336" s="8"/>
      <c r="AT336" s="8"/>
      <c r="AU336" s="8"/>
    </row>
    <row r="337" customFormat="false" ht="23.25" hidden="false" customHeight="true" outlineLevel="0" collapsed="false">
      <c r="A337" s="8" t="n">
        <v>336</v>
      </c>
      <c r="B337" s="8" t="n">
        <v>54</v>
      </c>
      <c r="C337" s="8" t="s">
        <v>494</v>
      </c>
      <c r="D337" s="8" t="s">
        <v>315</v>
      </c>
      <c r="E337" s="9" t="s">
        <v>510</v>
      </c>
      <c r="F337" s="9" t="s">
        <v>317</v>
      </c>
      <c r="G337" s="8" t="s">
        <v>318</v>
      </c>
      <c r="H337" s="8" t="s">
        <v>290</v>
      </c>
      <c r="I337" s="8" t="s">
        <v>291</v>
      </c>
      <c r="J337" s="8" t="s">
        <v>292</v>
      </c>
      <c r="K337" s="8" t="s">
        <v>293</v>
      </c>
      <c r="L337" s="9" t="s">
        <v>294</v>
      </c>
      <c r="M337" s="8"/>
      <c r="N337" s="8" t="str">
        <f aca="true">IF(M337="","Active (per Notice 1)",IF(M337&lt;TODAY(),"Expired",IF(M337&lt;TODAY()+180,"Expiring Soon","Active")))</f>
        <v>Active (per Notice 1)</v>
      </c>
      <c r="O337" s="13" t="s">
        <v>292</v>
      </c>
      <c r="P337" s="8" t="s">
        <v>296</v>
      </c>
      <c r="Q337" s="8" t="n">
        <v>3.67</v>
      </c>
      <c r="R337" s="8" t="n">
        <v>4</v>
      </c>
      <c r="S337" s="11" t="n">
        <v>45836</v>
      </c>
      <c r="T337" s="8" t="str">
        <f aca="true">IF(S337="","",IF(EDATE(S337,60)&lt;TODAY(),"Expired",IF(EDATE(S337,60)&lt;TODAY()+180,"Expiring Soon","Valid")))</f>
        <v>Valid</v>
      </c>
      <c r="U337" s="8" t="str">
        <f aca="false">IF(P337="","",IF(P337="A++","Top Tier",IF(P337="A+","High",IF(P337="A","Strong",IF(LEFT(P337,1)="B","Acceptable",IF(LEFT(P337,1)="C","Below Avg","-"))))))</f>
        <v>Top Tier</v>
      </c>
      <c r="V337" s="8" t="s">
        <v>380</v>
      </c>
      <c r="W337" s="9" t="s">
        <v>511</v>
      </c>
      <c r="X337" s="14" t="s">
        <v>512</v>
      </c>
      <c r="Y337" s="8" t="n">
        <v>4</v>
      </c>
      <c r="Z337" s="11" t="n">
        <v>46568</v>
      </c>
      <c r="AA337" s="8" t="s">
        <v>328</v>
      </c>
      <c r="AB337" s="8" t="s">
        <v>329</v>
      </c>
      <c r="AC337" s="8" t="n">
        <v>95</v>
      </c>
      <c r="AD337" s="8" t="n">
        <v>52</v>
      </c>
      <c r="AE337" s="8"/>
      <c r="AF337" s="8"/>
      <c r="AG337" s="8" t="n">
        <v>24</v>
      </c>
      <c r="AH337" s="8" t="n">
        <v>11</v>
      </c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</row>
    <row r="338" customFormat="false" ht="23.25" hidden="false" customHeight="true" outlineLevel="0" collapsed="false">
      <c r="A338" s="8" t="n">
        <v>337</v>
      </c>
      <c r="B338" s="8" t="n">
        <v>54</v>
      </c>
      <c r="C338" s="8" t="s">
        <v>494</v>
      </c>
      <c r="D338" s="8" t="s">
        <v>315</v>
      </c>
      <c r="E338" s="9" t="s">
        <v>510</v>
      </c>
      <c r="F338" s="9" t="s">
        <v>299</v>
      </c>
      <c r="G338" s="8" t="s">
        <v>289</v>
      </c>
      <c r="H338" s="8" t="s">
        <v>290</v>
      </c>
      <c r="I338" s="8" t="s">
        <v>291</v>
      </c>
      <c r="J338" s="8" t="s">
        <v>292</v>
      </c>
      <c r="K338" s="8" t="s">
        <v>293</v>
      </c>
      <c r="L338" s="9" t="s">
        <v>294</v>
      </c>
      <c r="M338" s="8"/>
      <c r="N338" s="8" t="str">
        <f aca="true">IF(M338="","Active (per Notice 1)",IF(M338&lt;TODAY(),"Expired",IF(M338&lt;TODAY()+180,"Expiring Soon","Active")))</f>
        <v>Active (per Notice 1)</v>
      </c>
      <c r="O338" s="10" t="s">
        <v>295</v>
      </c>
      <c r="P338" s="8" t="s">
        <v>296</v>
      </c>
      <c r="Q338" s="8" t="n">
        <v>3.67</v>
      </c>
      <c r="R338" s="8" t="n">
        <v>4</v>
      </c>
      <c r="S338" s="11" t="n">
        <v>45836</v>
      </c>
      <c r="T338" s="8" t="str">
        <f aca="true">IF(S338="","",IF(EDATE(S338,60)&lt;TODAY(),"Expired",IF(EDATE(S338,60)&lt;TODAY()+180,"Expiring Soon","Valid")))</f>
        <v>Valid</v>
      </c>
      <c r="U338" s="8" t="str">
        <f aca="false">IF(P338="","",IF(P338="A++","Top Tier",IF(P338="A+","High",IF(P338="A","Strong",IF(LEFT(P338,1)="B","Acceptable",IF(LEFT(P338,1)="C","Below Avg","-"))))))</f>
        <v>Top Tier</v>
      </c>
      <c r="V338" s="8" t="s">
        <v>440</v>
      </c>
      <c r="Y338" s="8" t="n">
        <v>4</v>
      </c>
      <c r="Z338" s="11" t="n">
        <v>46568</v>
      </c>
      <c r="AA338" s="8" t="s">
        <v>328</v>
      </c>
      <c r="AB338" s="8" t="s">
        <v>329</v>
      </c>
      <c r="AC338" s="8" t="n">
        <v>95</v>
      </c>
      <c r="AD338" s="8" t="n">
        <v>52</v>
      </c>
      <c r="AE338" s="8"/>
      <c r="AF338" s="8"/>
      <c r="AG338" s="8" t="n">
        <v>24</v>
      </c>
      <c r="AH338" s="8" t="n">
        <v>11</v>
      </c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</row>
    <row r="339" customFormat="false" ht="23.25" hidden="false" customHeight="true" outlineLevel="0" collapsed="false">
      <c r="A339" s="8" t="n">
        <v>338</v>
      </c>
      <c r="B339" s="8" t="n">
        <v>54</v>
      </c>
      <c r="C339" s="8" t="s">
        <v>494</v>
      </c>
      <c r="D339" s="8" t="s">
        <v>315</v>
      </c>
      <c r="E339" s="9" t="s">
        <v>510</v>
      </c>
      <c r="F339" s="9" t="s">
        <v>513</v>
      </c>
      <c r="G339" s="8" t="s">
        <v>304</v>
      </c>
      <c r="H339" s="8" t="s">
        <v>302</v>
      </c>
      <c r="I339" s="8" t="s">
        <v>291</v>
      </c>
      <c r="J339" s="8" t="s">
        <v>292</v>
      </c>
      <c r="K339" s="8" t="s">
        <v>293</v>
      </c>
      <c r="L339" s="9" t="s">
        <v>294</v>
      </c>
      <c r="M339" s="8"/>
      <c r="N339" s="8" t="str">
        <f aca="true">IF(M339="","Active (per Notice 1)",IF(M339&lt;TODAY(),"Expired",IF(M339&lt;TODAY()+180,"Expiring Soon","Active")))</f>
        <v>Active (per Notice 1)</v>
      </c>
      <c r="O339" s="13" t="s">
        <v>292</v>
      </c>
      <c r="P339" s="8" t="s">
        <v>296</v>
      </c>
      <c r="Q339" s="8" t="n">
        <v>3.67</v>
      </c>
      <c r="R339" s="8" t="n">
        <v>4</v>
      </c>
      <c r="S339" s="11" t="n">
        <v>45836</v>
      </c>
      <c r="T339" s="8" t="str">
        <f aca="true">IF(S339="","",IF(EDATE(S339,60)&lt;TODAY(),"Expired",IF(EDATE(S339,60)&lt;TODAY()+180,"Expiring Soon","Valid")))</f>
        <v>Valid</v>
      </c>
      <c r="U339" s="8" t="str">
        <f aca="false">IF(P339="","",IF(P339="A++","Top Tier",IF(P339="A+","High",IF(P339="A","Strong",IF(LEFT(P339,1)="B","Acceptable",IF(LEFT(P339,1)="C","Below Avg","-"))))))</f>
        <v>Top Tier</v>
      </c>
      <c r="V339" s="8" t="s">
        <v>380</v>
      </c>
      <c r="W339" s="9" t="s">
        <v>511</v>
      </c>
      <c r="X339" s="14" t="s">
        <v>512</v>
      </c>
      <c r="Y339" s="8" t="n">
        <v>4</v>
      </c>
      <c r="Z339" s="11" t="n">
        <v>46568</v>
      </c>
      <c r="AA339" s="8" t="s">
        <v>328</v>
      </c>
      <c r="AB339" s="8" t="s">
        <v>329</v>
      </c>
      <c r="AC339" s="8" t="n">
        <v>95</v>
      </c>
      <c r="AD339" s="8" t="n">
        <v>52</v>
      </c>
      <c r="AE339" s="8"/>
      <c r="AF339" s="8"/>
      <c r="AG339" s="8" t="n">
        <v>24</v>
      </c>
      <c r="AH339" s="8" t="n">
        <v>11</v>
      </c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</row>
    <row r="340" customFormat="false" ht="23.25" hidden="false" customHeight="true" outlineLevel="0" collapsed="false">
      <c r="A340" s="8" t="n">
        <v>339</v>
      </c>
      <c r="B340" s="8" t="n">
        <v>54</v>
      </c>
      <c r="C340" s="8" t="s">
        <v>494</v>
      </c>
      <c r="D340" s="8" t="s">
        <v>315</v>
      </c>
      <c r="E340" s="9" t="s">
        <v>510</v>
      </c>
      <c r="F340" s="9" t="s">
        <v>303</v>
      </c>
      <c r="G340" s="8" t="s">
        <v>304</v>
      </c>
      <c r="H340" s="8" t="s">
        <v>302</v>
      </c>
      <c r="I340" s="8" t="s">
        <v>291</v>
      </c>
      <c r="J340" s="8" t="s">
        <v>292</v>
      </c>
      <c r="K340" s="8" t="s">
        <v>293</v>
      </c>
      <c r="L340" s="9" t="s">
        <v>294</v>
      </c>
      <c r="M340" s="8"/>
      <c r="N340" s="8" t="str">
        <f aca="true">IF(M340="","Active (per Notice 1)",IF(M340&lt;TODAY(),"Expired",IF(M340&lt;TODAY()+180,"Expiring Soon","Active")))</f>
        <v>Active (per Notice 1)</v>
      </c>
      <c r="O340" s="13" t="s">
        <v>292</v>
      </c>
      <c r="P340" s="8" t="s">
        <v>296</v>
      </c>
      <c r="Q340" s="8" t="n">
        <v>3.67</v>
      </c>
      <c r="R340" s="8" t="n">
        <v>4</v>
      </c>
      <c r="S340" s="11" t="n">
        <v>45836</v>
      </c>
      <c r="T340" s="8" t="str">
        <f aca="true">IF(S340="","",IF(EDATE(S340,60)&lt;TODAY(),"Expired",IF(EDATE(S340,60)&lt;TODAY()+180,"Expiring Soon","Valid")))</f>
        <v>Valid</v>
      </c>
      <c r="U340" s="8" t="str">
        <f aca="false">IF(P340="","",IF(P340="A++","Top Tier",IF(P340="A+","High",IF(P340="A","Strong",IF(LEFT(P340,1)="B","Acceptable",IF(LEFT(P340,1)="C","Below Avg","-"))))))</f>
        <v>Top Tier</v>
      </c>
      <c r="V340" s="8" t="s">
        <v>380</v>
      </c>
      <c r="W340" s="9" t="s">
        <v>511</v>
      </c>
      <c r="X340" s="14" t="s">
        <v>512</v>
      </c>
      <c r="Y340" s="8" t="n">
        <v>4</v>
      </c>
      <c r="Z340" s="11" t="n">
        <v>46568</v>
      </c>
      <c r="AA340" s="8" t="s">
        <v>328</v>
      </c>
      <c r="AB340" s="8" t="s">
        <v>329</v>
      </c>
      <c r="AC340" s="8" t="n">
        <v>95</v>
      </c>
      <c r="AD340" s="8" t="n">
        <v>52</v>
      </c>
      <c r="AE340" s="8"/>
      <c r="AF340" s="8"/>
      <c r="AG340" s="8" t="n">
        <v>24</v>
      </c>
      <c r="AH340" s="8" t="n">
        <v>11</v>
      </c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</row>
    <row r="341" customFormat="false" ht="15" hidden="false" customHeight="true" outlineLevel="0" collapsed="false">
      <c r="A341" s="8" t="n">
        <v>340</v>
      </c>
      <c r="B341" s="8" t="n">
        <v>55</v>
      </c>
      <c r="C341" s="8" t="s">
        <v>494</v>
      </c>
      <c r="D341" s="8" t="s">
        <v>286</v>
      </c>
      <c r="E341" s="9" t="s">
        <v>514</v>
      </c>
      <c r="F341" s="9" t="s">
        <v>303</v>
      </c>
      <c r="G341" s="8" t="s">
        <v>304</v>
      </c>
      <c r="H341" s="8" t="s">
        <v>302</v>
      </c>
      <c r="I341" s="8" t="s">
        <v>291</v>
      </c>
      <c r="J341" s="8" t="s">
        <v>292</v>
      </c>
      <c r="K341" s="8" t="s">
        <v>293</v>
      </c>
      <c r="L341" s="9" t="s">
        <v>294</v>
      </c>
      <c r="M341" s="8"/>
      <c r="N341" s="8" t="str">
        <f aca="true">IF(M341="","Active (per Notice 1)",IF(M341&lt;TODAY(),"Expired",IF(M341&lt;TODAY()+180,"Expiring Soon","Active")))</f>
        <v>Active (per Notice 1)</v>
      </c>
      <c r="O341" s="12" t="s">
        <v>305</v>
      </c>
      <c r="P341" s="8" t="s">
        <v>296</v>
      </c>
      <c r="Q341" s="8" t="n">
        <v>3.52</v>
      </c>
      <c r="R341" s="8" t="n">
        <v>4</v>
      </c>
      <c r="S341" s="11" t="n">
        <v>44286</v>
      </c>
      <c r="T341" s="8" t="str">
        <f aca="true">IF(S341="","",IF(EDATE(S341,60)&lt;TODAY(),"Expired",IF(EDATE(S341,60)&lt;TODAY()+180,"Expiring Soon","Valid")))</f>
        <v>Expired</v>
      </c>
      <c r="U341" s="8" t="str">
        <f aca="false">IF(P341="","",IF(P341="A++","Top Tier",IF(P341="A+","High",IF(P341="A","Strong",IF(LEFT(P341,1)="B","Acceptable",IF(LEFT(P341,1)="C","Below Avg","-"))))))</f>
        <v>Top Tier</v>
      </c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 t="n">
        <v>45</v>
      </c>
      <c r="AP341" s="8"/>
      <c r="AQ341" s="8"/>
      <c r="AR341" s="8"/>
      <c r="AS341" s="8"/>
      <c r="AT341" s="8"/>
      <c r="AU341" s="8"/>
    </row>
    <row r="342" customFormat="false" ht="15" hidden="false" customHeight="true" outlineLevel="0" collapsed="false">
      <c r="A342" s="8" t="n">
        <v>341</v>
      </c>
      <c r="B342" s="8" t="n">
        <v>55</v>
      </c>
      <c r="C342" s="8" t="s">
        <v>494</v>
      </c>
      <c r="D342" s="8" t="s">
        <v>286</v>
      </c>
      <c r="E342" s="9" t="s">
        <v>514</v>
      </c>
      <c r="F342" s="9" t="s">
        <v>308</v>
      </c>
      <c r="G342" s="8" t="s">
        <v>309</v>
      </c>
      <c r="H342" s="8" t="s">
        <v>302</v>
      </c>
      <c r="I342" s="8" t="s">
        <v>291</v>
      </c>
      <c r="J342" s="8" t="s">
        <v>292</v>
      </c>
      <c r="K342" s="8" t="s">
        <v>293</v>
      </c>
      <c r="L342" s="9" t="s">
        <v>294</v>
      </c>
      <c r="M342" s="8"/>
      <c r="N342" s="8" t="str">
        <f aca="true">IF(M342="","Active (per Notice 1)",IF(M342&lt;TODAY(),"Expired",IF(M342&lt;TODAY()+180,"Expiring Soon","Active")))</f>
        <v>Active (per Notice 1)</v>
      </c>
      <c r="O342" s="10" t="s">
        <v>295</v>
      </c>
      <c r="P342" s="8" t="s">
        <v>296</v>
      </c>
      <c r="Q342" s="8" t="n">
        <v>3.52</v>
      </c>
      <c r="R342" s="8" t="n">
        <v>4</v>
      </c>
      <c r="S342" s="11" t="n">
        <v>44286</v>
      </c>
      <c r="T342" s="8" t="str">
        <f aca="true">IF(S342="","",IF(EDATE(S342,60)&lt;TODAY(),"Expired",IF(EDATE(S342,60)&lt;TODAY()+180,"Expiring Soon","Valid")))</f>
        <v>Expired</v>
      </c>
      <c r="U342" s="8" t="str">
        <f aca="false">IF(P342="","",IF(P342="A++","Top Tier",IF(P342="A+","High",IF(P342="A","Strong",IF(LEFT(P342,1)="B","Acceptable",IF(LEFT(P342,1)="C","Below Avg","-"))))))</f>
        <v>Top Tier</v>
      </c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 t="n">
        <v>45</v>
      </c>
      <c r="AP342" s="8"/>
      <c r="AQ342" s="8"/>
      <c r="AR342" s="8"/>
      <c r="AS342" s="8"/>
      <c r="AT342" s="8"/>
      <c r="AU342" s="8"/>
    </row>
    <row r="343" customFormat="false" ht="15" hidden="false" customHeight="true" outlineLevel="0" collapsed="false">
      <c r="A343" s="8" t="n">
        <v>342</v>
      </c>
      <c r="B343" s="8" t="n">
        <v>55</v>
      </c>
      <c r="C343" s="8" t="s">
        <v>494</v>
      </c>
      <c r="D343" s="8" t="s">
        <v>286</v>
      </c>
      <c r="E343" s="9" t="s">
        <v>514</v>
      </c>
      <c r="F343" s="9" t="s">
        <v>385</v>
      </c>
      <c r="G343" s="8" t="s">
        <v>386</v>
      </c>
      <c r="H343" s="8" t="s">
        <v>302</v>
      </c>
      <c r="I343" s="8" t="s">
        <v>291</v>
      </c>
      <c r="J343" s="8" t="s">
        <v>292</v>
      </c>
      <c r="K343" s="8" t="s">
        <v>293</v>
      </c>
      <c r="L343" s="9" t="s">
        <v>294</v>
      </c>
      <c r="M343" s="8"/>
      <c r="N343" s="8" t="str">
        <f aca="true">IF(M343="","Active (per Notice 1)",IF(M343&lt;TODAY(),"Expired",IF(M343&lt;TODAY()+180,"Expiring Soon","Active")))</f>
        <v>Active (per Notice 1)</v>
      </c>
      <c r="O343" s="10" t="s">
        <v>295</v>
      </c>
      <c r="P343" s="8" t="s">
        <v>296</v>
      </c>
      <c r="Q343" s="8" t="n">
        <v>3.52</v>
      </c>
      <c r="R343" s="8" t="n">
        <v>4</v>
      </c>
      <c r="S343" s="11" t="n">
        <v>44286</v>
      </c>
      <c r="T343" s="8" t="str">
        <f aca="true">IF(S343="","",IF(EDATE(S343,60)&lt;TODAY(),"Expired",IF(EDATE(S343,60)&lt;TODAY()+180,"Expiring Soon","Valid")))</f>
        <v>Expired</v>
      </c>
      <c r="U343" s="8" t="str">
        <f aca="false">IF(P343="","",IF(P343="A++","Top Tier",IF(P343="A+","High",IF(P343="A","Strong",IF(LEFT(P343,1)="B","Acceptable",IF(LEFT(P343,1)="C","Below Avg","-"))))))</f>
        <v>Top Tier</v>
      </c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 t="n">
        <v>45</v>
      </c>
      <c r="AP343" s="8"/>
      <c r="AQ343" s="8"/>
      <c r="AR343" s="8"/>
      <c r="AS343" s="8"/>
      <c r="AT343" s="8"/>
      <c r="AU343" s="8"/>
    </row>
    <row r="344" customFormat="false" ht="15" hidden="false" customHeight="true" outlineLevel="0" collapsed="false">
      <c r="A344" s="8" t="n">
        <v>343</v>
      </c>
      <c r="B344" s="8" t="n">
        <v>56</v>
      </c>
      <c r="C344" s="8" t="s">
        <v>494</v>
      </c>
      <c r="D344" s="8" t="s">
        <v>286</v>
      </c>
      <c r="E344" s="9" t="s">
        <v>515</v>
      </c>
      <c r="F344" s="9" t="s">
        <v>317</v>
      </c>
      <c r="G344" s="8" t="s">
        <v>318</v>
      </c>
      <c r="H344" s="8" t="s">
        <v>290</v>
      </c>
      <c r="I344" s="8" t="s">
        <v>291</v>
      </c>
      <c r="J344" s="8" t="s">
        <v>292</v>
      </c>
      <c r="K344" s="8" t="s">
        <v>293</v>
      </c>
      <c r="L344" s="9" t="s">
        <v>294</v>
      </c>
      <c r="M344" s="8"/>
      <c r="N344" s="8" t="str">
        <f aca="true">IF(M344="","Active (per Notice 1)",IF(M344&lt;TODAY(),"Expired",IF(M344&lt;TODAY()+180,"Expiring Soon","Active")))</f>
        <v>Active (per Notice 1)</v>
      </c>
      <c r="O344" s="12" t="s">
        <v>305</v>
      </c>
      <c r="P344" s="8"/>
      <c r="Q344" s="8"/>
      <c r="AC344" s="8" t="n">
        <v>91</v>
      </c>
      <c r="AD344" s="8" t="n">
        <v>56</v>
      </c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 t="n">
        <v>11</v>
      </c>
      <c r="AP344" s="8"/>
      <c r="AQ344" s="8"/>
      <c r="AR344" s="8"/>
      <c r="AS344" s="8"/>
      <c r="AT344" s="8"/>
      <c r="AU344" s="8"/>
    </row>
    <row r="345" customFormat="false" ht="15" hidden="false" customHeight="true" outlineLevel="0" collapsed="false">
      <c r="A345" s="8" t="n">
        <v>344</v>
      </c>
      <c r="B345" s="8" t="n">
        <v>56</v>
      </c>
      <c r="C345" s="8" t="s">
        <v>494</v>
      </c>
      <c r="D345" s="8" t="s">
        <v>286</v>
      </c>
      <c r="E345" s="9" t="s">
        <v>515</v>
      </c>
      <c r="F345" s="9" t="s">
        <v>319</v>
      </c>
      <c r="G345" s="8" t="s">
        <v>320</v>
      </c>
      <c r="H345" s="8" t="s">
        <v>290</v>
      </c>
      <c r="I345" s="8" t="s">
        <v>291</v>
      </c>
      <c r="J345" s="8" t="s">
        <v>292</v>
      </c>
      <c r="K345" s="8" t="s">
        <v>293</v>
      </c>
      <c r="L345" s="9" t="s">
        <v>294</v>
      </c>
      <c r="M345" s="8"/>
      <c r="N345" s="8" t="str">
        <f aca="true">IF(M345="","Active (per Notice 1)",IF(M345&lt;TODAY(),"Expired",IF(M345&lt;TODAY()+180,"Expiring Soon","Active")))</f>
        <v>Active (per Notice 1)</v>
      </c>
      <c r="O345" s="12" t="s">
        <v>305</v>
      </c>
      <c r="P345" s="8"/>
      <c r="Q345" s="8"/>
      <c r="AC345" s="8" t="n">
        <v>91</v>
      </c>
      <c r="AD345" s="8" t="n">
        <v>56</v>
      </c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 t="n">
        <v>11</v>
      </c>
      <c r="AP345" s="8"/>
      <c r="AQ345" s="8"/>
      <c r="AR345" s="8"/>
      <c r="AS345" s="8"/>
      <c r="AT345" s="8"/>
      <c r="AU345" s="8"/>
    </row>
    <row r="346" customFormat="false" ht="15" hidden="false" customHeight="true" outlineLevel="0" collapsed="false">
      <c r="A346" s="8" t="n">
        <v>345</v>
      </c>
      <c r="B346" s="8" t="n">
        <v>56</v>
      </c>
      <c r="C346" s="8" t="s">
        <v>494</v>
      </c>
      <c r="D346" s="8" t="s">
        <v>286</v>
      </c>
      <c r="E346" s="9" t="s">
        <v>515</v>
      </c>
      <c r="F346" s="9" t="s">
        <v>308</v>
      </c>
      <c r="G346" s="8" t="s">
        <v>309</v>
      </c>
      <c r="H346" s="8" t="s">
        <v>302</v>
      </c>
      <c r="I346" s="8" t="s">
        <v>291</v>
      </c>
      <c r="J346" s="8" t="s">
        <v>292</v>
      </c>
      <c r="K346" s="8" t="s">
        <v>293</v>
      </c>
      <c r="L346" s="9" t="s">
        <v>294</v>
      </c>
      <c r="M346" s="8"/>
      <c r="N346" s="8" t="str">
        <f aca="true">IF(M346="","Active (per Notice 1)",IF(M346&lt;TODAY(),"Expired",IF(M346&lt;TODAY()+180,"Expiring Soon","Active")))</f>
        <v>Active (per Notice 1)</v>
      </c>
      <c r="O346" s="10" t="s">
        <v>295</v>
      </c>
      <c r="P346" s="8"/>
      <c r="Q346" s="8"/>
      <c r="AC346" s="8" t="n">
        <v>91</v>
      </c>
      <c r="AD346" s="8" t="n">
        <v>56</v>
      </c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 t="n">
        <v>11</v>
      </c>
      <c r="AP346" s="8"/>
      <c r="AQ346" s="8"/>
      <c r="AR346" s="8"/>
      <c r="AS346" s="8"/>
      <c r="AT346" s="8"/>
      <c r="AU346" s="8"/>
    </row>
    <row r="347" customFormat="false" ht="15" hidden="false" customHeight="true" outlineLevel="0" collapsed="false">
      <c r="A347" s="8" t="n">
        <v>346</v>
      </c>
      <c r="B347" s="8" t="n">
        <v>56</v>
      </c>
      <c r="C347" s="8" t="s">
        <v>494</v>
      </c>
      <c r="D347" s="8" t="s">
        <v>286</v>
      </c>
      <c r="E347" s="9" t="s">
        <v>515</v>
      </c>
      <c r="F347" s="9" t="s">
        <v>303</v>
      </c>
      <c r="G347" s="8" t="s">
        <v>304</v>
      </c>
      <c r="H347" s="8" t="s">
        <v>302</v>
      </c>
      <c r="I347" s="8" t="s">
        <v>291</v>
      </c>
      <c r="J347" s="8" t="s">
        <v>292</v>
      </c>
      <c r="K347" s="8" t="s">
        <v>293</v>
      </c>
      <c r="L347" s="9" t="s">
        <v>294</v>
      </c>
      <c r="M347" s="8"/>
      <c r="N347" s="8" t="str">
        <f aca="true">IF(M347="","Active (per Notice 1)",IF(M347&lt;TODAY(),"Expired",IF(M347&lt;TODAY()+180,"Expiring Soon","Active")))</f>
        <v>Active (per Notice 1)</v>
      </c>
      <c r="O347" s="12" t="s">
        <v>305</v>
      </c>
      <c r="P347" s="8"/>
      <c r="Q347" s="8"/>
      <c r="AC347" s="8" t="n">
        <v>91</v>
      </c>
      <c r="AD347" s="8" t="n">
        <v>56</v>
      </c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 t="n">
        <v>11</v>
      </c>
      <c r="AP347" s="8"/>
      <c r="AQ347" s="8"/>
      <c r="AR347" s="8"/>
      <c r="AS347" s="8"/>
      <c r="AT347" s="8"/>
      <c r="AU347" s="8"/>
    </row>
    <row r="348" customFormat="false" ht="15" hidden="false" customHeight="true" outlineLevel="0" collapsed="false">
      <c r="A348" s="8" t="n">
        <v>347</v>
      </c>
      <c r="B348" s="8" t="n">
        <v>56</v>
      </c>
      <c r="C348" s="8" t="s">
        <v>494</v>
      </c>
      <c r="D348" s="8" t="s">
        <v>286</v>
      </c>
      <c r="E348" s="9" t="s">
        <v>515</v>
      </c>
      <c r="F348" s="9" t="s">
        <v>306</v>
      </c>
      <c r="G348" s="8" t="s">
        <v>307</v>
      </c>
      <c r="H348" s="8" t="s">
        <v>302</v>
      </c>
      <c r="I348" s="8" t="s">
        <v>291</v>
      </c>
      <c r="J348" s="8" t="s">
        <v>292</v>
      </c>
      <c r="K348" s="8" t="s">
        <v>293</v>
      </c>
      <c r="L348" s="9" t="s">
        <v>294</v>
      </c>
      <c r="M348" s="8"/>
      <c r="N348" s="8" t="str">
        <f aca="true">IF(M348="","Active (per Notice 1)",IF(M348&lt;TODAY(),"Expired",IF(M348&lt;TODAY()+180,"Expiring Soon","Active")))</f>
        <v>Active (per Notice 1)</v>
      </c>
      <c r="O348" s="12" t="s">
        <v>305</v>
      </c>
      <c r="P348" s="8"/>
      <c r="Q348" s="8"/>
      <c r="AC348" s="8" t="n">
        <v>91</v>
      </c>
      <c r="AD348" s="8" t="n">
        <v>56</v>
      </c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 t="n">
        <v>11</v>
      </c>
      <c r="AP348" s="8"/>
      <c r="AQ348" s="8"/>
      <c r="AR348" s="8"/>
      <c r="AS348" s="8"/>
      <c r="AT348" s="8"/>
      <c r="AU348" s="8"/>
    </row>
    <row r="349" customFormat="false" ht="15" hidden="false" customHeight="true" outlineLevel="0" collapsed="false">
      <c r="A349" s="8" t="n">
        <v>348</v>
      </c>
      <c r="B349" s="8" t="n">
        <v>57</v>
      </c>
      <c r="C349" s="8" t="s">
        <v>516</v>
      </c>
      <c r="D349" s="8" t="s">
        <v>338</v>
      </c>
      <c r="E349" s="9" t="s">
        <v>517</v>
      </c>
      <c r="F349" s="9" t="s">
        <v>360</v>
      </c>
      <c r="G349" s="8" t="s">
        <v>301</v>
      </c>
      <c r="H349" s="8" t="s">
        <v>302</v>
      </c>
      <c r="I349" s="8" t="s">
        <v>291</v>
      </c>
      <c r="J349" s="8" t="s">
        <v>292</v>
      </c>
      <c r="K349" s="8" t="s">
        <v>293</v>
      </c>
      <c r="L349" s="9" t="s">
        <v>294</v>
      </c>
      <c r="M349" s="8"/>
      <c r="N349" s="8" t="str">
        <f aca="true">IF(M349="","Active (per Notice 1)",IF(M349&lt;TODAY(),"Expired",IF(M349&lt;TODAY()+180,"Expiring Soon","Active")))</f>
        <v>Active (per Notice 1)</v>
      </c>
      <c r="O349" s="10" t="s">
        <v>295</v>
      </c>
      <c r="P349" s="8" t="s">
        <v>327</v>
      </c>
      <c r="Q349" s="8" t="n">
        <v>3.3</v>
      </c>
      <c r="R349" s="8" t="n">
        <v>3</v>
      </c>
      <c r="S349" s="11" t="n">
        <v>45836</v>
      </c>
      <c r="T349" s="8" t="str">
        <f aca="true">IF(S349="","",IF(EDATE(S349,60)&lt;TODAY(),"Expired",IF(EDATE(S349,60)&lt;TODAY()+180,"Expiring Soon","Valid")))</f>
        <v>Valid</v>
      </c>
      <c r="U349" s="8" t="str">
        <f aca="false">IF(P349="","",IF(P349="A++","Top Tier",IF(P349="A+","High",IF(P349="A","Strong",IF(LEFT(P349,1)="B","Acceptable",IF(LEFT(P349,1)="C","Below Avg","-"))))))</f>
        <v>High</v>
      </c>
      <c r="AC349" s="8"/>
      <c r="AD349" s="8" t="n">
        <v>82</v>
      </c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</row>
    <row r="350" customFormat="false" ht="15" hidden="false" customHeight="true" outlineLevel="0" collapsed="false">
      <c r="A350" s="8" t="n">
        <v>349</v>
      </c>
      <c r="B350" s="8" t="n">
        <v>57</v>
      </c>
      <c r="C350" s="8" t="s">
        <v>516</v>
      </c>
      <c r="D350" s="8" t="s">
        <v>338</v>
      </c>
      <c r="E350" s="9" t="s">
        <v>517</v>
      </c>
      <c r="F350" s="9" t="s">
        <v>322</v>
      </c>
      <c r="G350" s="8" t="s">
        <v>304</v>
      </c>
      <c r="H350" s="8" t="s">
        <v>302</v>
      </c>
      <c r="I350" s="8" t="s">
        <v>291</v>
      </c>
      <c r="J350" s="8" t="s">
        <v>292</v>
      </c>
      <c r="K350" s="8" t="s">
        <v>293</v>
      </c>
      <c r="L350" s="9" t="s">
        <v>294</v>
      </c>
      <c r="M350" s="8"/>
      <c r="N350" s="8" t="str">
        <f aca="true">IF(M350="","Active (per Notice 1)",IF(M350&lt;TODAY(),"Expired",IF(M350&lt;TODAY()+180,"Expiring Soon","Active")))</f>
        <v>Active (per Notice 1)</v>
      </c>
      <c r="O350" s="12" t="s">
        <v>305</v>
      </c>
      <c r="P350" s="8" t="s">
        <v>327</v>
      </c>
      <c r="Q350" s="8" t="n">
        <v>3.3</v>
      </c>
      <c r="R350" s="8" t="n">
        <v>3</v>
      </c>
      <c r="S350" s="11" t="n">
        <v>45836</v>
      </c>
      <c r="T350" s="8" t="str">
        <f aca="true">IF(S350="","",IF(EDATE(S350,60)&lt;TODAY(),"Expired",IF(EDATE(S350,60)&lt;TODAY()+180,"Expiring Soon","Valid")))</f>
        <v>Valid</v>
      </c>
      <c r="U350" s="8" t="str">
        <f aca="false">IF(P350="","",IF(P350="A++","Top Tier",IF(P350="A+","High",IF(P350="A","Strong",IF(LEFT(P350,1)="B","Acceptable",IF(LEFT(P350,1)="C","Below Avg","-"))))))</f>
        <v>High</v>
      </c>
      <c r="AC350" s="8"/>
      <c r="AD350" s="8" t="n">
        <v>82</v>
      </c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</row>
    <row r="351" customFormat="false" ht="23.25" hidden="false" customHeight="true" outlineLevel="0" collapsed="false">
      <c r="A351" s="8" t="n">
        <v>350</v>
      </c>
      <c r="B351" s="8" t="n">
        <v>57</v>
      </c>
      <c r="C351" s="8" t="s">
        <v>516</v>
      </c>
      <c r="D351" s="8" t="s">
        <v>338</v>
      </c>
      <c r="E351" s="9" t="s">
        <v>517</v>
      </c>
      <c r="F351" s="9" t="s">
        <v>518</v>
      </c>
      <c r="G351" s="8" t="s">
        <v>304</v>
      </c>
      <c r="H351" s="8" t="s">
        <v>302</v>
      </c>
      <c r="I351" s="8" t="s">
        <v>291</v>
      </c>
      <c r="J351" s="8" t="s">
        <v>292</v>
      </c>
      <c r="K351" s="8" t="s">
        <v>293</v>
      </c>
      <c r="L351" s="9" t="s">
        <v>294</v>
      </c>
      <c r="M351" s="8"/>
      <c r="N351" s="8" t="str">
        <f aca="true">IF(M351="","Active (per Notice 1)",IF(M351&lt;TODAY(),"Expired",IF(M351&lt;TODAY()+180,"Expiring Soon","Active")))</f>
        <v>Active (per Notice 1)</v>
      </c>
      <c r="O351" s="12" t="s">
        <v>305</v>
      </c>
      <c r="P351" s="8" t="s">
        <v>327</v>
      </c>
      <c r="Q351" s="8" t="n">
        <v>3.3</v>
      </c>
      <c r="R351" s="8" t="n">
        <v>3</v>
      </c>
      <c r="S351" s="11" t="n">
        <v>45836</v>
      </c>
      <c r="T351" s="8" t="str">
        <f aca="true">IF(S351="","",IF(EDATE(S351,60)&lt;TODAY(),"Expired",IF(EDATE(S351,60)&lt;TODAY()+180,"Expiring Soon","Valid")))</f>
        <v>Valid</v>
      </c>
      <c r="U351" s="8" t="str">
        <f aca="false">IF(P351="","",IF(P351="A++","Top Tier",IF(P351="A+","High",IF(P351="A","Strong",IF(LEFT(P351,1)="B","Acceptable",IF(LEFT(P351,1)="C","Below Avg","-"))))))</f>
        <v>High</v>
      </c>
      <c r="AC351" s="8"/>
      <c r="AD351" s="8" t="n">
        <v>82</v>
      </c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</row>
    <row r="352" customFormat="false" ht="15" hidden="false" customHeight="true" outlineLevel="0" collapsed="false">
      <c r="A352" s="8" t="n">
        <v>351</v>
      </c>
      <c r="B352" s="8" t="n">
        <v>57</v>
      </c>
      <c r="C352" s="8" t="s">
        <v>516</v>
      </c>
      <c r="D352" s="8" t="s">
        <v>338</v>
      </c>
      <c r="E352" s="9" t="s">
        <v>517</v>
      </c>
      <c r="F352" s="9" t="s">
        <v>519</v>
      </c>
      <c r="G352" s="8" t="s">
        <v>304</v>
      </c>
      <c r="H352" s="8" t="s">
        <v>302</v>
      </c>
      <c r="I352" s="8" t="s">
        <v>291</v>
      </c>
      <c r="J352" s="8" t="s">
        <v>292</v>
      </c>
      <c r="K352" s="8" t="s">
        <v>293</v>
      </c>
      <c r="L352" s="9" t="s">
        <v>294</v>
      </c>
      <c r="M352" s="8"/>
      <c r="N352" s="8" t="str">
        <f aca="true">IF(M352="","Active (per Notice 1)",IF(M352&lt;TODAY(),"Expired",IF(M352&lt;TODAY()+180,"Expiring Soon","Active")))</f>
        <v>Active (per Notice 1)</v>
      </c>
      <c r="O352" s="12" t="s">
        <v>305</v>
      </c>
      <c r="P352" s="8" t="s">
        <v>327</v>
      </c>
      <c r="Q352" s="8" t="n">
        <v>3.3</v>
      </c>
      <c r="R352" s="8" t="n">
        <v>3</v>
      </c>
      <c r="S352" s="11" t="n">
        <v>45836</v>
      </c>
      <c r="T352" s="8" t="str">
        <f aca="true">IF(S352="","",IF(EDATE(S352,60)&lt;TODAY(),"Expired",IF(EDATE(S352,60)&lt;TODAY()+180,"Expiring Soon","Valid")))</f>
        <v>Valid</v>
      </c>
      <c r="U352" s="8" t="str">
        <f aca="false">IF(P352="","",IF(P352="A++","Top Tier",IF(P352="A+","High",IF(P352="A","Strong",IF(LEFT(P352,1)="B","Acceptable",IF(LEFT(P352,1)="C","Below Avg","-"))))))</f>
        <v>High</v>
      </c>
      <c r="AC352" s="8"/>
      <c r="AD352" s="8" t="n">
        <v>82</v>
      </c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</row>
    <row r="353" customFormat="false" ht="15" hidden="false" customHeight="true" outlineLevel="0" collapsed="false">
      <c r="A353" s="8" t="n">
        <v>352</v>
      </c>
      <c r="B353" s="8" t="n">
        <v>57</v>
      </c>
      <c r="C353" s="8" t="s">
        <v>516</v>
      </c>
      <c r="D353" s="8" t="s">
        <v>338</v>
      </c>
      <c r="E353" s="9" t="s">
        <v>517</v>
      </c>
      <c r="F353" s="9" t="s">
        <v>520</v>
      </c>
      <c r="G353" s="8" t="s">
        <v>304</v>
      </c>
      <c r="H353" s="8" t="s">
        <v>302</v>
      </c>
      <c r="I353" s="8" t="s">
        <v>291</v>
      </c>
      <c r="J353" s="8" t="s">
        <v>292</v>
      </c>
      <c r="K353" s="8" t="s">
        <v>293</v>
      </c>
      <c r="L353" s="9" t="s">
        <v>294</v>
      </c>
      <c r="M353" s="8"/>
      <c r="N353" s="8" t="str">
        <f aca="true">IF(M353="","Active (per Notice 1)",IF(M353&lt;TODAY(),"Expired",IF(M353&lt;TODAY()+180,"Expiring Soon","Active")))</f>
        <v>Active (per Notice 1)</v>
      </c>
      <c r="O353" s="12" t="s">
        <v>305</v>
      </c>
      <c r="P353" s="8" t="s">
        <v>327</v>
      </c>
      <c r="Q353" s="8" t="n">
        <v>3.3</v>
      </c>
      <c r="R353" s="8" t="n">
        <v>3</v>
      </c>
      <c r="S353" s="11" t="n">
        <v>45836</v>
      </c>
      <c r="T353" s="8" t="str">
        <f aca="true">IF(S353="","",IF(EDATE(S353,60)&lt;TODAY(),"Expired",IF(EDATE(S353,60)&lt;TODAY()+180,"Expiring Soon","Valid")))</f>
        <v>Valid</v>
      </c>
      <c r="U353" s="8" t="str">
        <f aca="false">IF(P353="","",IF(P353="A++","Top Tier",IF(P353="A+","High",IF(P353="A","Strong",IF(LEFT(P353,1)="B","Acceptable",IF(LEFT(P353,1)="C","Below Avg","-"))))))</f>
        <v>High</v>
      </c>
      <c r="AC353" s="8"/>
      <c r="AD353" s="8" t="n">
        <v>82</v>
      </c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</row>
    <row r="354" customFormat="false" ht="15" hidden="false" customHeight="true" outlineLevel="0" collapsed="false">
      <c r="A354" s="8" t="n">
        <v>353</v>
      </c>
      <c r="B354" s="8" t="n">
        <v>57</v>
      </c>
      <c r="C354" s="8" t="s">
        <v>516</v>
      </c>
      <c r="D354" s="8" t="s">
        <v>338</v>
      </c>
      <c r="E354" s="9" t="s">
        <v>517</v>
      </c>
      <c r="F354" s="9" t="s">
        <v>521</v>
      </c>
      <c r="G354" s="8" t="s">
        <v>304</v>
      </c>
      <c r="H354" s="8" t="s">
        <v>302</v>
      </c>
      <c r="I354" s="8" t="s">
        <v>291</v>
      </c>
      <c r="J354" s="8" t="s">
        <v>292</v>
      </c>
      <c r="K354" s="8" t="s">
        <v>293</v>
      </c>
      <c r="L354" s="9" t="s">
        <v>294</v>
      </c>
      <c r="M354" s="8"/>
      <c r="N354" s="8" t="str">
        <f aca="true">IF(M354="","Active (per Notice 1)",IF(M354&lt;TODAY(),"Expired",IF(M354&lt;TODAY()+180,"Expiring Soon","Active")))</f>
        <v>Active (per Notice 1)</v>
      </c>
      <c r="O354" s="12" t="s">
        <v>305</v>
      </c>
      <c r="P354" s="8" t="s">
        <v>327</v>
      </c>
      <c r="Q354" s="8" t="n">
        <v>3.3</v>
      </c>
      <c r="R354" s="8" t="n">
        <v>3</v>
      </c>
      <c r="S354" s="11" t="n">
        <v>45836</v>
      </c>
      <c r="T354" s="8" t="str">
        <f aca="true">IF(S354="","",IF(EDATE(S354,60)&lt;TODAY(),"Expired",IF(EDATE(S354,60)&lt;TODAY()+180,"Expiring Soon","Valid")))</f>
        <v>Valid</v>
      </c>
      <c r="U354" s="8" t="str">
        <f aca="false">IF(P354="","",IF(P354="A++","Top Tier",IF(P354="A+","High",IF(P354="A","Strong",IF(LEFT(P354,1)="B","Acceptable",IF(LEFT(P354,1)="C","Below Avg","-"))))))</f>
        <v>High</v>
      </c>
      <c r="AC354" s="8"/>
      <c r="AD354" s="8" t="n">
        <v>82</v>
      </c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</row>
    <row r="355" customFormat="false" ht="15" hidden="false" customHeight="true" outlineLevel="0" collapsed="false">
      <c r="A355" s="8" t="n">
        <v>354</v>
      </c>
      <c r="B355" s="8" t="n">
        <v>58</v>
      </c>
      <c r="C355" s="8" t="s">
        <v>522</v>
      </c>
      <c r="D355" s="8" t="s">
        <v>315</v>
      </c>
      <c r="E355" s="9" t="s">
        <v>523</v>
      </c>
      <c r="F355" s="9" t="s">
        <v>352</v>
      </c>
      <c r="G355" s="8" t="s">
        <v>289</v>
      </c>
      <c r="H355" s="8" t="s">
        <v>290</v>
      </c>
      <c r="I355" s="8" t="s">
        <v>291</v>
      </c>
      <c r="J355" s="8" t="s">
        <v>292</v>
      </c>
      <c r="K355" s="8" t="s">
        <v>293</v>
      </c>
      <c r="L355" s="9" t="s">
        <v>294</v>
      </c>
      <c r="M355" s="8"/>
      <c r="N355" s="8" t="str">
        <f aca="true">IF(M355="","Active (per Notice 1)",IF(M355&lt;TODAY(),"Expired",IF(M355&lt;TODAY()+180,"Expiring Soon","Active")))</f>
        <v>Active (per Notice 1)</v>
      </c>
      <c r="O355" s="10" t="s">
        <v>295</v>
      </c>
      <c r="P355" s="8" t="s">
        <v>296</v>
      </c>
      <c r="Q355" s="8" t="n">
        <v>3.52</v>
      </c>
      <c r="R355" s="8" t="n">
        <v>3</v>
      </c>
      <c r="S355" s="11" t="n">
        <v>44775</v>
      </c>
      <c r="T355" s="8" t="str">
        <f aca="true">IF(S355="","",IF(EDATE(S355,60)&lt;TODAY(),"Expired",IF(EDATE(S355,60)&lt;TODAY()+180,"Expiring Soon","Valid")))</f>
        <v>Valid</v>
      </c>
      <c r="U355" s="8" t="str">
        <f aca="false">IF(P355="","",IF(P355="A++","Top Tier",IF(P355="A+","High",IF(P355="A","Strong",IF(LEFT(P355,1)="B","Acceptable",IF(LEFT(P355,1)="C","Below Avg","-"))))))</f>
        <v>Top Tier</v>
      </c>
      <c r="Y355" s="8" t="n">
        <v>7</v>
      </c>
      <c r="Z355" s="11" t="n">
        <v>45838</v>
      </c>
      <c r="AA355" s="8" t="s">
        <v>357</v>
      </c>
      <c r="AB355" s="8" t="s">
        <v>329</v>
      </c>
      <c r="AC355" s="8" t="n">
        <v>27</v>
      </c>
      <c r="AD355" s="8" t="n">
        <v>17</v>
      </c>
      <c r="AE355" s="8" t="n">
        <v>43</v>
      </c>
      <c r="AF355" s="8" t="n">
        <v>36</v>
      </c>
      <c r="AG355" s="8" t="n">
        <v>68</v>
      </c>
      <c r="AH355" s="8"/>
      <c r="AI355" s="8" t="n">
        <v>24</v>
      </c>
      <c r="AJ355" s="8" t="n">
        <v>26</v>
      </c>
      <c r="AK355" s="8" t="n">
        <v>14</v>
      </c>
      <c r="AL355" s="8"/>
      <c r="AM355" s="8"/>
      <c r="AN355" s="8"/>
      <c r="AO355" s="8"/>
      <c r="AP355" s="8"/>
      <c r="AQ355" s="8"/>
      <c r="AR355" s="8"/>
      <c r="AS355" s="8"/>
      <c r="AT355" s="8"/>
      <c r="AU355" s="8"/>
    </row>
    <row r="356" customFormat="false" ht="15" hidden="false" customHeight="true" outlineLevel="0" collapsed="false">
      <c r="A356" s="8" t="n">
        <v>355</v>
      </c>
      <c r="B356" s="8" t="n">
        <v>58</v>
      </c>
      <c r="C356" s="8" t="s">
        <v>522</v>
      </c>
      <c r="D356" s="8" t="s">
        <v>315</v>
      </c>
      <c r="E356" s="9" t="s">
        <v>523</v>
      </c>
      <c r="F356" s="9" t="s">
        <v>524</v>
      </c>
      <c r="G356" s="8" t="s">
        <v>298</v>
      </c>
      <c r="H356" s="8" t="s">
        <v>290</v>
      </c>
      <c r="I356" s="8" t="s">
        <v>291</v>
      </c>
      <c r="J356" s="8" t="s">
        <v>292</v>
      </c>
      <c r="K356" s="8" t="s">
        <v>293</v>
      </c>
      <c r="L356" s="9" t="s">
        <v>294</v>
      </c>
      <c r="M356" s="8"/>
      <c r="N356" s="8" t="str">
        <f aca="true">IF(M356="","Active (per Notice 1)",IF(M356&lt;TODAY(),"Expired",IF(M356&lt;TODAY()+180,"Expiring Soon","Active")))</f>
        <v>Active (per Notice 1)</v>
      </c>
      <c r="O356" s="10" t="s">
        <v>295</v>
      </c>
      <c r="P356" s="8" t="s">
        <v>296</v>
      </c>
      <c r="Q356" s="8" t="n">
        <v>3.52</v>
      </c>
      <c r="R356" s="8" t="n">
        <v>3</v>
      </c>
      <c r="S356" s="11" t="n">
        <v>44775</v>
      </c>
      <c r="T356" s="8" t="str">
        <f aca="true">IF(S356="","",IF(EDATE(S356,60)&lt;TODAY(),"Expired",IF(EDATE(S356,60)&lt;TODAY()+180,"Expiring Soon","Valid")))</f>
        <v>Valid</v>
      </c>
      <c r="U356" s="8" t="str">
        <f aca="false">IF(P356="","",IF(P356="A++","Top Tier",IF(P356="A+","High",IF(P356="A","Strong",IF(LEFT(P356,1)="B","Acceptable",IF(LEFT(P356,1)="C","Below Avg","-"))))))</f>
        <v>Top Tier</v>
      </c>
      <c r="Y356" s="8" t="n">
        <v>7</v>
      </c>
      <c r="Z356" s="11" t="n">
        <v>45838</v>
      </c>
      <c r="AA356" s="8" t="s">
        <v>357</v>
      </c>
      <c r="AB356" s="8" t="s">
        <v>329</v>
      </c>
      <c r="AC356" s="8" t="n">
        <v>27</v>
      </c>
      <c r="AD356" s="8" t="n">
        <v>17</v>
      </c>
      <c r="AE356" s="8" t="n">
        <v>43</v>
      </c>
      <c r="AF356" s="8" t="n">
        <v>36</v>
      </c>
      <c r="AG356" s="8" t="n">
        <v>68</v>
      </c>
      <c r="AH356" s="8"/>
      <c r="AI356" s="8" t="n">
        <v>24</v>
      </c>
      <c r="AJ356" s="8" t="n">
        <v>26</v>
      </c>
      <c r="AK356" s="8" t="n">
        <v>14</v>
      </c>
      <c r="AL356" s="8"/>
      <c r="AM356" s="8"/>
      <c r="AN356" s="8"/>
      <c r="AO356" s="8"/>
      <c r="AP356" s="8"/>
      <c r="AQ356" s="8"/>
      <c r="AR356" s="8"/>
      <c r="AS356" s="8"/>
      <c r="AT356" s="8"/>
      <c r="AU356" s="8"/>
    </row>
    <row r="357" customFormat="false" ht="15" hidden="false" customHeight="true" outlineLevel="0" collapsed="false">
      <c r="A357" s="8" t="n">
        <v>356</v>
      </c>
      <c r="B357" s="8" t="n">
        <v>58</v>
      </c>
      <c r="C357" s="8" t="s">
        <v>522</v>
      </c>
      <c r="D357" s="8" t="s">
        <v>315</v>
      </c>
      <c r="E357" s="9" t="s">
        <v>523</v>
      </c>
      <c r="F357" s="9" t="s">
        <v>525</v>
      </c>
      <c r="G357" s="8" t="s">
        <v>301</v>
      </c>
      <c r="H357" s="8" t="s">
        <v>302</v>
      </c>
      <c r="I357" s="8" t="s">
        <v>291</v>
      </c>
      <c r="J357" s="8" t="s">
        <v>292</v>
      </c>
      <c r="K357" s="8" t="s">
        <v>293</v>
      </c>
      <c r="L357" s="9" t="s">
        <v>294</v>
      </c>
      <c r="M357" s="8"/>
      <c r="N357" s="8" t="str">
        <f aca="true">IF(M357="","Active (per Notice 1)",IF(M357&lt;TODAY(),"Expired",IF(M357&lt;TODAY()+180,"Expiring Soon","Active")))</f>
        <v>Active (per Notice 1)</v>
      </c>
      <c r="O357" s="10" t="s">
        <v>295</v>
      </c>
      <c r="P357" s="8" t="s">
        <v>296</v>
      </c>
      <c r="Q357" s="8" t="n">
        <v>3.52</v>
      </c>
      <c r="R357" s="8" t="n">
        <v>3</v>
      </c>
      <c r="S357" s="11" t="n">
        <v>44775</v>
      </c>
      <c r="T357" s="8" t="str">
        <f aca="true">IF(S357="","",IF(EDATE(S357,60)&lt;TODAY(),"Expired",IF(EDATE(S357,60)&lt;TODAY()+180,"Expiring Soon","Valid")))</f>
        <v>Valid</v>
      </c>
      <c r="U357" s="8" t="str">
        <f aca="false">IF(P357="","",IF(P357="A++","Top Tier",IF(P357="A+","High",IF(P357="A","Strong",IF(LEFT(P357,1)="B","Acceptable",IF(LEFT(P357,1)="C","Below Avg","-"))))))</f>
        <v>Top Tier</v>
      </c>
      <c r="Y357" s="8" t="n">
        <v>7</v>
      </c>
      <c r="Z357" s="11" t="n">
        <v>45838</v>
      </c>
      <c r="AA357" s="8" t="s">
        <v>357</v>
      </c>
      <c r="AB357" s="8" t="s">
        <v>329</v>
      </c>
      <c r="AC357" s="8" t="n">
        <v>27</v>
      </c>
      <c r="AD357" s="8" t="n">
        <v>17</v>
      </c>
      <c r="AE357" s="8" t="n">
        <v>43</v>
      </c>
      <c r="AF357" s="8" t="n">
        <v>36</v>
      </c>
      <c r="AG357" s="8" t="n">
        <v>68</v>
      </c>
      <c r="AH357" s="8"/>
      <c r="AI357" s="8" t="n">
        <v>24</v>
      </c>
      <c r="AJ357" s="8" t="n">
        <v>26</v>
      </c>
      <c r="AK357" s="8" t="n">
        <v>14</v>
      </c>
      <c r="AL357" s="8"/>
      <c r="AM357" s="8"/>
      <c r="AN357" s="8"/>
      <c r="AO357" s="8"/>
      <c r="AP357" s="8"/>
      <c r="AQ357" s="8"/>
      <c r="AR357" s="8"/>
      <c r="AS357" s="8"/>
      <c r="AT357" s="8"/>
      <c r="AU357" s="8"/>
    </row>
    <row r="358" customFormat="false" ht="15" hidden="false" customHeight="true" outlineLevel="0" collapsed="false">
      <c r="A358" s="8" t="n">
        <v>357</v>
      </c>
      <c r="B358" s="8" t="n">
        <v>58</v>
      </c>
      <c r="C358" s="8" t="s">
        <v>522</v>
      </c>
      <c r="D358" s="8" t="s">
        <v>315</v>
      </c>
      <c r="E358" s="9" t="s">
        <v>523</v>
      </c>
      <c r="F358" s="9" t="s">
        <v>314</v>
      </c>
      <c r="G358" s="8" t="s">
        <v>301</v>
      </c>
      <c r="H358" s="8" t="s">
        <v>302</v>
      </c>
      <c r="I358" s="8" t="s">
        <v>291</v>
      </c>
      <c r="J358" s="8" t="s">
        <v>292</v>
      </c>
      <c r="K358" s="8" t="s">
        <v>293</v>
      </c>
      <c r="L358" s="9" t="s">
        <v>294</v>
      </c>
      <c r="M358" s="8"/>
      <c r="N358" s="8" t="str">
        <f aca="true">IF(M358="","Active (per Notice 1)",IF(M358&lt;TODAY(),"Expired",IF(M358&lt;TODAY()+180,"Expiring Soon","Active")))</f>
        <v>Active (per Notice 1)</v>
      </c>
      <c r="O358" s="10" t="s">
        <v>295</v>
      </c>
      <c r="P358" s="8" t="s">
        <v>296</v>
      </c>
      <c r="Q358" s="8" t="n">
        <v>3.52</v>
      </c>
      <c r="R358" s="8" t="n">
        <v>3</v>
      </c>
      <c r="S358" s="11" t="n">
        <v>44775</v>
      </c>
      <c r="T358" s="8" t="str">
        <f aca="true">IF(S358="","",IF(EDATE(S358,60)&lt;TODAY(),"Expired",IF(EDATE(S358,60)&lt;TODAY()+180,"Expiring Soon","Valid")))</f>
        <v>Valid</v>
      </c>
      <c r="U358" s="8" t="str">
        <f aca="false">IF(P358="","",IF(P358="A++","Top Tier",IF(P358="A+","High",IF(P358="A","Strong",IF(LEFT(P358,1)="B","Acceptable",IF(LEFT(P358,1)="C","Below Avg","-"))))))</f>
        <v>Top Tier</v>
      </c>
      <c r="Y358" s="8" t="n">
        <v>7</v>
      </c>
      <c r="Z358" s="11" t="n">
        <v>45838</v>
      </c>
      <c r="AA358" s="8" t="s">
        <v>357</v>
      </c>
      <c r="AB358" s="8" t="s">
        <v>329</v>
      </c>
      <c r="AC358" s="8" t="n">
        <v>27</v>
      </c>
      <c r="AD358" s="8" t="n">
        <v>17</v>
      </c>
      <c r="AE358" s="8" t="n">
        <v>43</v>
      </c>
      <c r="AF358" s="8" t="n">
        <v>36</v>
      </c>
      <c r="AG358" s="8" t="n">
        <v>68</v>
      </c>
      <c r="AH358" s="8"/>
      <c r="AI358" s="8" t="n">
        <v>24</v>
      </c>
      <c r="AJ358" s="8" t="n">
        <v>26</v>
      </c>
      <c r="AK358" s="8" t="n">
        <v>14</v>
      </c>
      <c r="AL358" s="8"/>
      <c r="AM358" s="8"/>
      <c r="AN358" s="8"/>
      <c r="AO358" s="8"/>
      <c r="AP358" s="8"/>
      <c r="AQ358" s="8"/>
      <c r="AR358" s="8"/>
      <c r="AS358" s="8"/>
      <c r="AT358" s="8"/>
      <c r="AU358" s="8"/>
    </row>
    <row r="359" customFormat="false" ht="15" hidden="false" customHeight="true" outlineLevel="0" collapsed="false">
      <c r="A359" s="8" t="n">
        <v>358</v>
      </c>
      <c r="B359" s="8" t="n">
        <v>58</v>
      </c>
      <c r="C359" s="8" t="s">
        <v>522</v>
      </c>
      <c r="D359" s="8" t="s">
        <v>315</v>
      </c>
      <c r="E359" s="9" t="s">
        <v>523</v>
      </c>
      <c r="F359" s="9" t="s">
        <v>526</v>
      </c>
      <c r="G359" s="8" t="s">
        <v>309</v>
      </c>
      <c r="H359" s="8" t="s">
        <v>302</v>
      </c>
      <c r="I359" s="8" t="s">
        <v>291</v>
      </c>
      <c r="J359" s="8" t="s">
        <v>292</v>
      </c>
      <c r="K359" s="8" t="s">
        <v>293</v>
      </c>
      <c r="L359" s="9" t="s">
        <v>294</v>
      </c>
      <c r="M359" s="8"/>
      <c r="N359" s="8" t="str">
        <f aca="true">IF(M359="","Active (per Notice 1)",IF(M359&lt;TODAY(),"Expired",IF(M359&lt;TODAY()+180,"Expiring Soon","Active")))</f>
        <v>Active (per Notice 1)</v>
      </c>
      <c r="O359" s="10" t="s">
        <v>295</v>
      </c>
      <c r="P359" s="8" t="s">
        <v>296</v>
      </c>
      <c r="Q359" s="8" t="n">
        <v>3.52</v>
      </c>
      <c r="R359" s="8" t="n">
        <v>3</v>
      </c>
      <c r="S359" s="11" t="n">
        <v>44775</v>
      </c>
      <c r="T359" s="8" t="str">
        <f aca="true">IF(S359="","",IF(EDATE(S359,60)&lt;TODAY(),"Expired",IF(EDATE(S359,60)&lt;TODAY()+180,"Expiring Soon","Valid")))</f>
        <v>Valid</v>
      </c>
      <c r="U359" s="8" t="str">
        <f aca="false">IF(P359="","",IF(P359="A++","Top Tier",IF(P359="A+","High",IF(P359="A","Strong",IF(LEFT(P359,1)="B","Acceptable",IF(LEFT(P359,1)="C","Below Avg","-"))))))</f>
        <v>Top Tier</v>
      </c>
      <c r="Y359" s="8" t="n">
        <v>7</v>
      </c>
      <c r="Z359" s="11" t="n">
        <v>45838</v>
      </c>
      <c r="AA359" s="8" t="s">
        <v>357</v>
      </c>
      <c r="AB359" s="8" t="s">
        <v>329</v>
      </c>
      <c r="AC359" s="8" t="n">
        <v>27</v>
      </c>
      <c r="AD359" s="8" t="n">
        <v>17</v>
      </c>
      <c r="AE359" s="8" t="n">
        <v>43</v>
      </c>
      <c r="AF359" s="8" t="n">
        <v>36</v>
      </c>
      <c r="AG359" s="8" t="n">
        <v>68</v>
      </c>
      <c r="AH359" s="8"/>
      <c r="AI359" s="8" t="n">
        <v>24</v>
      </c>
      <c r="AJ359" s="8" t="n">
        <v>26</v>
      </c>
      <c r="AK359" s="8" t="n">
        <v>14</v>
      </c>
      <c r="AL359" s="8"/>
      <c r="AM359" s="8"/>
      <c r="AN359" s="8"/>
      <c r="AO359" s="8"/>
      <c r="AP359" s="8"/>
      <c r="AQ359" s="8"/>
      <c r="AR359" s="8"/>
      <c r="AS359" s="8"/>
      <c r="AT359" s="8"/>
      <c r="AU359" s="8"/>
    </row>
    <row r="360" customFormat="false" ht="15" hidden="false" customHeight="true" outlineLevel="0" collapsed="false">
      <c r="A360" s="8" t="n">
        <v>359</v>
      </c>
      <c r="B360" s="8" t="n">
        <v>58</v>
      </c>
      <c r="C360" s="8" t="s">
        <v>522</v>
      </c>
      <c r="D360" s="8" t="s">
        <v>315</v>
      </c>
      <c r="E360" s="9" t="s">
        <v>523</v>
      </c>
      <c r="F360" s="9" t="s">
        <v>527</v>
      </c>
      <c r="G360" s="8" t="s">
        <v>309</v>
      </c>
      <c r="H360" s="8" t="s">
        <v>302</v>
      </c>
      <c r="I360" s="8" t="s">
        <v>291</v>
      </c>
      <c r="J360" s="8" t="s">
        <v>292</v>
      </c>
      <c r="K360" s="8" t="s">
        <v>293</v>
      </c>
      <c r="L360" s="9" t="s">
        <v>294</v>
      </c>
      <c r="M360" s="8"/>
      <c r="N360" s="8" t="str">
        <f aca="true">IF(M360="","Active (per Notice 1)",IF(M360&lt;TODAY(),"Expired",IF(M360&lt;TODAY()+180,"Expiring Soon","Active")))</f>
        <v>Active (per Notice 1)</v>
      </c>
      <c r="O360" s="10" t="s">
        <v>295</v>
      </c>
      <c r="P360" s="8" t="s">
        <v>296</v>
      </c>
      <c r="Q360" s="8" t="n">
        <v>3.52</v>
      </c>
      <c r="R360" s="8" t="n">
        <v>3</v>
      </c>
      <c r="S360" s="11" t="n">
        <v>44775</v>
      </c>
      <c r="T360" s="8" t="str">
        <f aca="true">IF(S360="","",IF(EDATE(S360,60)&lt;TODAY(),"Expired",IF(EDATE(S360,60)&lt;TODAY()+180,"Expiring Soon","Valid")))</f>
        <v>Valid</v>
      </c>
      <c r="U360" s="8" t="str">
        <f aca="false">IF(P360="","",IF(P360="A++","Top Tier",IF(P360="A+","High",IF(P360="A","Strong",IF(LEFT(P360,1)="B","Acceptable",IF(LEFT(P360,1)="C","Below Avg","-"))))))</f>
        <v>Top Tier</v>
      </c>
      <c r="Y360" s="8" t="n">
        <v>7</v>
      </c>
      <c r="Z360" s="11" t="n">
        <v>45838</v>
      </c>
      <c r="AA360" s="8" t="s">
        <v>357</v>
      </c>
      <c r="AB360" s="8" t="s">
        <v>329</v>
      </c>
      <c r="AC360" s="8" t="n">
        <v>27</v>
      </c>
      <c r="AD360" s="8" t="n">
        <v>17</v>
      </c>
      <c r="AE360" s="8" t="n">
        <v>43</v>
      </c>
      <c r="AF360" s="8" t="n">
        <v>36</v>
      </c>
      <c r="AG360" s="8" t="n">
        <v>68</v>
      </c>
      <c r="AH360" s="8"/>
      <c r="AI360" s="8" t="n">
        <v>24</v>
      </c>
      <c r="AJ360" s="8" t="n">
        <v>26</v>
      </c>
      <c r="AK360" s="8" t="n">
        <v>14</v>
      </c>
      <c r="AL360" s="8"/>
      <c r="AM360" s="8"/>
      <c r="AN360" s="8"/>
      <c r="AO360" s="8"/>
      <c r="AP360" s="8"/>
      <c r="AQ360" s="8"/>
      <c r="AR360" s="8"/>
      <c r="AS360" s="8"/>
      <c r="AT360" s="8"/>
      <c r="AU360" s="8"/>
    </row>
    <row r="361" customFormat="false" ht="15" hidden="false" customHeight="true" outlineLevel="0" collapsed="false">
      <c r="A361" s="8" t="n">
        <v>360</v>
      </c>
      <c r="B361" s="8" t="n">
        <v>58</v>
      </c>
      <c r="C361" s="8" t="s">
        <v>522</v>
      </c>
      <c r="D361" s="8" t="s">
        <v>315</v>
      </c>
      <c r="E361" s="9" t="s">
        <v>523</v>
      </c>
      <c r="F361" s="9" t="s">
        <v>300</v>
      </c>
      <c r="G361" s="8" t="s">
        <v>301</v>
      </c>
      <c r="H361" s="8" t="s">
        <v>302</v>
      </c>
      <c r="I361" s="8" t="s">
        <v>291</v>
      </c>
      <c r="J361" s="8" t="s">
        <v>292</v>
      </c>
      <c r="K361" s="8" t="s">
        <v>293</v>
      </c>
      <c r="L361" s="9" t="s">
        <v>294</v>
      </c>
      <c r="M361" s="8"/>
      <c r="N361" s="8" t="str">
        <f aca="true">IF(M361="","Active (per Notice 1)",IF(M361&lt;TODAY(),"Expired",IF(M361&lt;TODAY()+180,"Expiring Soon","Active")))</f>
        <v>Active (per Notice 1)</v>
      </c>
      <c r="O361" s="10" t="s">
        <v>295</v>
      </c>
      <c r="P361" s="8" t="s">
        <v>296</v>
      </c>
      <c r="Q361" s="8" t="n">
        <v>3.52</v>
      </c>
      <c r="R361" s="8" t="n">
        <v>3</v>
      </c>
      <c r="S361" s="11" t="n">
        <v>44775</v>
      </c>
      <c r="T361" s="8" t="str">
        <f aca="true">IF(S361="","",IF(EDATE(S361,60)&lt;TODAY(),"Expired",IF(EDATE(S361,60)&lt;TODAY()+180,"Expiring Soon","Valid")))</f>
        <v>Valid</v>
      </c>
      <c r="U361" s="8" t="str">
        <f aca="false">IF(P361="","",IF(P361="A++","Top Tier",IF(P361="A+","High",IF(P361="A","Strong",IF(LEFT(P361,1)="B","Acceptable",IF(LEFT(P361,1)="C","Below Avg","-"))))))</f>
        <v>Top Tier</v>
      </c>
      <c r="Y361" s="8" t="n">
        <v>7</v>
      </c>
      <c r="Z361" s="11" t="n">
        <v>45838</v>
      </c>
      <c r="AA361" s="8" t="s">
        <v>357</v>
      </c>
      <c r="AB361" s="8" t="s">
        <v>329</v>
      </c>
      <c r="AC361" s="8" t="n">
        <v>27</v>
      </c>
      <c r="AD361" s="8" t="n">
        <v>17</v>
      </c>
      <c r="AE361" s="8" t="n">
        <v>43</v>
      </c>
      <c r="AF361" s="8" t="n">
        <v>36</v>
      </c>
      <c r="AG361" s="8" t="n">
        <v>68</v>
      </c>
      <c r="AH361" s="8"/>
      <c r="AI361" s="8" t="n">
        <v>24</v>
      </c>
      <c r="AJ361" s="8" t="n">
        <v>26</v>
      </c>
      <c r="AK361" s="8" t="n">
        <v>14</v>
      </c>
      <c r="AL361" s="8"/>
      <c r="AM361" s="8"/>
      <c r="AN361" s="8"/>
      <c r="AO361" s="8"/>
      <c r="AP361" s="8"/>
      <c r="AQ361" s="8"/>
      <c r="AR361" s="8"/>
      <c r="AS361" s="8"/>
      <c r="AT361" s="8"/>
      <c r="AU361" s="8"/>
    </row>
    <row r="362" customFormat="false" ht="15" hidden="false" customHeight="true" outlineLevel="0" collapsed="false">
      <c r="A362" s="8" t="n">
        <v>361</v>
      </c>
      <c r="B362" s="8" t="n">
        <v>58</v>
      </c>
      <c r="C362" s="8" t="s">
        <v>522</v>
      </c>
      <c r="D362" s="8" t="s">
        <v>315</v>
      </c>
      <c r="E362" s="9" t="s">
        <v>523</v>
      </c>
      <c r="F362" s="9" t="s">
        <v>311</v>
      </c>
      <c r="G362" s="8" t="s">
        <v>301</v>
      </c>
      <c r="H362" s="8" t="s">
        <v>302</v>
      </c>
      <c r="I362" s="8" t="s">
        <v>291</v>
      </c>
      <c r="J362" s="8" t="s">
        <v>292</v>
      </c>
      <c r="K362" s="8" t="s">
        <v>293</v>
      </c>
      <c r="L362" s="9" t="s">
        <v>294</v>
      </c>
      <c r="M362" s="8"/>
      <c r="N362" s="8" t="str">
        <f aca="true">IF(M362="","Active (per Notice 1)",IF(M362&lt;TODAY(),"Expired",IF(M362&lt;TODAY()+180,"Expiring Soon","Active")))</f>
        <v>Active (per Notice 1)</v>
      </c>
      <c r="O362" s="10" t="s">
        <v>295</v>
      </c>
      <c r="P362" s="8" t="s">
        <v>296</v>
      </c>
      <c r="Q362" s="8" t="n">
        <v>3.52</v>
      </c>
      <c r="R362" s="8" t="n">
        <v>3</v>
      </c>
      <c r="S362" s="11" t="n">
        <v>44775</v>
      </c>
      <c r="T362" s="8" t="str">
        <f aca="true">IF(S362="","",IF(EDATE(S362,60)&lt;TODAY(),"Expired",IF(EDATE(S362,60)&lt;TODAY()+180,"Expiring Soon","Valid")))</f>
        <v>Valid</v>
      </c>
      <c r="U362" s="8" t="str">
        <f aca="false">IF(P362="","",IF(P362="A++","Top Tier",IF(P362="A+","High",IF(P362="A","Strong",IF(LEFT(P362,1)="B","Acceptable",IF(LEFT(P362,1)="C","Below Avg","-"))))))</f>
        <v>Top Tier</v>
      </c>
      <c r="Y362" s="8" t="n">
        <v>7</v>
      </c>
      <c r="Z362" s="11" t="n">
        <v>45838</v>
      </c>
      <c r="AA362" s="8" t="s">
        <v>357</v>
      </c>
      <c r="AB362" s="8" t="s">
        <v>329</v>
      </c>
      <c r="AC362" s="8" t="n">
        <v>27</v>
      </c>
      <c r="AD362" s="8" t="n">
        <v>17</v>
      </c>
      <c r="AE362" s="8" t="n">
        <v>43</v>
      </c>
      <c r="AF362" s="8" t="n">
        <v>36</v>
      </c>
      <c r="AG362" s="8" t="n">
        <v>68</v>
      </c>
      <c r="AH362" s="8"/>
      <c r="AI362" s="8" t="n">
        <v>24</v>
      </c>
      <c r="AJ362" s="8" t="n">
        <v>26</v>
      </c>
      <c r="AK362" s="8" t="n">
        <v>14</v>
      </c>
      <c r="AL362" s="8"/>
      <c r="AM362" s="8"/>
      <c r="AN362" s="8"/>
      <c r="AO362" s="8"/>
      <c r="AP362" s="8"/>
      <c r="AQ362" s="8"/>
      <c r="AR362" s="8"/>
      <c r="AS362" s="8"/>
      <c r="AT362" s="8"/>
      <c r="AU362" s="8"/>
    </row>
    <row r="363" customFormat="false" ht="23.25" hidden="false" customHeight="true" outlineLevel="0" collapsed="false">
      <c r="A363" s="8" t="n">
        <v>362</v>
      </c>
      <c r="B363" s="8" t="n">
        <v>59</v>
      </c>
      <c r="C363" s="8" t="s">
        <v>522</v>
      </c>
      <c r="D363" s="8" t="s">
        <v>333</v>
      </c>
      <c r="E363" s="9" t="s">
        <v>528</v>
      </c>
      <c r="F363" s="9" t="s">
        <v>299</v>
      </c>
      <c r="G363" s="8" t="s">
        <v>289</v>
      </c>
      <c r="H363" s="8" t="s">
        <v>290</v>
      </c>
      <c r="I363" s="8" t="s">
        <v>291</v>
      </c>
      <c r="J363" s="8" t="s">
        <v>292</v>
      </c>
      <c r="K363" s="8" t="s">
        <v>293</v>
      </c>
      <c r="L363" s="9" t="s">
        <v>294</v>
      </c>
      <c r="M363" s="8"/>
      <c r="N363" s="8" t="str">
        <f aca="true">IF(M363="","Active (per Notice 1)",IF(M363&lt;TODAY(),"Expired",IF(M363&lt;TODAY()+180,"Expiring Soon","Active")))</f>
        <v>Active (per Notice 1)</v>
      </c>
      <c r="O363" s="10" t="s">
        <v>295</v>
      </c>
      <c r="P363" s="8" t="s">
        <v>327</v>
      </c>
      <c r="Q363" s="8" t="n">
        <v>3.37</v>
      </c>
      <c r="R363" s="8" t="n">
        <v>2</v>
      </c>
      <c r="S363" s="11" t="n">
        <v>45150</v>
      </c>
      <c r="T363" s="8" t="str">
        <f aca="true">IF(S363="","",IF(EDATE(S363,60)&lt;TODAY(),"Expired",IF(EDATE(S363,60)&lt;TODAY()+180,"Expiring Soon","Valid")))</f>
        <v>Valid</v>
      </c>
      <c r="U363" s="8" t="str">
        <f aca="false">IF(P363="","",IF(P363="A++","Top Tier",IF(P363="A+","High",IF(P363="A","Strong",IF(LEFT(P363,1)="B","Acceptable",IF(LEFT(P363,1)="C","Below Avg","-"))))))</f>
        <v>High</v>
      </c>
      <c r="AT363" s="8"/>
      <c r="AU363" s="8"/>
    </row>
    <row r="364" customFormat="false" ht="23.25" hidden="false" customHeight="true" outlineLevel="0" collapsed="false">
      <c r="A364" s="8" t="n">
        <v>363</v>
      </c>
      <c r="B364" s="8" t="n">
        <v>59</v>
      </c>
      <c r="C364" s="8" t="s">
        <v>522</v>
      </c>
      <c r="D364" s="8" t="s">
        <v>333</v>
      </c>
      <c r="E364" s="9" t="s">
        <v>528</v>
      </c>
      <c r="F364" s="9" t="s">
        <v>455</v>
      </c>
      <c r="G364" s="8" t="s">
        <v>320</v>
      </c>
      <c r="H364" s="8" t="s">
        <v>290</v>
      </c>
      <c r="I364" s="8" t="s">
        <v>291</v>
      </c>
      <c r="J364" s="8" t="s">
        <v>292</v>
      </c>
      <c r="K364" s="8" t="s">
        <v>293</v>
      </c>
      <c r="L364" s="9" t="s">
        <v>294</v>
      </c>
      <c r="M364" s="8"/>
      <c r="N364" s="8" t="str">
        <f aca="true">IF(M364="","Active (per Notice 1)",IF(M364&lt;TODAY(),"Expired",IF(M364&lt;TODAY()+180,"Expiring Soon","Active")))</f>
        <v>Active (per Notice 1)</v>
      </c>
      <c r="O364" s="12" t="s">
        <v>305</v>
      </c>
      <c r="P364" s="8" t="s">
        <v>327</v>
      </c>
      <c r="Q364" s="8" t="n">
        <v>3.37</v>
      </c>
      <c r="R364" s="8" t="n">
        <v>2</v>
      </c>
      <c r="S364" s="11" t="n">
        <v>45150</v>
      </c>
      <c r="T364" s="8" t="str">
        <f aca="true">IF(S364="","",IF(EDATE(S364,60)&lt;TODAY(),"Expired",IF(EDATE(S364,60)&lt;TODAY()+180,"Expiring Soon","Valid")))</f>
        <v>Valid</v>
      </c>
      <c r="U364" s="8" t="str">
        <f aca="false">IF(P364="","",IF(P364="A++","Top Tier",IF(P364="A+","High",IF(P364="A","Strong",IF(LEFT(P364,1)="B","Acceptable",IF(LEFT(P364,1)="C","Below Avg","-"))))))</f>
        <v>High</v>
      </c>
      <c r="AT364" s="8"/>
      <c r="AU364" s="8"/>
    </row>
    <row r="365" customFormat="false" ht="23.25" hidden="false" customHeight="true" outlineLevel="0" collapsed="false">
      <c r="A365" s="8" t="n">
        <v>364</v>
      </c>
      <c r="B365" s="8" t="n">
        <v>59</v>
      </c>
      <c r="C365" s="8" t="s">
        <v>522</v>
      </c>
      <c r="D365" s="8" t="s">
        <v>333</v>
      </c>
      <c r="E365" s="9" t="s">
        <v>528</v>
      </c>
      <c r="F365" s="9" t="s">
        <v>529</v>
      </c>
      <c r="G365" s="8" t="s">
        <v>318</v>
      </c>
      <c r="H365" s="8" t="s">
        <v>290</v>
      </c>
      <c r="I365" s="8" t="s">
        <v>291</v>
      </c>
      <c r="J365" s="8" t="s">
        <v>292</v>
      </c>
      <c r="K365" s="8" t="s">
        <v>293</v>
      </c>
      <c r="L365" s="9" t="s">
        <v>294</v>
      </c>
      <c r="M365" s="8"/>
      <c r="N365" s="8" t="str">
        <f aca="true">IF(M365="","Active (per Notice 1)",IF(M365&lt;TODAY(),"Expired",IF(M365&lt;TODAY()+180,"Expiring Soon","Active")))</f>
        <v>Active (per Notice 1)</v>
      </c>
      <c r="O365" s="12" t="s">
        <v>305</v>
      </c>
      <c r="P365" s="8" t="s">
        <v>327</v>
      </c>
      <c r="Q365" s="8" t="n">
        <v>3.37</v>
      </c>
      <c r="R365" s="8" t="n">
        <v>2</v>
      </c>
      <c r="S365" s="11" t="n">
        <v>45150</v>
      </c>
      <c r="T365" s="8" t="str">
        <f aca="true">IF(S365="","",IF(EDATE(S365,60)&lt;TODAY(),"Expired",IF(EDATE(S365,60)&lt;TODAY()+180,"Expiring Soon","Valid")))</f>
        <v>Valid</v>
      </c>
      <c r="U365" s="8" t="str">
        <f aca="false">IF(P365="","",IF(P365="A++","Top Tier",IF(P365="A+","High",IF(P365="A","Strong",IF(LEFT(P365,1)="B","Acceptable",IF(LEFT(P365,1)="C","Below Avg","-"))))))</f>
        <v>High</v>
      </c>
      <c r="AT365" s="8"/>
      <c r="AU365" s="8"/>
    </row>
    <row r="366" customFormat="false" ht="23.25" hidden="false" customHeight="true" outlineLevel="0" collapsed="false">
      <c r="A366" s="8" t="n">
        <v>365</v>
      </c>
      <c r="B366" s="8" t="n">
        <v>59</v>
      </c>
      <c r="C366" s="8" t="s">
        <v>522</v>
      </c>
      <c r="D366" s="8" t="s">
        <v>333</v>
      </c>
      <c r="E366" s="9" t="s">
        <v>528</v>
      </c>
      <c r="F366" s="9" t="s">
        <v>385</v>
      </c>
      <c r="G366" s="8" t="s">
        <v>386</v>
      </c>
      <c r="H366" s="8" t="s">
        <v>302</v>
      </c>
      <c r="I366" s="8" t="s">
        <v>291</v>
      </c>
      <c r="J366" s="8" t="s">
        <v>292</v>
      </c>
      <c r="K366" s="8" t="s">
        <v>293</v>
      </c>
      <c r="L366" s="9" t="s">
        <v>294</v>
      </c>
      <c r="M366" s="8"/>
      <c r="N366" s="8" t="str">
        <f aca="true">IF(M366="","Active (per Notice 1)",IF(M366&lt;TODAY(),"Expired",IF(M366&lt;TODAY()+180,"Expiring Soon","Active")))</f>
        <v>Active (per Notice 1)</v>
      </c>
      <c r="O366" s="10" t="s">
        <v>295</v>
      </c>
      <c r="P366" s="8" t="s">
        <v>327</v>
      </c>
      <c r="Q366" s="8" t="n">
        <v>3.37</v>
      </c>
      <c r="R366" s="8" t="n">
        <v>2</v>
      </c>
      <c r="S366" s="11" t="n">
        <v>45150</v>
      </c>
      <c r="T366" s="8" t="str">
        <f aca="true">IF(S366="","",IF(EDATE(S366,60)&lt;TODAY(),"Expired",IF(EDATE(S366,60)&lt;TODAY()+180,"Expiring Soon","Valid")))</f>
        <v>Valid</v>
      </c>
      <c r="U366" s="8" t="str">
        <f aca="false">IF(P366="","",IF(P366="A++","Top Tier",IF(P366="A+","High",IF(P366="A","Strong",IF(LEFT(P366,1)="B","Acceptable",IF(LEFT(P366,1)="C","Below Avg","-"))))))</f>
        <v>High</v>
      </c>
      <c r="AT366" s="8"/>
      <c r="AU366" s="8"/>
    </row>
    <row r="367" customFormat="false" ht="23.25" hidden="false" customHeight="true" outlineLevel="0" collapsed="false">
      <c r="A367" s="8" t="n">
        <v>366</v>
      </c>
      <c r="B367" s="8" t="n">
        <v>59</v>
      </c>
      <c r="C367" s="8" t="s">
        <v>522</v>
      </c>
      <c r="D367" s="8" t="s">
        <v>333</v>
      </c>
      <c r="E367" s="9" t="s">
        <v>528</v>
      </c>
      <c r="F367" s="9" t="s">
        <v>303</v>
      </c>
      <c r="G367" s="8" t="s">
        <v>304</v>
      </c>
      <c r="H367" s="8" t="s">
        <v>302</v>
      </c>
      <c r="I367" s="8" t="s">
        <v>291</v>
      </c>
      <c r="J367" s="8" t="s">
        <v>292</v>
      </c>
      <c r="K367" s="8" t="s">
        <v>293</v>
      </c>
      <c r="L367" s="9" t="s">
        <v>294</v>
      </c>
      <c r="M367" s="8"/>
      <c r="N367" s="8" t="str">
        <f aca="true">IF(M367="","Active (per Notice 1)",IF(M367&lt;TODAY(),"Expired",IF(M367&lt;TODAY()+180,"Expiring Soon","Active")))</f>
        <v>Active (per Notice 1)</v>
      </c>
      <c r="O367" s="12" t="s">
        <v>305</v>
      </c>
      <c r="P367" s="8" t="s">
        <v>327</v>
      </c>
      <c r="Q367" s="8" t="n">
        <v>3.37</v>
      </c>
      <c r="R367" s="8" t="n">
        <v>2</v>
      </c>
      <c r="S367" s="11" t="n">
        <v>45150</v>
      </c>
      <c r="T367" s="8" t="str">
        <f aca="true">IF(S367="","",IF(EDATE(S367,60)&lt;TODAY(),"Expired",IF(EDATE(S367,60)&lt;TODAY()+180,"Expiring Soon","Valid")))</f>
        <v>Valid</v>
      </c>
      <c r="U367" s="8" t="str">
        <f aca="false">IF(P367="","",IF(P367="A++","Top Tier",IF(P367="A+","High",IF(P367="A","Strong",IF(LEFT(P367,1)="B","Acceptable",IF(LEFT(P367,1)="C","Below Avg","-"))))))</f>
        <v>High</v>
      </c>
      <c r="AT367" s="8"/>
      <c r="AU367" s="8"/>
    </row>
    <row r="368" customFormat="false" ht="23.25" hidden="false" customHeight="true" outlineLevel="0" collapsed="false">
      <c r="A368" s="8" t="n">
        <v>367</v>
      </c>
      <c r="B368" s="8" t="n">
        <v>59</v>
      </c>
      <c r="C368" s="8" t="s">
        <v>522</v>
      </c>
      <c r="D368" s="8" t="s">
        <v>333</v>
      </c>
      <c r="E368" s="9" t="s">
        <v>528</v>
      </c>
      <c r="F368" s="9" t="s">
        <v>306</v>
      </c>
      <c r="G368" s="8" t="s">
        <v>307</v>
      </c>
      <c r="H368" s="8" t="s">
        <v>302</v>
      </c>
      <c r="I368" s="8" t="s">
        <v>291</v>
      </c>
      <c r="J368" s="8" t="s">
        <v>292</v>
      </c>
      <c r="K368" s="8" t="s">
        <v>293</v>
      </c>
      <c r="L368" s="9" t="s">
        <v>294</v>
      </c>
      <c r="M368" s="8"/>
      <c r="N368" s="8" t="str">
        <f aca="true">IF(M368="","Active (per Notice 1)",IF(M368&lt;TODAY(),"Expired",IF(M368&lt;TODAY()+180,"Expiring Soon","Active")))</f>
        <v>Active (per Notice 1)</v>
      </c>
      <c r="O368" s="12" t="s">
        <v>305</v>
      </c>
      <c r="P368" s="8" t="s">
        <v>327</v>
      </c>
      <c r="Q368" s="8" t="n">
        <v>3.37</v>
      </c>
      <c r="R368" s="8" t="n">
        <v>2</v>
      </c>
      <c r="S368" s="11" t="n">
        <v>45150</v>
      </c>
      <c r="T368" s="8" t="str">
        <f aca="true">IF(S368="","",IF(EDATE(S368,60)&lt;TODAY(),"Expired",IF(EDATE(S368,60)&lt;TODAY()+180,"Expiring Soon","Valid")))</f>
        <v>Valid</v>
      </c>
      <c r="U368" s="8" t="str">
        <f aca="false">IF(P368="","",IF(P368="A++","Top Tier",IF(P368="A+","High",IF(P368="A","Strong",IF(LEFT(P368,1)="B","Acceptable",IF(LEFT(P368,1)="C","Below Avg","-"))))))</f>
        <v>High</v>
      </c>
      <c r="AT368" s="8"/>
      <c r="AU368" s="8"/>
    </row>
    <row r="369" customFormat="false" ht="15" hidden="false" customHeight="true" outlineLevel="0" collapsed="false">
      <c r="A369" s="8" t="n">
        <v>368</v>
      </c>
      <c r="B369" s="8" t="n">
        <v>60</v>
      </c>
      <c r="C369" s="8" t="s">
        <v>530</v>
      </c>
      <c r="D369" s="8" t="s">
        <v>333</v>
      </c>
      <c r="E369" s="9" t="s">
        <v>531</v>
      </c>
      <c r="F369" s="9" t="s">
        <v>317</v>
      </c>
      <c r="G369" s="8" t="s">
        <v>318</v>
      </c>
      <c r="H369" s="8" t="s">
        <v>290</v>
      </c>
      <c r="I369" s="8" t="s">
        <v>291</v>
      </c>
      <c r="J369" s="8" t="s">
        <v>292</v>
      </c>
      <c r="K369" s="8" t="s">
        <v>293</v>
      </c>
      <c r="L369" s="9" t="s">
        <v>294</v>
      </c>
      <c r="M369" s="8"/>
      <c r="N369" s="8" t="str">
        <f aca="true">IF(M369="","Active (per Notice 1)",IF(M369&lt;TODAY(),"Expired",IF(M369&lt;TODAY()+180,"Expiring Soon","Active")))</f>
        <v>Active (per Notice 1)</v>
      </c>
      <c r="O369" s="12" t="s">
        <v>305</v>
      </c>
      <c r="P369" s="8" t="s">
        <v>327</v>
      </c>
      <c r="Q369" s="8" t="n">
        <v>3.28</v>
      </c>
      <c r="R369" s="8" t="n">
        <v>1</v>
      </c>
      <c r="S369" s="11" t="n">
        <v>43717</v>
      </c>
      <c r="T369" s="8" t="str">
        <f aca="true">IF(S369="","",IF(EDATE(S369,60)&lt;TODAY(),"Expired",IF(EDATE(S369,60)&lt;TODAY()+180,"Expiring Soon","Valid")))</f>
        <v>Expired</v>
      </c>
      <c r="U369" s="8" t="str">
        <f aca="false">IF(P369="","",IF(P369="A++","Top Tier",IF(P369="A+","High",IF(P369="A","Strong",IF(LEFT(P369,1)="B","Acceptable",IF(LEFT(P369,1)="C","Below Avg","-"))))))</f>
        <v>High</v>
      </c>
      <c r="AC369" s="8" t="n">
        <v>32</v>
      </c>
      <c r="AD369" s="8" t="n">
        <v>19</v>
      </c>
      <c r="AE369" s="8" t="n">
        <v>34</v>
      </c>
      <c r="AF369" s="8" t="n">
        <v>31</v>
      </c>
      <c r="AG369" s="8" t="n">
        <v>32</v>
      </c>
      <c r="AH369" s="8" t="n">
        <v>15</v>
      </c>
      <c r="AI369" s="8"/>
      <c r="AJ369" s="8"/>
      <c r="AK369" s="8"/>
      <c r="AL369" s="8" t="n">
        <v>14</v>
      </c>
      <c r="AM369" s="8"/>
      <c r="AN369" s="8"/>
      <c r="AO369" s="8"/>
      <c r="AP369" s="8"/>
      <c r="AQ369" s="8"/>
      <c r="AR369" s="8"/>
      <c r="AS369" s="8"/>
      <c r="AT369" s="8"/>
      <c r="AU369" s="8"/>
    </row>
    <row r="370" customFormat="false" ht="15" hidden="false" customHeight="true" outlineLevel="0" collapsed="false">
      <c r="A370" s="8" t="n">
        <v>369</v>
      </c>
      <c r="B370" s="8" t="n">
        <v>60</v>
      </c>
      <c r="C370" s="8" t="s">
        <v>530</v>
      </c>
      <c r="D370" s="8" t="s">
        <v>333</v>
      </c>
      <c r="E370" s="9" t="s">
        <v>531</v>
      </c>
      <c r="F370" s="9" t="s">
        <v>319</v>
      </c>
      <c r="G370" s="8" t="s">
        <v>320</v>
      </c>
      <c r="H370" s="8" t="s">
        <v>290</v>
      </c>
      <c r="I370" s="8" t="s">
        <v>291</v>
      </c>
      <c r="J370" s="8" t="s">
        <v>292</v>
      </c>
      <c r="K370" s="8" t="s">
        <v>293</v>
      </c>
      <c r="L370" s="9" t="s">
        <v>294</v>
      </c>
      <c r="M370" s="8"/>
      <c r="N370" s="8" t="str">
        <f aca="true">IF(M370="","Active (per Notice 1)",IF(M370&lt;TODAY(),"Expired",IF(M370&lt;TODAY()+180,"Expiring Soon","Active")))</f>
        <v>Active (per Notice 1)</v>
      </c>
      <c r="O370" s="12" t="s">
        <v>305</v>
      </c>
      <c r="P370" s="8" t="s">
        <v>327</v>
      </c>
      <c r="Q370" s="8" t="n">
        <v>3.28</v>
      </c>
      <c r="R370" s="8" t="n">
        <v>1</v>
      </c>
      <c r="S370" s="11" t="n">
        <v>43717</v>
      </c>
      <c r="T370" s="8" t="str">
        <f aca="true">IF(S370="","",IF(EDATE(S370,60)&lt;TODAY(),"Expired",IF(EDATE(S370,60)&lt;TODAY()+180,"Expiring Soon","Valid")))</f>
        <v>Expired</v>
      </c>
      <c r="U370" s="8" t="str">
        <f aca="false">IF(P370="","",IF(P370="A++","Top Tier",IF(P370="A+","High",IF(P370="A","Strong",IF(LEFT(P370,1)="B","Acceptable",IF(LEFT(P370,1)="C","Below Avg","-"))))))</f>
        <v>High</v>
      </c>
      <c r="AC370" s="8" t="n">
        <v>32</v>
      </c>
      <c r="AD370" s="8" t="n">
        <v>19</v>
      </c>
      <c r="AE370" s="8" t="n">
        <v>34</v>
      </c>
      <c r="AF370" s="8" t="n">
        <v>31</v>
      </c>
      <c r="AG370" s="8" t="n">
        <v>32</v>
      </c>
      <c r="AH370" s="8" t="n">
        <v>15</v>
      </c>
      <c r="AI370" s="8"/>
      <c r="AJ370" s="8"/>
      <c r="AK370" s="8"/>
      <c r="AL370" s="8" t="n">
        <v>14</v>
      </c>
      <c r="AM370" s="8"/>
      <c r="AN370" s="8"/>
      <c r="AO370" s="8"/>
      <c r="AP370" s="8"/>
      <c r="AQ370" s="8"/>
      <c r="AR370" s="8"/>
      <c r="AS370" s="8"/>
      <c r="AT370" s="8"/>
      <c r="AU370" s="8"/>
    </row>
    <row r="371" customFormat="false" ht="15" hidden="false" customHeight="true" outlineLevel="0" collapsed="false">
      <c r="A371" s="8" t="n">
        <v>370</v>
      </c>
      <c r="B371" s="8" t="n">
        <v>60</v>
      </c>
      <c r="C371" s="8" t="s">
        <v>530</v>
      </c>
      <c r="D371" s="8" t="s">
        <v>333</v>
      </c>
      <c r="E371" s="9" t="s">
        <v>531</v>
      </c>
      <c r="F371" s="9" t="s">
        <v>524</v>
      </c>
      <c r="G371" s="8" t="s">
        <v>298</v>
      </c>
      <c r="H371" s="8" t="s">
        <v>290</v>
      </c>
      <c r="I371" s="8" t="s">
        <v>291</v>
      </c>
      <c r="J371" s="8" t="s">
        <v>292</v>
      </c>
      <c r="K371" s="8" t="s">
        <v>293</v>
      </c>
      <c r="L371" s="9" t="s">
        <v>294</v>
      </c>
      <c r="M371" s="8"/>
      <c r="N371" s="8" t="str">
        <f aca="true">IF(M371="","Active (per Notice 1)",IF(M371&lt;TODAY(),"Expired",IF(M371&lt;TODAY()+180,"Expiring Soon","Active")))</f>
        <v>Active (per Notice 1)</v>
      </c>
      <c r="O371" s="10" t="s">
        <v>295</v>
      </c>
      <c r="P371" s="8" t="s">
        <v>327</v>
      </c>
      <c r="Q371" s="8" t="n">
        <v>3.28</v>
      </c>
      <c r="R371" s="8" t="n">
        <v>1</v>
      </c>
      <c r="S371" s="11" t="n">
        <v>43717</v>
      </c>
      <c r="T371" s="8" t="str">
        <f aca="true">IF(S371="","",IF(EDATE(S371,60)&lt;TODAY(),"Expired",IF(EDATE(S371,60)&lt;TODAY()+180,"Expiring Soon","Valid")))</f>
        <v>Expired</v>
      </c>
      <c r="U371" s="8" t="str">
        <f aca="false">IF(P371="","",IF(P371="A++","Top Tier",IF(P371="A+","High",IF(P371="A","Strong",IF(LEFT(P371,1)="B","Acceptable",IF(LEFT(P371,1)="C","Below Avg","-"))))))</f>
        <v>High</v>
      </c>
      <c r="AC371" s="8" t="n">
        <v>32</v>
      </c>
      <c r="AD371" s="8" t="n">
        <v>19</v>
      </c>
      <c r="AE371" s="8" t="n">
        <v>34</v>
      </c>
      <c r="AF371" s="8" t="n">
        <v>31</v>
      </c>
      <c r="AG371" s="8" t="n">
        <v>32</v>
      </c>
      <c r="AH371" s="8" t="n">
        <v>15</v>
      </c>
      <c r="AI371" s="8"/>
      <c r="AJ371" s="8"/>
      <c r="AK371" s="8"/>
      <c r="AL371" s="8" t="n">
        <v>14</v>
      </c>
      <c r="AM371" s="8"/>
      <c r="AN371" s="8"/>
      <c r="AO371" s="8"/>
      <c r="AP371" s="8"/>
      <c r="AQ371" s="8"/>
      <c r="AR371" s="8"/>
      <c r="AS371" s="8"/>
      <c r="AT371" s="8"/>
      <c r="AU371" s="8"/>
    </row>
    <row r="372" customFormat="false" ht="15" hidden="false" customHeight="true" outlineLevel="0" collapsed="false">
      <c r="A372" s="8" t="n">
        <v>371</v>
      </c>
      <c r="B372" s="8" t="n">
        <v>60</v>
      </c>
      <c r="C372" s="8" t="s">
        <v>530</v>
      </c>
      <c r="D372" s="8" t="s">
        <v>333</v>
      </c>
      <c r="E372" s="9" t="s">
        <v>531</v>
      </c>
      <c r="F372" s="9" t="s">
        <v>484</v>
      </c>
      <c r="G372" s="8" t="s">
        <v>301</v>
      </c>
      <c r="H372" s="8" t="s">
        <v>302</v>
      </c>
      <c r="I372" s="8" t="s">
        <v>291</v>
      </c>
      <c r="J372" s="8" t="s">
        <v>292</v>
      </c>
      <c r="K372" s="8" t="s">
        <v>293</v>
      </c>
      <c r="L372" s="9" t="s">
        <v>294</v>
      </c>
      <c r="M372" s="8"/>
      <c r="N372" s="8" t="str">
        <f aca="true">IF(M372="","Active (per Notice 1)",IF(M372&lt;TODAY(),"Expired",IF(M372&lt;TODAY()+180,"Expiring Soon","Active")))</f>
        <v>Active (per Notice 1)</v>
      </c>
      <c r="O372" s="10" t="s">
        <v>295</v>
      </c>
      <c r="P372" s="8" t="s">
        <v>327</v>
      </c>
      <c r="Q372" s="8" t="n">
        <v>3.28</v>
      </c>
      <c r="R372" s="8" t="n">
        <v>1</v>
      </c>
      <c r="S372" s="11" t="n">
        <v>43717</v>
      </c>
      <c r="T372" s="8" t="str">
        <f aca="true">IF(S372="","",IF(EDATE(S372,60)&lt;TODAY(),"Expired",IF(EDATE(S372,60)&lt;TODAY()+180,"Expiring Soon","Valid")))</f>
        <v>Expired</v>
      </c>
      <c r="U372" s="8" t="str">
        <f aca="false">IF(P372="","",IF(P372="A++","Top Tier",IF(P372="A+","High",IF(P372="A","Strong",IF(LEFT(P372,1)="B","Acceptable",IF(LEFT(P372,1)="C","Below Avg","-"))))))</f>
        <v>High</v>
      </c>
      <c r="AC372" s="8" t="n">
        <v>32</v>
      </c>
      <c r="AD372" s="8" t="n">
        <v>19</v>
      </c>
      <c r="AE372" s="8" t="n">
        <v>34</v>
      </c>
      <c r="AF372" s="8" t="n">
        <v>31</v>
      </c>
      <c r="AG372" s="8" t="n">
        <v>32</v>
      </c>
      <c r="AH372" s="8" t="n">
        <v>15</v>
      </c>
      <c r="AI372" s="8"/>
      <c r="AJ372" s="8"/>
      <c r="AK372" s="8"/>
      <c r="AL372" s="8" t="n">
        <v>14</v>
      </c>
      <c r="AM372" s="8"/>
      <c r="AN372" s="8"/>
      <c r="AO372" s="8"/>
      <c r="AP372" s="8"/>
      <c r="AQ372" s="8"/>
      <c r="AR372" s="8"/>
      <c r="AS372" s="8"/>
      <c r="AT372" s="8"/>
      <c r="AU372" s="8"/>
    </row>
    <row r="373" customFormat="false" ht="15" hidden="false" customHeight="true" outlineLevel="0" collapsed="false">
      <c r="A373" s="8" t="n">
        <v>372</v>
      </c>
      <c r="B373" s="8" t="n">
        <v>60</v>
      </c>
      <c r="C373" s="8" t="s">
        <v>530</v>
      </c>
      <c r="D373" s="8" t="s">
        <v>333</v>
      </c>
      <c r="E373" s="9" t="s">
        <v>531</v>
      </c>
      <c r="F373" s="9" t="s">
        <v>401</v>
      </c>
      <c r="G373" s="8" t="s">
        <v>386</v>
      </c>
      <c r="H373" s="8" t="s">
        <v>302</v>
      </c>
      <c r="I373" s="8" t="s">
        <v>291</v>
      </c>
      <c r="J373" s="8" t="s">
        <v>292</v>
      </c>
      <c r="K373" s="8" t="s">
        <v>293</v>
      </c>
      <c r="L373" s="9" t="s">
        <v>294</v>
      </c>
      <c r="M373" s="8"/>
      <c r="N373" s="8" t="str">
        <f aca="true">IF(M373="","Active (per Notice 1)",IF(M373&lt;TODAY(),"Expired",IF(M373&lt;TODAY()+180,"Expiring Soon","Active")))</f>
        <v>Active (per Notice 1)</v>
      </c>
      <c r="O373" s="10" t="s">
        <v>295</v>
      </c>
      <c r="P373" s="8" t="s">
        <v>327</v>
      </c>
      <c r="Q373" s="8" t="n">
        <v>3.28</v>
      </c>
      <c r="R373" s="8" t="n">
        <v>1</v>
      </c>
      <c r="S373" s="11" t="n">
        <v>43717</v>
      </c>
      <c r="T373" s="8" t="str">
        <f aca="true">IF(S373="","",IF(EDATE(S373,60)&lt;TODAY(),"Expired",IF(EDATE(S373,60)&lt;TODAY()+180,"Expiring Soon","Valid")))</f>
        <v>Expired</v>
      </c>
      <c r="U373" s="8" t="str">
        <f aca="false">IF(P373="","",IF(P373="A++","Top Tier",IF(P373="A+","High",IF(P373="A","Strong",IF(LEFT(P373,1)="B","Acceptable",IF(LEFT(P373,1)="C","Below Avg","-"))))))</f>
        <v>High</v>
      </c>
      <c r="AC373" s="8" t="n">
        <v>32</v>
      </c>
      <c r="AD373" s="8" t="n">
        <v>19</v>
      </c>
      <c r="AE373" s="8" t="n">
        <v>34</v>
      </c>
      <c r="AF373" s="8" t="n">
        <v>31</v>
      </c>
      <c r="AG373" s="8" t="n">
        <v>32</v>
      </c>
      <c r="AH373" s="8" t="n">
        <v>15</v>
      </c>
      <c r="AI373" s="8"/>
      <c r="AJ373" s="8"/>
      <c r="AK373" s="8"/>
      <c r="AL373" s="8" t="n">
        <v>14</v>
      </c>
      <c r="AM373" s="8"/>
      <c r="AN373" s="8"/>
      <c r="AO373" s="8"/>
      <c r="AP373" s="8"/>
      <c r="AQ373" s="8"/>
      <c r="AR373" s="8"/>
      <c r="AS373" s="8"/>
      <c r="AT373" s="8"/>
      <c r="AU373" s="8"/>
    </row>
    <row r="374" customFormat="false" ht="15" hidden="false" customHeight="true" outlineLevel="0" collapsed="false">
      <c r="A374" s="8" t="n">
        <v>373</v>
      </c>
      <c r="B374" s="8" t="n">
        <v>60</v>
      </c>
      <c r="C374" s="8" t="s">
        <v>530</v>
      </c>
      <c r="D374" s="8" t="s">
        <v>333</v>
      </c>
      <c r="E374" s="9" t="s">
        <v>531</v>
      </c>
      <c r="F374" s="9" t="s">
        <v>311</v>
      </c>
      <c r="G374" s="8" t="s">
        <v>301</v>
      </c>
      <c r="H374" s="8" t="s">
        <v>302</v>
      </c>
      <c r="I374" s="8" t="s">
        <v>291</v>
      </c>
      <c r="J374" s="8" t="s">
        <v>292</v>
      </c>
      <c r="K374" s="8" t="s">
        <v>293</v>
      </c>
      <c r="L374" s="9" t="s">
        <v>294</v>
      </c>
      <c r="M374" s="8"/>
      <c r="N374" s="8" t="str">
        <f aca="true">IF(M374="","Active (per Notice 1)",IF(M374&lt;TODAY(),"Expired",IF(M374&lt;TODAY()+180,"Expiring Soon","Active")))</f>
        <v>Active (per Notice 1)</v>
      </c>
      <c r="O374" s="10" t="s">
        <v>295</v>
      </c>
      <c r="P374" s="8" t="s">
        <v>327</v>
      </c>
      <c r="Q374" s="8" t="n">
        <v>3.28</v>
      </c>
      <c r="R374" s="8" t="n">
        <v>1</v>
      </c>
      <c r="S374" s="11" t="n">
        <v>43717</v>
      </c>
      <c r="T374" s="8" t="str">
        <f aca="true">IF(S374="","",IF(EDATE(S374,60)&lt;TODAY(),"Expired",IF(EDATE(S374,60)&lt;TODAY()+180,"Expiring Soon","Valid")))</f>
        <v>Expired</v>
      </c>
      <c r="U374" s="8" t="str">
        <f aca="false">IF(P374="","",IF(P374="A++","Top Tier",IF(P374="A+","High",IF(P374="A","Strong",IF(LEFT(P374,1)="B","Acceptable",IF(LEFT(P374,1)="C","Below Avg","-"))))))</f>
        <v>High</v>
      </c>
      <c r="AC374" s="8" t="n">
        <v>32</v>
      </c>
      <c r="AD374" s="8" t="n">
        <v>19</v>
      </c>
      <c r="AE374" s="8" t="n">
        <v>34</v>
      </c>
      <c r="AF374" s="8" t="n">
        <v>31</v>
      </c>
      <c r="AG374" s="8" t="n">
        <v>32</v>
      </c>
      <c r="AH374" s="8" t="n">
        <v>15</v>
      </c>
      <c r="AI374" s="8"/>
      <c r="AJ374" s="8"/>
      <c r="AK374" s="8"/>
      <c r="AL374" s="8" t="n">
        <v>14</v>
      </c>
      <c r="AM374" s="8"/>
      <c r="AN374" s="8"/>
      <c r="AO374" s="8"/>
      <c r="AP374" s="8"/>
      <c r="AQ374" s="8"/>
      <c r="AR374" s="8"/>
      <c r="AS374" s="8"/>
      <c r="AT374" s="8"/>
      <c r="AU374" s="8"/>
    </row>
    <row r="375" customFormat="false" ht="15" hidden="false" customHeight="true" outlineLevel="0" collapsed="false">
      <c r="A375" s="8" t="n">
        <v>374</v>
      </c>
      <c r="B375" s="8" t="n">
        <v>60</v>
      </c>
      <c r="C375" s="8" t="s">
        <v>530</v>
      </c>
      <c r="D375" s="8" t="s">
        <v>333</v>
      </c>
      <c r="E375" s="9" t="s">
        <v>531</v>
      </c>
      <c r="F375" s="9" t="s">
        <v>312</v>
      </c>
      <c r="G375" s="8" t="s">
        <v>301</v>
      </c>
      <c r="H375" s="8" t="s">
        <v>302</v>
      </c>
      <c r="I375" s="8" t="s">
        <v>291</v>
      </c>
      <c r="J375" s="8" t="s">
        <v>292</v>
      </c>
      <c r="K375" s="8" t="s">
        <v>293</v>
      </c>
      <c r="L375" s="9" t="s">
        <v>294</v>
      </c>
      <c r="M375" s="8"/>
      <c r="N375" s="8" t="str">
        <f aca="true">IF(M375="","Active (per Notice 1)",IF(M375&lt;TODAY(),"Expired",IF(M375&lt;TODAY()+180,"Expiring Soon","Active")))</f>
        <v>Active (per Notice 1)</v>
      </c>
      <c r="O375" s="10" t="s">
        <v>295</v>
      </c>
      <c r="P375" s="8" t="s">
        <v>327</v>
      </c>
      <c r="Q375" s="8" t="n">
        <v>3.28</v>
      </c>
      <c r="R375" s="8" t="n">
        <v>1</v>
      </c>
      <c r="S375" s="11" t="n">
        <v>43717</v>
      </c>
      <c r="T375" s="8" t="str">
        <f aca="true">IF(S375="","",IF(EDATE(S375,60)&lt;TODAY(),"Expired",IF(EDATE(S375,60)&lt;TODAY()+180,"Expiring Soon","Valid")))</f>
        <v>Expired</v>
      </c>
      <c r="U375" s="8" t="str">
        <f aca="false">IF(P375="","",IF(P375="A++","Top Tier",IF(P375="A+","High",IF(P375="A","Strong",IF(LEFT(P375,1)="B","Acceptable",IF(LEFT(P375,1)="C","Below Avg","-"))))))</f>
        <v>High</v>
      </c>
      <c r="AC375" s="8" t="n">
        <v>32</v>
      </c>
      <c r="AD375" s="8" t="n">
        <v>19</v>
      </c>
      <c r="AE375" s="8" t="n">
        <v>34</v>
      </c>
      <c r="AF375" s="8" t="n">
        <v>31</v>
      </c>
      <c r="AG375" s="8" t="n">
        <v>32</v>
      </c>
      <c r="AH375" s="8" t="n">
        <v>15</v>
      </c>
      <c r="AI375" s="8"/>
      <c r="AJ375" s="8"/>
      <c r="AK375" s="8"/>
      <c r="AL375" s="8" t="n">
        <v>14</v>
      </c>
      <c r="AM375" s="8"/>
      <c r="AN375" s="8"/>
      <c r="AO375" s="8"/>
      <c r="AP375" s="8"/>
      <c r="AQ375" s="8"/>
      <c r="AR375" s="8"/>
      <c r="AS375" s="8"/>
      <c r="AT375" s="8"/>
      <c r="AU375" s="8"/>
    </row>
    <row r="376" customFormat="false" ht="15" hidden="false" customHeight="true" outlineLevel="0" collapsed="false">
      <c r="A376" s="8" t="n">
        <v>375</v>
      </c>
      <c r="B376" s="8" t="n">
        <v>60</v>
      </c>
      <c r="C376" s="8" t="s">
        <v>530</v>
      </c>
      <c r="D376" s="8" t="s">
        <v>333</v>
      </c>
      <c r="E376" s="9" t="s">
        <v>531</v>
      </c>
      <c r="F376" s="9" t="s">
        <v>385</v>
      </c>
      <c r="G376" s="8" t="s">
        <v>386</v>
      </c>
      <c r="H376" s="8" t="s">
        <v>302</v>
      </c>
      <c r="I376" s="8" t="s">
        <v>291</v>
      </c>
      <c r="J376" s="8" t="s">
        <v>292</v>
      </c>
      <c r="K376" s="8" t="s">
        <v>293</v>
      </c>
      <c r="L376" s="9" t="s">
        <v>294</v>
      </c>
      <c r="M376" s="8"/>
      <c r="N376" s="8" t="str">
        <f aca="true">IF(M376="","Active (per Notice 1)",IF(M376&lt;TODAY(),"Expired",IF(M376&lt;TODAY()+180,"Expiring Soon","Active")))</f>
        <v>Active (per Notice 1)</v>
      </c>
      <c r="O376" s="10" t="s">
        <v>295</v>
      </c>
      <c r="P376" s="8" t="s">
        <v>327</v>
      </c>
      <c r="Q376" s="8" t="n">
        <v>3.28</v>
      </c>
      <c r="R376" s="8" t="n">
        <v>1</v>
      </c>
      <c r="S376" s="11" t="n">
        <v>43717</v>
      </c>
      <c r="T376" s="8" t="str">
        <f aca="true">IF(S376="","",IF(EDATE(S376,60)&lt;TODAY(),"Expired",IF(EDATE(S376,60)&lt;TODAY()+180,"Expiring Soon","Valid")))</f>
        <v>Expired</v>
      </c>
      <c r="U376" s="8" t="str">
        <f aca="false">IF(P376="","",IF(P376="A++","Top Tier",IF(P376="A+","High",IF(P376="A","Strong",IF(LEFT(P376,1)="B","Acceptable",IF(LEFT(P376,1)="C","Below Avg","-"))))))</f>
        <v>High</v>
      </c>
      <c r="AC376" s="8" t="n">
        <v>32</v>
      </c>
      <c r="AD376" s="8" t="n">
        <v>19</v>
      </c>
      <c r="AE376" s="8" t="n">
        <v>34</v>
      </c>
      <c r="AF376" s="8" t="n">
        <v>31</v>
      </c>
      <c r="AG376" s="8" t="n">
        <v>32</v>
      </c>
      <c r="AH376" s="8" t="n">
        <v>15</v>
      </c>
      <c r="AI376" s="8"/>
      <c r="AJ376" s="8"/>
      <c r="AK376" s="8"/>
      <c r="AL376" s="8" t="n">
        <v>14</v>
      </c>
      <c r="AM376" s="8"/>
      <c r="AN376" s="8"/>
      <c r="AO376" s="8"/>
      <c r="AP376" s="8"/>
      <c r="AQ376" s="8"/>
      <c r="AR376" s="8"/>
      <c r="AS376" s="8"/>
      <c r="AT376" s="8"/>
      <c r="AU376" s="8"/>
    </row>
    <row r="377" customFormat="false" ht="15" hidden="false" customHeight="true" outlineLevel="0" collapsed="false">
      <c r="A377" s="8" t="n">
        <v>376</v>
      </c>
      <c r="B377" s="8" t="n">
        <v>60</v>
      </c>
      <c r="C377" s="8" t="s">
        <v>530</v>
      </c>
      <c r="D377" s="8" t="s">
        <v>333</v>
      </c>
      <c r="E377" s="9" t="s">
        <v>531</v>
      </c>
      <c r="F377" s="9" t="s">
        <v>303</v>
      </c>
      <c r="G377" s="8" t="s">
        <v>304</v>
      </c>
      <c r="H377" s="8" t="s">
        <v>302</v>
      </c>
      <c r="I377" s="8" t="s">
        <v>291</v>
      </c>
      <c r="J377" s="8" t="s">
        <v>292</v>
      </c>
      <c r="K377" s="8" t="s">
        <v>293</v>
      </c>
      <c r="L377" s="9" t="s">
        <v>294</v>
      </c>
      <c r="M377" s="8"/>
      <c r="N377" s="8" t="str">
        <f aca="true">IF(M377="","Active (per Notice 1)",IF(M377&lt;TODAY(),"Expired",IF(M377&lt;TODAY()+180,"Expiring Soon","Active")))</f>
        <v>Active (per Notice 1)</v>
      </c>
      <c r="O377" s="12" t="s">
        <v>305</v>
      </c>
      <c r="P377" s="8" t="s">
        <v>327</v>
      </c>
      <c r="Q377" s="8" t="n">
        <v>3.28</v>
      </c>
      <c r="R377" s="8" t="n">
        <v>1</v>
      </c>
      <c r="S377" s="11" t="n">
        <v>43717</v>
      </c>
      <c r="T377" s="8" t="str">
        <f aca="true">IF(S377="","",IF(EDATE(S377,60)&lt;TODAY(),"Expired",IF(EDATE(S377,60)&lt;TODAY()+180,"Expiring Soon","Valid")))</f>
        <v>Expired</v>
      </c>
      <c r="U377" s="8" t="str">
        <f aca="false">IF(P377="","",IF(P377="A++","Top Tier",IF(P377="A+","High",IF(P377="A","Strong",IF(LEFT(P377,1)="B","Acceptable",IF(LEFT(P377,1)="C","Below Avg","-"))))))</f>
        <v>High</v>
      </c>
      <c r="AC377" s="8" t="n">
        <v>32</v>
      </c>
      <c r="AD377" s="8" t="n">
        <v>19</v>
      </c>
      <c r="AE377" s="8" t="n">
        <v>34</v>
      </c>
      <c r="AF377" s="8" t="n">
        <v>31</v>
      </c>
      <c r="AG377" s="8" t="n">
        <v>32</v>
      </c>
      <c r="AH377" s="8" t="n">
        <v>15</v>
      </c>
      <c r="AI377" s="8"/>
      <c r="AJ377" s="8"/>
      <c r="AK377" s="8"/>
      <c r="AL377" s="8" t="n">
        <v>14</v>
      </c>
      <c r="AM377" s="8"/>
      <c r="AN377" s="8"/>
      <c r="AO377" s="8"/>
      <c r="AP377" s="8"/>
      <c r="AQ377" s="8"/>
      <c r="AR377" s="8"/>
      <c r="AS377" s="8"/>
      <c r="AT377" s="8"/>
      <c r="AU377" s="8"/>
    </row>
    <row r="378" customFormat="false" ht="15" hidden="false" customHeight="true" outlineLevel="0" collapsed="false">
      <c r="A378" s="8" t="n">
        <v>377</v>
      </c>
      <c r="B378" s="8" t="n">
        <v>60</v>
      </c>
      <c r="C378" s="8" t="s">
        <v>530</v>
      </c>
      <c r="D378" s="8" t="s">
        <v>333</v>
      </c>
      <c r="E378" s="9" t="s">
        <v>531</v>
      </c>
      <c r="F378" s="9" t="s">
        <v>306</v>
      </c>
      <c r="G378" s="8" t="s">
        <v>307</v>
      </c>
      <c r="H378" s="8" t="s">
        <v>302</v>
      </c>
      <c r="I378" s="8" t="s">
        <v>291</v>
      </c>
      <c r="J378" s="8" t="s">
        <v>292</v>
      </c>
      <c r="K378" s="8" t="s">
        <v>293</v>
      </c>
      <c r="L378" s="9" t="s">
        <v>294</v>
      </c>
      <c r="M378" s="8"/>
      <c r="N378" s="8" t="str">
        <f aca="true">IF(M378="","Active (per Notice 1)",IF(M378&lt;TODAY(),"Expired",IF(M378&lt;TODAY()+180,"Expiring Soon","Active")))</f>
        <v>Active (per Notice 1)</v>
      </c>
      <c r="O378" s="12" t="s">
        <v>305</v>
      </c>
      <c r="P378" s="8" t="s">
        <v>327</v>
      </c>
      <c r="Q378" s="8" t="n">
        <v>3.28</v>
      </c>
      <c r="R378" s="8" t="n">
        <v>1</v>
      </c>
      <c r="S378" s="11" t="n">
        <v>43717</v>
      </c>
      <c r="T378" s="8" t="str">
        <f aca="true">IF(S378="","",IF(EDATE(S378,60)&lt;TODAY(),"Expired",IF(EDATE(S378,60)&lt;TODAY()+180,"Expiring Soon","Valid")))</f>
        <v>Expired</v>
      </c>
      <c r="U378" s="8" t="str">
        <f aca="false">IF(P378="","",IF(P378="A++","Top Tier",IF(P378="A+","High",IF(P378="A","Strong",IF(LEFT(P378,1)="B","Acceptable",IF(LEFT(P378,1)="C","Below Avg","-"))))))</f>
        <v>High</v>
      </c>
      <c r="AC378" s="8" t="n">
        <v>32</v>
      </c>
      <c r="AD378" s="8" t="n">
        <v>19</v>
      </c>
      <c r="AE378" s="8" t="n">
        <v>34</v>
      </c>
      <c r="AF378" s="8" t="n">
        <v>31</v>
      </c>
      <c r="AG378" s="8" t="n">
        <v>32</v>
      </c>
      <c r="AH378" s="8" t="n">
        <v>15</v>
      </c>
      <c r="AI378" s="8"/>
      <c r="AJ378" s="8"/>
      <c r="AK378" s="8"/>
      <c r="AL378" s="8" t="n">
        <v>14</v>
      </c>
      <c r="AM378" s="8"/>
      <c r="AN378" s="8"/>
      <c r="AO378" s="8"/>
      <c r="AP378" s="8"/>
      <c r="AQ378" s="8"/>
      <c r="AR378" s="8"/>
      <c r="AS378" s="8"/>
      <c r="AT378" s="8"/>
      <c r="AU378" s="8"/>
    </row>
    <row r="379" customFormat="false" ht="15" hidden="false" customHeight="true" outlineLevel="0" collapsed="false">
      <c r="A379" s="8" t="n">
        <v>378</v>
      </c>
      <c r="B379" s="8" t="n">
        <v>61</v>
      </c>
      <c r="C379" s="8" t="s">
        <v>530</v>
      </c>
      <c r="D379" s="8" t="s">
        <v>333</v>
      </c>
      <c r="E379" s="9" t="s">
        <v>532</v>
      </c>
      <c r="F379" s="9" t="s">
        <v>303</v>
      </c>
      <c r="G379" s="8" t="s">
        <v>304</v>
      </c>
      <c r="H379" s="8" t="s">
        <v>302</v>
      </c>
      <c r="I379" s="8" t="s">
        <v>291</v>
      </c>
      <c r="J379" s="8" t="s">
        <v>292</v>
      </c>
      <c r="K379" s="8" t="s">
        <v>293</v>
      </c>
      <c r="L379" s="9" t="s">
        <v>294</v>
      </c>
      <c r="M379" s="8"/>
      <c r="N379" s="8" t="str">
        <f aca="true">IF(M379="","Active (per Notice 1)",IF(M379&lt;TODAY(),"Expired",IF(M379&lt;TODAY()+180,"Expiring Soon","Active")))</f>
        <v>Active (per Notice 1)</v>
      </c>
      <c r="O379" s="12" t="s">
        <v>305</v>
      </c>
      <c r="P379" s="8" t="s">
        <v>327</v>
      </c>
      <c r="Q379" s="8" t="n">
        <v>3.26</v>
      </c>
      <c r="R379" s="8" t="n">
        <v>1</v>
      </c>
      <c r="S379" s="11" t="n">
        <v>44446</v>
      </c>
      <c r="T379" s="8" t="str">
        <f aca="true">IF(S379="","",IF(EDATE(S379,60)&lt;TODAY(),"Expired",IF(EDATE(S379,60)&lt;TODAY()+180,"Expiring Soon","Valid")))</f>
        <v>Expiring Soon</v>
      </c>
      <c r="U379" s="8" t="str">
        <f aca="false">IF(P379="","",IF(P379="A++","Top Tier",IF(P379="A+","High",IF(P379="A","Strong",IF(LEFT(P379,1)="B","Acceptable",IF(LEFT(P379,1)="C","Below Avg","-"))))))</f>
        <v>High</v>
      </c>
      <c r="AC379" s="8"/>
      <c r="AD379" s="8" t="n">
        <v>78</v>
      </c>
      <c r="AE379" s="8"/>
      <c r="AF379" s="8" t="n">
        <v>89</v>
      </c>
      <c r="AG379" s="8" t="n">
        <v>78</v>
      </c>
      <c r="AH379" s="8" t="n">
        <v>16</v>
      </c>
      <c r="AI379" s="8"/>
      <c r="AJ379" s="8"/>
      <c r="AK379" s="8"/>
      <c r="AL379" s="8" t="n">
        <v>38</v>
      </c>
      <c r="AM379" s="8"/>
      <c r="AN379" s="8"/>
      <c r="AO379" s="8"/>
      <c r="AP379" s="8"/>
      <c r="AQ379" s="8"/>
      <c r="AR379" s="8"/>
      <c r="AS379" s="8"/>
      <c r="AT379" s="8"/>
      <c r="AU379" s="8"/>
    </row>
    <row r="380" customFormat="false" ht="15" hidden="false" customHeight="true" outlineLevel="0" collapsed="false">
      <c r="A380" s="8" t="n">
        <v>379</v>
      </c>
      <c r="B380" s="8" t="n">
        <v>61</v>
      </c>
      <c r="C380" s="8" t="s">
        <v>530</v>
      </c>
      <c r="D380" s="8" t="s">
        <v>333</v>
      </c>
      <c r="E380" s="9" t="s">
        <v>532</v>
      </c>
      <c r="F380" s="9" t="s">
        <v>317</v>
      </c>
      <c r="G380" s="8" t="s">
        <v>318</v>
      </c>
      <c r="H380" s="8" t="s">
        <v>290</v>
      </c>
      <c r="I380" s="8" t="s">
        <v>291</v>
      </c>
      <c r="J380" s="8" t="s">
        <v>292</v>
      </c>
      <c r="K380" s="8" t="s">
        <v>293</v>
      </c>
      <c r="L380" s="9" t="s">
        <v>294</v>
      </c>
      <c r="M380" s="8"/>
      <c r="N380" s="8" t="str">
        <f aca="true">IF(M380="","Active (per Notice 1)",IF(M380&lt;TODAY(),"Expired",IF(M380&lt;TODAY()+180,"Expiring Soon","Active")))</f>
        <v>Active (per Notice 1)</v>
      </c>
      <c r="O380" s="12" t="s">
        <v>305</v>
      </c>
      <c r="P380" s="8" t="s">
        <v>327</v>
      </c>
      <c r="Q380" s="8" t="n">
        <v>3.26</v>
      </c>
      <c r="R380" s="8" t="n">
        <v>1</v>
      </c>
      <c r="S380" s="11" t="n">
        <v>44446</v>
      </c>
      <c r="T380" s="8" t="str">
        <f aca="true">IF(S380="","",IF(EDATE(S380,60)&lt;TODAY(),"Expired",IF(EDATE(S380,60)&lt;TODAY()+180,"Expiring Soon","Valid")))</f>
        <v>Expiring Soon</v>
      </c>
      <c r="U380" s="8" t="str">
        <f aca="false">IF(P380="","",IF(P380="A++","Top Tier",IF(P380="A+","High",IF(P380="A","Strong",IF(LEFT(P380,1)="B","Acceptable",IF(LEFT(P380,1)="C","Below Avg","-"))))))</f>
        <v>High</v>
      </c>
      <c r="AC380" s="8"/>
      <c r="AD380" s="8" t="n">
        <v>78</v>
      </c>
      <c r="AE380" s="8"/>
      <c r="AF380" s="8" t="n">
        <v>89</v>
      </c>
      <c r="AG380" s="8" t="n">
        <v>78</v>
      </c>
      <c r="AH380" s="8" t="n">
        <v>16</v>
      </c>
      <c r="AI380" s="8"/>
      <c r="AJ380" s="8"/>
      <c r="AK380" s="8"/>
      <c r="AL380" s="8" t="n">
        <v>38</v>
      </c>
      <c r="AM380" s="8"/>
      <c r="AN380" s="8"/>
      <c r="AO380" s="8"/>
      <c r="AP380" s="8"/>
      <c r="AQ380" s="8"/>
      <c r="AR380" s="8"/>
      <c r="AS380" s="8"/>
      <c r="AT380" s="8"/>
      <c r="AU380" s="8"/>
    </row>
    <row r="381" customFormat="false" ht="15" hidden="false" customHeight="true" outlineLevel="0" collapsed="false">
      <c r="A381" s="8" t="n">
        <v>380</v>
      </c>
      <c r="B381" s="8" t="n">
        <v>62</v>
      </c>
      <c r="C381" s="8" t="s">
        <v>530</v>
      </c>
      <c r="D381" s="8" t="s">
        <v>333</v>
      </c>
      <c r="E381" s="9" t="s">
        <v>533</v>
      </c>
      <c r="F381" s="9" t="s">
        <v>319</v>
      </c>
      <c r="G381" s="8" t="s">
        <v>320</v>
      </c>
      <c r="H381" s="8" t="s">
        <v>290</v>
      </c>
      <c r="I381" s="8" t="s">
        <v>291</v>
      </c>
      <c r="J381" s="8" t="s">
        <v>292</v>
      </c>
      <c r="K381" s="8" t="s">
        <v>293</v>
      </c>
      <c r="L381" s="9" t="s">
        <v>294</v>
      </c>
      <c r="M381" s="8"/>
      <c r="N381" s="8" t="str">
        <f aca="true">IF(M381="","Active (per Notice 1)",IF(M381&lt;TODAY(),"Expired",IF(M381&lt;TODAY()+180,"Expiring Soon","Active")))</f>
        <v>Active (per Notice 1)</v>
      </c>
      <c r="O381" s="12" t="s">
        <v>305</v>
      </c>
      <c r="P381" s="8" t="s">
        <v>296</v>
      </c>
      <c r="Q381" s="8" t="n">
        <v>3.68</v>
      </c>
      <c r="R381" s="8" t="n">
        <v>1</v>
      </c>
      <c r="S381" s="11" t="n">
        <v>45150</v>
      </c>
      <c r="T381" s="8" t="str">
        <f aca="true">IF(S381="","",IF(EDATE(S381,60)&lt;TODAY(),"Expired",IF(EDATE(S381,60)&lt;TODAY()+180,"Expiring Soon","Valid")))</f>
        <v>Valid</v>
      </c>
      <c r="U381" s="8" t="str">
        <f aca="false">IF(P381="","",IF(P381="A++","Top Tier",IF(P381="A+","High",IF(P381="A","Strong",IF(LEFT(P381,1)="B","Acceptable",IF(LEFT(P381,1)="C","Below Avg","-"))))))</f>
        <v>Top Tier</v>
      </c>
      <c r="AC381" s="8" t="n">
        <v>49</v>
      </c>
      <c r="AD381" s="8" t="n">
        <v>31</v>
      </c>
      <c r="AE381" s="8" t="n">
        <v>40</v>
      </c>
      <c r="AF381" s="8" t="n">
        <v>48</v>
      </c>
      <c r="AG381" s="8" t="n">
        <v>44</v>
      </c>
      <c r="AH381" s="8" t="n">
        <v>13</v>
      </c>
      <c r="AI381" s="8"/>
      <c r="AJ381" s="8"/>
      <c r="AK381" s="8" t="n">
        <v>26</v>
      </c>
      <c r="AL381" s="8" t="n">
        <v>24</v>
      </c>
      <c r="AM381" s="8" t="n">
        <v>17</v>
      </c>
      <c r="AN381" s="8"/>
      <c r="AO381" s="8"/>
      <c r="AP381" s="8"/>
      <c r="AQ381" s="8"/>
      <c r="AR381" s="8"/>
      <c r="AS381" s="8"/>
      <c r="AT381" s="8"/>
      <c r="AU381" s="8"/>
    </row>
    <row r="382" customFormat="false" ht="23.25" hidden="false" customHeight="true" outlineLevel="0" collapsed="false">
      <c r="A382" s="8" t="n">
        <v>381</v>
      </c>
      <c r="B382" s="8" t="n">
        <v>62</v>
      </c>
      <c r="C382" s="8" t="s">
        <v>530</v>
      </c>
      <c r="D382" s="8" t="s">
        <v>333</v>
      </c>
      <c r="E382" s="9" t="s">
        <v>533</v>
      </c>
      <c r="F382" s="9" t="s">
        <v>534</v>
      </c>
      <c r="G382" s="8" t="s">
        <v>298</v>
      </c>
      <c r="H382" s="8" t="s">
        <v>290</v>
      </c>
      <c r="I382" s="8" t="s">
        <v>291</v>
      </c>
      <c r="J382" s="8" t="s">
        <v>292</v>
      </c>
      <c r="K382" s="8" t="s">
        <v>293</v>
      </c>
      <c r="L382" s="9" t="s">
        <v>294</v>
      </c>
      <c r="M382" s="8"/>
      <c r="N382" s="8" t="str">
        <f aca="true">IF(M382="","Active (per Notice 1)",IF(M382&lt;TODAY(),"Expired",IF(M382&lt;TODAY()+180,"Expiring Soon","Active")))</f>
        <v>Active (per Notice 1)</v>
      </c>
      <c r="O382" s="10" t="s">
        <v>295</v>
      </c>
      <c r="P382" s="8" t="s">
        <v>296</v>
      </c>
      <c r="Q382" s="8" t="n">
        <v>3.68</v>
      </c>
      <c r="R382" s="8" t="n">
        <v>1</v>
      </c>
      <c r="S382" s="11" t="n">
        <v>45150</v>
      </c>
      <c r="T382" s="8" t="str">
        <f aca="true">IF(S382="","",IF(EDATE(S382,60)&lt;TODAY(),"Expired",IF(EDATE(S382,60)&lt;TODAY()+180,"Expiring Soon","Valid")))</f>
        <v>Valid</v>
      </c>
      <c r="U382" s="8" t="str">
        <f aca="false">IF(P382="","",IF(P382="A++","Top Tier",IF(P382="A+","High",IF(P382="A","Strong",IF(LEFT(P382,1)="B","Acceptable",IF(LEFT(P382,1)="C","Below Avg","-"))))))</f>
        <v>Top Tier</v>
      </c>
      <c r="AC382" s="8" t="n">
        <v>49</v>
      </c>
      <c r="AD382" s="8" t="n">
        <v>31</v>
      </c>
      <c r="AE382" s="8" t="n">
        <v>40</v>
      </c>
      <c r="AF382" s="8" t="n">
        <v>48</v>
      </c>
      <c r="AG382" s="8" t="n">
        <v>44</v>
      </c>
      <c r="AH382" s="8" t="n">
        <v>13</v>
      </c>
      <c r="AI382" s="8"/>
      <c r="AJ382" s="8"/>
      <c r="AK382" s="8" t="n">
        <v>26</v>
      </c>
      <c r="AL382" s="8" t="n">
        <v>24</v>
      </c>
      <c r="AM382" s="8" t="n">
        <v>17</v>
      </c>
      <c r="AN382" s="8"/>
      <c r="AO382" s="8"/>
      <c r="AP382" s="8"/>
      <c r="AQ382" s="8"/>
      <c r="AR382" s="8"/>
      <c r="AS382" s="8"/>
      <c r="AT382" s="8"/>
      <c r="AU382" s="8"/>
    </row>
    <row r="383" customFormat="false" ht="15" hidden="false" customHeight="true" outlineLevel="0" collapsed="false">
      <c r="A383" s="8" t="n">
        <v>382</v>
      </c>
      <c r="B383" s="8" t="n">
        <v>62</v>
      </c>
      <c r="C383" s="8" t="s">
        <v>530</v>
      </c>
      <c r="D383" s="8" t="s">
        <v>333</v>
      </c>
      <c r="E383" s="9" t="s">
        <v>533</v>
      </c>
      <c r="F383" s="9" t="s">
        <v>317</v>
      </c>
      <c r="G383" s="8" t="s">
        <v>318</v>
      </c>
      <c r="H383" s="8" t="s">
        <v>290</v>
      </c>
      <c r="I383" s="8" t="s">
        <v>291</v>
      </c>
      <c r="J383" s="8" t="s">
        <v>292</v>
      </c>
      <c r="K383" s="8" t="s">
        <v>293</v>
      </c>
      <c r="L383" s="9" t="s">
        <v>294</v>
      </c>
      <c r="M383" s="8"/>
      <c r="N383" s="8" t="str">
        <f aca="true">IF(M383="","Active (per Notice 1)",IF(M383&lt;TODAY(),"Expired",IF(M383&lt;TODAY()+180,"Expiring Soon","Active")))</f>
        <v>Active (per Notice 1)</v>
      </c>
      <c r="O383" s="12" t="s">
        <v>305</v>
      </c>
      <c r="P383" s="8" t="s">
        <v>296</v>
      </c>
      <c r="Q383" s="8" t="n">
        <v>3.68</v>
      </c>
      <c r="R383" s="8" t="n">
        <v>1</v>
      </c>
      <c r="S383" s="11" t="n">
        <v>45150</v>
      </c>
      <c r="T383" s="8" t="str">
        <f aca="true">IF(S383="","",IF(EDATE(S383,60)&lt;TODAY(),"Expired",IF(EDATE(S383,60)&lt;TODAY()+180,"Expiring Soon","Valid")))</f>
        <v>Valid</v>
      </c>
      <c r="U383" s="8" t="str">
        <f aca="false">IF(P383="","",IF(P383="A++","Top Tier",IF(P383="A+","High",IF(P383="A","Strong",IF(LEFT(P383,1)="B","Acceptable",IF(LEFT(P383,1)="C","Below Avg","-"))))))</f>
        <v>Top Tier</v>
      </c>
      <c r="AC383" s="8" t="n">
        <v>49</v>
      </c>
      <c r="AD383" s="8" t="n">
        <v>31</v>
      </c>
      <c r="AE383" s="8" t="n">
        <v>40</v>
      </c>
      <c r="AF383" s="8" t="n">
        <v>48</v>
      </c>
      <c r="AG383" s="8" t="n">
        <v>44</v>
      </c>
      <c r="AH383" s="8" t="n">
        <v>13</v>
      </c>
      <c r="AI383" s="8"/>
      <c r="AJ383" s="8"/>
      <c r="AK383" s="8" t="n">
        <v>26</v>
      </c>
      <c r="AL383" s="8" t="n">
        <v>24</v>
      </c>
      <c r="AM383" s="8" t="n">
        <v>17</v>
      </c>
      <c r="AN383" s="8"/>
      <c r="AO383" s="8"/>
      <c r="AP383" s="8"/>
      <c r="AQ383" s="8"/>
      <c r="AR383" s="8"/>
      <c r="AS383" s="8"/>
      <c r="AT383" s="8"/>
      <c r="AU383" s="8"/>
    </row>
    <row r="384" customFormat="false" ht="15" hidden="false" customHeight="true" outlineLevel="0" collapsed="false">
      <c r="A384" s="8" t="n">
        <v>383</v>
      </c>
      <c r="B384" s="8" t="n">
        <v>62</v>
      </c>
      <c r="C384" s="8" t="s">
        <v>530</v>
      </c>
      <c r="D384" s="8" t="s">
        <v>333</v>
      </c>
      <c r="E384" s="9" t="s">
        <v>533</v>
      </c>
      <c r="F384" s="9" t="s">
        <v>505</v>
      </c>
      <c r="G384" s="8" t="s">
        <v>386</v>
      </c>
      <c r="H384" s="8" t="s">
        <v>302</v>
      </c>
      <c r="I384" s="8" t="s">
        <v>291</v>
      </c>
      <c r="J384" s="8" t="s">
        <v>292</v>
      </c>
      <c r="K384" s="8" t="s">
        <v>293</v>
      </c>
      <c r="L384" s="9" t="s">
        <v>294</v>
      </c>
      <c r="M384" s="8"/>
      <c r="N384" s="8" t="str">
        <f aca="true">IF(M384="","Active (per Notice 1)",IF(M384&lt;TODAY(),"Expired",IF(M384&lt;TODAY()+180,"Expiring Soon","Active")))</f>
        <v>Active (per Notice 1)</v>
      </c>
      <c r="O384" s="10" t="s">
        <v>295</v>
      </c>
      <c r="P384" s="8" t="s">
        <v>296</v>
      </c>
      <c r="Q384" s="8" t="n">
        <v>3.68</v>
      </c>
      <c r="R384" s="8" t="n">
        <v>1</v>
      </c>
      <c r="S384" s="11" t="n">
        <v>45150</v>
      </c>
      <c r="T384" s="8" t="str">
        <f aca="true">IF(S384="","",IF(EDATE(S384,60)&lt;TODAY(),"Expired",IF(EDATE(S384,60)&lt;TODAY()+180,"Expiring Soon","Valid")))</f>
        <v>Valid</v>
      </c>
      <c r="U384" s="8" t="str">
        <f aca="false">IF(P384="","",IF(P384="A++","Top Tier",IF(P384="A+","High",IF(P384="A","Strong",IF(LEFT(P384,1)="B","Acceptable",IF(LEFT(P384,1)="C","Below Avg","-"))))))</f>
        <v>Top Tier</v>
      </c>
      <c r="AC384" s="8" t="n">
        <v>49</v>
      </c>
      <c r="AD384" s="8" t="n">
        <v>31</v>
      </c>
      <c r="AE384" s="8" t="n">
        <v>40</v>
      </c>
      <c r="AF384" s="8" t="n">
        <v>48</v>
      </c>
      <c r="AG384" s="8" t="n">
        <v>44</v>
      </c>
      <c r="AH384" s="8" t="n">
        <v>13</v>
      </c>
      <c r="AI384" s="8"/>
      <c r="AJ384" s="8"/>
      <c r="AK384" s="8" t="n">
        <v>26</v>
      </c>
      <c r="AL384" s="8" t="n">
        <v>24</v>
      </c>
      <c r="AM384" s="8" t="n">
        <v>17</v>
      </c>
      <c r="AN384" s="8"/>
      <c r="AO384" s="8"/>
      <c r="AP384" s="8"/>
      <c r="AQ384" s="8"/>
      <c r="AR384" s="8"/>
      <c r="AS384" s="8"/>
      <c r="AT384" s="8"/>
      <c r="AU384" s="8"/>
    </row>
    <row r="385" customFormat="false" ht="15" hidden="false" customHeight="true" outlineLevel="0" collapsed="false">
      <c r="A385" s="8" t="n">
        <v>384</v>
      </c>
      <c r="B385" s="8" t="n">
        <v>62</v>
      </c>
      <c r="C385" s="8" t="s">
        <v>530</v>
      </c>
      <c r="D385" s="8" t="s">
        <v>333</v>
      </c>
      <c r="E385" s="9" t="s">
        <v>533</v>
      </c>
      <c r="F385" s="9" t="s">
        <v>385</v>
      </c>
      <c r="G385" s="8" t="s">
        <v>386</v>
      </c>
      <c r="H385" s="8" t="s">
        <v>302</v>
      </c>
      <c r="I385" s="8" t="s">
        <v>291</v>
      </c>
      <c r="J385" s="8" t="s">
        <v>292</v>
      </c>
      <c r="K385" s="8" t="s">
        <v>293</v>
      </c>
      <c r="L385" s="9" t="s">
        <v>294</v>
      </c>
      <c r="M385" s="8"/>
      <c r="N385" s="8" t="str">
        <f aca="true">IF(M385="","Active (per Notice 1)",IF(M385&lt;TODAY(),"Expired",IF(M385&lt;TODAY()+180,"Expiring Soon","Active")))</f>
        <v>Active (per Notice 1)</v>
      </c>
      <c r="O385" s="10" t="s">
        <v>295</v>
      </c>
      <c r="P385" s="8" t="s">
        <v>296</v>
      </c>
      <c r="Q385" s="8" t="n">
        <v>3.68</v>
      </c>
      <c r="R385" s="8" t="n">
        <v>1</v>
      </c>
      <c r="S385" s="11" t="n">
        <v>45150</v>
      </c>
      <c r="T385" s="8" t="str">
        <f aca="true">IF(S385="","",IF(EDATE(S385,60)&lt;TODAY(),"Expired",IF(EDATE(S385,60)&lt;TODAY()+180,"Expiring Soon","Valid")))</f>
        <v>Valid</v>
      </c>
      <c r="U385" s="8" t="str">
        <f aca="false">IF(P385="","",IF(P385="A++","Top Tier",IF(P385="A+","High",IF(P385="A","Strong",IF(LEFT(P385,1)="B","Acceptable",IF(LEFT(P385,1)="C","Below Avg","-"))))))</f>
        <v>Top Tier</v>
      </c>
      <c r="AC385" s="8" t="n">
        <v>49</v>
      </c>
      <c r="AD385" s="8" t="n">
        <v>31</v>
      </c>
      <c r="AE385" s="8" t="n">
        <v>40</v>
      </c>
      <c r="AF385" s="8" t="n">
        <v>48</v>
      </c>
      <c r="AG385" s="8" t="n">
        <v>44</v>
      </c>
      <c r="AH385" s="8" t="n">
        <v>13</v>
      </c>
      <c r="AI385" s="8"/>
      <c r="AJ385" s="8"/>
      <c r="AK385" s="8" t="n">
        <v>26</v>
      </c>
      <c r="AL385" s="8" t="n">
        <v>24</v>
      </c>
      <c r="AM385" s="8" t="n">
        <v>17</v>
      </c>
      <c r="AN385" s="8"/>
      <c r="AO385" s="8"/>
      <c r="AP385" s="8"/>
      <c r="AQ385" s="8"/>
      <c r="AR385" s="8"/>
      <c r="AS385" s="8"/>
      <c r="AT385" s="8"/>
      <c r="AU385" s="8"/>
    </row>
    <row r="386" customFormat="false" ht="15" hidden="false" customHeight="true" outlineLevel="0" collapsed="false">
      <c r="A386" s="8" t="n">
        <v>385</v>
      </c>
      <c r="B386" s="8" t="n">
        <v>62</v>
      </c>
      <c r="C386" s="8" t="s">
        <v>530</v>
      </c>
      <c r="D386" s="8" t="s">
        <v>333</v>
      </c>
      <c r="E386" s="9" t="s">
        <v>533</v>
      </c>
      <c r="F386" s="9" t="s">
        <v>347</v>
      </c>
      <c r="G386" s="8" t="s">
        <v>301</v>
      </c>
      <c r="H386" s="8" t="s">
        <v>302</v>
      </c>
      <c r="I386" s="8" t="s">
        <v>291</v>
      </c>
      <c r="J386" s="8" t="s">
        <v>292</v>
      </c>
      <c r="K386" s="8" t="s">
        <v>293</v>
      </c>
      <c r="L386" s="9" t="s">
        <v>294</v>
      </c>
      <c r="M386" s="8"/>
      <c r="N386" s="8" t="str">
        <f aca="true">IF(M386="","Active (per Notice 1)",IF(M386&lt;TODAY(),"Expired",IF(M386&lt;TODAY()+180,"Expiring Soon","Active")))</f>
        <v>Active (per Notice 1)</v>
      </c>
      <c r="O386" s="10" t="s">
        <v>295</v>
      </c>
      <c r="P386" s="8" t="s">
        <v>296</v>
      </c>
      <c r="Q386" s="8" t="n">
        <v>3.68</v>
      </c>
      <c r="R386" s="8" t="n">
        <v>1</v>
      </c>
      <c r="S386" s="11" t="n">
        <v>45150</v>
      </c>
      <c r="T386" s="8" t="str">
        <f aca="true">IF(S386="","",IF(EDATE(S386,60)&lt;TODAY(),"Expired",IF(EDATE(S386,60)&lt;TODAY()+180,"Expiring Soon","Valid")))</f>
        <v>Valid</v>
      </c>
      <c r="U386" s="8" t="str">
        <f aca="false">IF(P386="","",IF(P386="A++","Top Tier",IF(P386="A+","High",IF(P386="A","Strong",IF(LEFT(P386,1)="B","Acceptable",IF(LEFT(P386,1)="C","Below Avg","-"))))))</f>
        <v>Top Tier</v>
      </c>
      <c r="AC386" s="8" t="n">
        <v>49</v>
      </c>
      <c r="AD386" s="8" t="n">
        <v>31</v>
      </c>
      <c r="AE386" s="8" t="n">
        <v>40</v>
      </c>
      <c r="AF386" s="8" t="n">
        <v>48</v>
      </c>
      <c r="AG386" s="8" t="n">
        <v>44</v>
      </c>
      <c r="AH386" s="8" t="n">
        <v>13</v>
      </c>
      <c r="AI386" s="8"/>
      <c r="AJ386" s="8"/>
      <c r="AK386" s="8" t="n">
        <v>26</v>
      </c>
      <c r="AL386" s="8" t="n">
        <v>24</v>
      </c>
      <c r="AM386" s="8" t="n">
        <v>17</v>
      </c>
      <c r="AN386" s="8"/>
      <c r="AO386" s="8"/>
      <c r="AP386" s="8"/>
      <c r="AQ386" s="8"/>
      <c r="AR386" s="8"/>
      <c r="AS386" s="8"/>
      <c r="AT386" s="8"/>
      <c r="AU386" s="8"/>
    </row>
    <row r="387" customFormat="false" ht="15" hidden="false" customHeight="true" outlineLevel="0" collapsed="false">
      <c r="A387" s="8" t="n">
        <v>386</v>
      </c>
      <c r="B387" s="8" t="n">
        <v>62</v>
      </c>
      <c r="C387" s="8" t="s">
        <v>530</v>
      </c>
      <c r="D387" s="8" t="s">
        <v>333</v>
      </c>
      <c r="E387" s="9" t="s">
        <v>533</v>
      </c>
      <c r="F387" s="9" t="s">
        <v>310</v>
      </c>
      <c r="G387" s="8" t="s">
        <v>301</v>
      </c>
      <c r="H387" s="8" t="s">
        <v>302</v>
      </c>
      <c r="I387" s="8" t="s">
        <v>291</v>
      </c>
      <c r="J387" s="8" t="s">
        <v>292</v>
      </c>
      <c r="K387" s="8" t="s">
        <v>293</v>
      </c>
      <c r="L387" s="9" t="s">
        <v>294</v>
      </c>
      <c r="M387" s="8"/>
      <c r="N387" s="8" t="str">
        <f aca="true">IF(M387="","Active (per Notice 1)",IF(M387&lt;TODAY(),"Expired",IF(M387&lt;TODAY()+180,"Expiring Soon","Active")))</f>
        <v>Active (per Notice 1)</v>
      </c>
      <c r="O387" s="10" t="s">
        <v>295</v>
      </c>
      <c r="P387" s="8" t="s">
        <v>296</v>
      </c>
      <c r="Q387" s="8" t="n">
        <v>3.68</v>
      </c>
      <c r="R387" s="8" t="n">
        <v>1</v>
      </c>
      <c r="S387" s="11" t="n">
        <v>45150</v>
      </c>
      <c r="T387" s="8" t="str">
        <f aca="true">IF(S387="","",IF(EDATE(S387,60)&lt;TODAY(),"Expired",IF(EDATE(S387,60)&lt;TODAY()+180,"Expiring Soon","Valid")))</f>
        <v>Valid</v>
      </c>
      <c r="U387" s="8" t="str">
        <f aca="false">IF(P387="","",IF(P387="A++","Top Tier",IF(P387="A+","High",IF(P387="A","Strong",IF(LEFT(P387,1)="B","Acceptable",IF(LEFT(P387,1)="C","Below Avg","-"))))))</f>
        <v>Top Tier</v>
      </c>
      <c r="AC387" s="8" t="n">
        <v>49</v>
      </c>
      <c r="AD387" s="8" t="n">
        <v>31</v>
      </c>
      <c r="AE387" s="8" t="n">
        <v>40</v>
      </c>
      <c r="AF387" s="8" t="n">
        <v>48</v>
      </c>
      <c r="AG387" s="8" t="n">
        <v>44</v>
      </c>
      <c r="AH387" s="8" t="n">
        <v>13</v>
      </c>
      <c r="AI387" s="8"/>
      <c r="AJ387" s="8"/>
      <c r="AK387" s="8" t="n">
        <v>26</v>
      </c>
      <c r="AL387" s="8" t="n">
        <v>24</v>
      </c>
      <c r="AM387" s="8" t="n">
        <v>17</v>
      </c>
      <c r="AN387" s="8"/>
      <c r="AO387" s="8"/>
      <c r="AP387" s="8"/>
      <c r="AQ387" s="8"/>
      <c r="AR387" s="8"/>
      <c r="AS387" s="8"/>
      <c r="AT387" s="8"/>
      <c r="AU387" s="8"/>
    </row>
    <row r="388" customFormat="false" ht="15" hidden="false" customHeight="true" outlineLevel="0" collapsed="false">
      <c r="A388" s="8" t="n">
        <v>387</v>
      </c>
      <c r="B388" s="8" t="n">
        <v>62</v>
      </c>
      <c r="C388" s="8" t="s">
        <v>530</v>
      </c>
      <c r="D388" s="8" t="s">
        <v>333</v>
      </c>
      <c r="E388" s="9" t="s">
        <v>533</v>
      </c>
      <c r="F388" s="9" t="s">
        <v>300</v>
      </c>
      <c r="G388" s="8" t="s">
        <v>301</v>
      </c>
      <c r="H388" s="8" t="s">
        <v>302</v>
      </c>
      <c r="I388" s="8" t="s">
        <v>291</v>
      </c>
      <c r="J388" s="8" t="s">
        <v>292</v>
      </c>
      <c r="K388" s="8" t="s">
        <v>293</v>
      </c>
      <c r="L388" s="9" t="s">
        <v>294</v>
      </c>
      <c r="M388" s="8"/>
      <c r="N388" s="8" t="str">
        <f aca="true">IF(M388="","Active (per Notice 1)",IF(M388&lt;TODAY(),"Expired",IF(M388&lt;TODAY()+180,"Expiring Soon","Active")))</f>
        <v>Active (per Notice 1)</v>
      </c>
      <c r="O388" s="10" t="s">
        <v>295</v>
      </c>
      <c r="P388" s="8" t="s">
        <v>296</v>
      </c>
      <c r="Q388" s="8" t="n">
        <v>3.68</v>
      </c>
      <c r="R388" s="8" t="n">
        <v>1</v>
      </c>
      <c r="S388" s="11" t="n">
        <v>45150</v>
      </c>
      <c r="T388" s="8" t="str">
        <f aca="true">IF(S388="","",IF(EDATE(S388,60)&lt;TODAY(),"Expired",IF(EDATE(S388,60)&lt;TODAY()+180,"Expiring Soon","Valid")))</f>
        <v>Valid</v>
      </c>
      <c r="U388" s="8" t="str">
        <f aca="false">IF(P388="","",IF(P388="A++","Top Tier",IF(P388="A+","High",IF(P388="A","Strong",IF(LEFT(P388,1)="B","Acceptable",IF(LEFT(P388,1)="C","Below Avg","-"))))))</f>
        <v>Top Tier</v>
      </c>
      <c r="AC388" s="8" t="n">
        <v>49</v>
      </c>
      <c r="AD388" s="8" t="n">
        <v>31</v>
      </c>
      <c r="AE388" s="8" t="n">
        <v>40</v>
      </c>
      <c r="AF388" s="8" t="n">
        <v>48</v>
      </c>
      <c r="AG388" s="8" t="n">
        <v>44</v>
      </c>
      <c r="AH388" s="8" t="n">
        <v>13</v>
      </c>
      <c r="AI388" s="8"/>
      <c r="AJ388" s="8"/>
      <c r="AK388" s="8" t="n">
        <v>26</v>
      </c>
      <c r="AL388" s="8" t="n">
        <v>24</v>
      </c>
      <c r="AM388" s="8" t="n">
        <v>17</v>
      </c>
      <c r="AN388" s="8"/>
      <c r="AO388" s="8"/>
      <c r="AP388" s="8"/>
      <c r="AQ388" s="8"/>
      <c r="AR388" s="8"/>
      <c r="AS388" s="8"/>
      <c r="AT388" s="8"/>
      <c r="AU388" s="8"/>
    </row>
    <row r="389" customFormat="false" ht="15" hidden="false" customHeight="true" outlineLevel="0" collapsed="false">
      <c r="A389" s="8" t="n">
        <v>388</v>
      </c>
      <c r="B389" s="8" t="n">
        <v>62</v>
      </c>
      <c r="C389" s="8" t="s">
        <v>530</v>
      </c>
      <c r="D389" s="8" t="s">
        <v>333</v>
      </c>
      <c r="E389" s="9" t="s">
        <v>533</v>
      </c>
      <c r="F389" s="9" t="s">
        <v>312</v>
      </c>
      <c r="G389" s="8" t="s">
        <v>301</v>
      </c>
      <c r="H389" s="8" t="s">
        <v>302</v>
      </c>
      <c r="I389" s="8" t="s">
        <v>291</v>
      </c>
      <c r="J389" s="8" t="s">
        <v>292</v>
      </c>
      <c r="K389" s="8" t="s">
        <v>293</v>
      </c>
      <c r="L389" s="9" t="s">
        <v>294</v>
      </c>
      <c r="M389" s="8"/>
      <c r="N389" s="8" t="str">
        <f aca="true">IF(M389="","Active (per Notice 1)",IF(M389&lt;TODAY(),"Expired",IF(M389&lt;TODAY()+180,"Expiring Soon","Active")))</f>
        <v>Active (per Notice 1)</v>
      </c>
      <c r="O389" s="10" t="s">
        <v>295</v>
      </c>
      <c r="P389" s="8" t="s">
        <v>296</v>
      </c>
      <c r="Q389" s="8" t="n">
        <v>3.68</v>
      </c>
      <c r="R389" s="8" t="n">
        <v>1</v>
      </c>
      <c r="S389" s="11" t="n">
        <v>45150</v>
      </c>
      <c r="T389" s="8" t="str">
        <f aca="true">IF(S389="","",IF(EDATE(S389,60)&lt;TODAY(),"Expired",IF(EDATE(S389,60)&lt;TODAY()+180,"Expiring Soon","Valid")))</f>
        <v>Valid</v>
      </c>
      <c r="U389" s="8" t="str">
        <f aca="false">IF(P389="","",IF(P389="A++","Top Tier",IF(P389="A+","High",IF(P389="A","Strong",IF(LEFT(P389,1)="B","Acceptable",IF(LEFT(P389,1)="C","Below Avg","-"))))))</f>
        <v>Top Tier</v>
      </c>
      <c r="AC389" s="8" t="n">
        <v>49</v>
      </c>
      <c r="AD389" s="8" t="n">
        <v>31</v>
      </c>
      <c r="AE389" s="8" t="n">
        <v>40</v>
      </c>
      <c r="AF389" s="8" t="n">
        <v>48</v>
      </c>
      <c r="AG389" s="8" t="n">
        <v>44</v>
      </c>
      <c r="AH389" s="8" t="n">
        <v>13</v>
      </c>
      <c r="AI389" s="8"/>
      <c r="AJ389" s="8"/>
      <c r="AK389" s="8" t="n">
        <v>26</v>
      </c>
      <c r="AL389" s="8" t="n">
        <v>24</v>
      </c>
      <c r="AM389" s="8" t="n">
        <v>17</v>
      </c>
      <c r="AN389" s="8"/>
      <c r="AO389" s="8"/>
      <c r="AP389" s="8"/>
      <c r="AQ389" s="8"/>
      <c r="AR389" s="8"/>
      <c r="AS389" s="8"/>
      <c r="AT389" s="8"/>
      <c r="AU389" s="8"/>
    </row>
    <row r="390" customFormat="false" ht="15" hidden="false" customHeight="true" outlineLevel="0" collapsed="false">
      <c r="A390" s="8" t="n">
        <v>389</v>
      </c>
      <c r="B390" s="8" t="n">
        <v>62</v>
      </c>
      <c r="C390" s="8" t="s">
        <v>530</v>
      </c>
      <c r="D390" s="8" t="s">
        <v>333</v>
      </c>
      <c r="E390" s="9" t="s">
        <v>533</v>
      </c>
      <c r="F390" s="9" t="s">
        <v>308</v>
      </c>
      <c r="G390" s="8" t="s">
        <v>309</v>
      </c>
      <c r="H390" s="8" t="s">
        <v>302</v>
      </c>
      <c r="I390" s="8" t="s">
        <v>291</v>
      </c>
      <c r="J390" s="8" t="s">
        <v>292</v>
      </c>
      <c r="K390" s="8" t="s">
        <v>293</v>
      </c>
      <c r="L390" s="9" t="s">
        <v>294</v>
      </c>
      <c r="M390" s="8"/>
      <c r="N390" s="8" t="str">
        <f aca="true">IF(M390="","Active (per Notice 1)",IF(M390&lt;TODAY(),"Expired",IF(M390&lt;TODAY()+180,"Expiring Soon","Active")))</f>
        <v>Active (per Notice 1)</v>
      </c>
      <c r="O390" s="10" t="s">
        <v>295</v>
      </c>
      <c r="P390" s="8" t="s">
        <v>296</v>
      </c>
      <c r="Q390" s="8" t="n">
        <v>3.68</v>
      </c>
      <c r="R390" s="8" t="n">
        <v>1</v>
      </c>
      <c r="S390" s="11" t="n">
        <v>45150</v>
      </c>
      <c r="T390" s="8" t="str">
        <f aca="true">IF(S390="","",IF(EDATE(S390,60)&lt;TODAY(),"Expired",IF(EDATE(S390,60)&lt;TODAY()+180,"Expiring Soon","Valid")))</f>
        <v>Valid</v>
      </c>
      <c r="U390" s="8" t="str">
        <f aca="false">IF(P390="","",IF(P390="A++","Top Tier",IF(P390="A+","High",IF(P390="A","Strong",IF(LEFT(P390,1)="B","Acceptable",IF(LEFT(P390,1)="C","Below Avg","-"))))))</f>
        <v>Top Tier</v>
      </c>
      <c r="AC390" s="8" t="n">
        <v>49</v>
      </c>
      <c r="AD390" s="8" t="n">
        <v>31</v>
      </c>
      <c r="AE390" s="8" t="n">
        <v>40</v>
      </c>
      <c r="AF390" s="8" t="n">
        <v>48</v>
      </c>
      <c r="AG390" s="8" t="n">
        <v>44</v>
      </c>
      <c r="AH390" s="8" t="n">
        <v>13</v>
      </c>
      <c r="AI390" s="8"/>
      <c r="AJ390" s="8"/>
      <c r="AK390" s="8" t="n">
        <v>26</v>
      </c>
      <c r="AL390" s="8" t="n">
        <v>24</v>
      </c>
      <c r="AM390" s="8" t="n">
        <v>17</v>
      </c>
      <c r="AN390" s="8"/>
      <c r="AO390" s="8"/>
      <c r="AP390" s="8"/>
      <c r="AQ390" s="8"/>
      <c r="AR390" s="8"/>
      <c r="AS390" s="8"/>
      <c r="AT390" s="8"/>
      <c r="AU390" s="8"/>
    </row>
    <row r="391" customFormat="false" ht="15" hidden="false" customHeight="true" outlineLevel="0" collapsed="false">
      <c r="A391" s="8" t="n">
        <v>390</v>
      </c>
      <c r="B391" s="8" t="n">
        <v>62</v>
      </c>
      <c r="C391" s="8" t="s">
        <v>530</v>
      </c>
      <c r="D391" s="8" t="s">
        <v>333</v>
      </c>
      <c r="E391" s="9" t="s">
        <v>533</v>
      </c>
      <c r="F391" s="9" t="s">
        <v>306</v>
      </c>
      <c r="G391" s="8" t="s">
        <v>307</v>
      </c>
      <c r="H391" s="8" t="s">
        <v>302</v>
      </c>
      <c r="I391" s="8" t="s">
        <v>291</v>
      </c>
      <c r="J391" s="8" t="s">
        <v>292</v>
      </c>
      <c r="K391" s="8" t="s">
        <v>293</v>
      </c>
      <c r="L391" s="9" t="s">
        <v>294</v>
      </c>
      <c r="M391" s="8"/>
      <c r="N391" s="8" t="str">
        <f aca="true">IF(M391="","Active (per Notice 1)",IF(M391&lt;TODAY(),"Expired",IF(M391&lt;TODAY()+180,"Expiring Soon","Active")))</f>
        <v>Active (per Notice 1)</v>
      </c>
      <c r="O391" s="12" t="s">
        <v>305</v>
      </c>
      <c r="P391" s="8" t="s">
        <v>296</v>
      </c>
      <c r="Q391" s="8" t="n">
        <v>3.68</v>
      </c>
      <c r="R391" s="8" t="n">
        <v>1</v>
      </c>
      <c r="S391" s="11" t="n">
        <v>45150</v>
      </c>
      <c r="T391" s="8" t="str">
        <f aca="true">IF(S391="","",IF(EDATE(S391,60)&lt;TODAY(),"Expired",IF(EDATE(S391,60)&lt;TODAY()+180,"Expiring Soon","Valid")))</f>
        <v>Valid</v>
      </c>
      <c r="U391" s="8" t="str">
        <f aca="false">IF(P391="","",IF(P391="A++","Top Tier",IF(P391="A+","High",IF(P391="A","Strong",IF(LEFT(P391,1)="B","Acceptable",IF(LEFT(P391,1)="C","Below Avg","-"))))))</f>
        <v>Top Tier</v>
      </c>
      <c r="AC391" s="8" t="n">
        <v>49</v>
      </c>
      <c r="AD391" s="8" t="n">
        <v>31</v>
      </c>
      <c r="AE391" s="8" t="n">
        <v>40</v>
      </c>
      <c r="AF391" s="8" t="n">
        <v>48</v>
      </c>
      <c r="AG391" s="8" t="n">
        <v>44</v>
      </c>
      <c r="AH391" s="8" t="n">
        <v>13</v>
      </c>
      <c r="AI391" s="8"/>
      <c r="AJ391" s="8"/>
      <c r="AK391" s="8" t="n">
        <v>26</v>
      </c>
      <c r="AL391" s="8" t="n">
        <v>24</v>
      </c>
      <c r="AM391" s="8" t="n">
        <v>17</v>
      </c>
      <c r="AN391" s="8"/>
      <c r="AO391" s="8"/>
      <c r="AP391" s="8"/>
      <c r="AQ391" s="8"/>
      <c r="AR391" s="8"/>
      <c r="AS391" s="8"/>
      <c r="AT391" s="8"/>
      <c r="AU391" s="8"/>
    </row>
    <row r="392" customFormat="false" ht="15" hidden="false" customHeight="true" outlineLevel="0" collapsed="false">
      <c r="A392" s="8" t="n">
        <v>391</v>
      </c>
      <c r="B392" s="8" t="n">
        <v>62</v>
      </c>
      <c r="C392" s="8" t="s">
        <v>530</v>
      </c>
      <c r="D392" s="8" t="s">
        <v>333</v>
      </c>
      <c r="E392" s="9" t="s">
        <v>533</v>
      </c>
      <c r="F392" s="9" t="s">
        <v>303</v>
      </c>
      <c r="G392" s="8" t="s">
        <v>304</v>
      </c>
      <c r="H392" s="8" t="s">
        <v>302</v>
      </c>
      <c r="I392" s="8" t="s">
        <v>291</v>
      </c>
      <c r="J392" s="8" t="s">
        <v>292</v>
      </c>
      <c r="K392" s="8" t="s">
        <v>293</v>
      </c>
      <c r="L392" s="9" t="s">
        <v>294</v>
      </c>
      <c r="M392" s="8"/>
      <c r="N392" s="8" t="str">
        <f aca="true">IF(M392="","Active (per Notice 1)",IF(M392&lt;TODAY(),"Expired",IF(M392&lt;TODAY()+180,"Expiring Soon","Active")))</f>
        <v>Active (per Notice 1)</v>
      </c>
      <c r="O392" s="12" t="s">
        <v>305</v>
      </c>
      <c r="P392" s="8" t="s">
        <v>296</v>
      </c>
      <c r="Q392" s="8" t="n">
        <v>3.68</v>
      </c>
      <c r="R392" s="8" t="n">
        <v>1</v>
      </c>
      <c r="S392" s="11" t="n">
        <v>45150</v>
      </c>
      <c r="T392" s="8" t="str">
        <f aca="true">IF(S392="","",IF(EDATE(S392,60)&lt;TODAY(),"Expired",IF(EDATE(S392,60)&lt;TODAY()+180,"Expiring Soon","Valid")))</f>
        <v>Valid</v>
      </c>
      <c r="U392" s="8" t="str">
        <f aca="false">IF(P392="","",IF(P392="A++","Top Tier",IF(P392="A+","High",IF(P392="A","Strong",IF(LEFT(P392,1)="B","Acceptable",IF(LEFT(P392,1)="C","Below Avg","-"))))))</f>
        <v>Top Tier</v>
      </c>
      <c r="AC392" s="8" t="n">
        <v>49</v>
      </c>
      <c r="AD392" s="8" t="n">
        <v>31</v>
      </c>
      <c r="AE392" s="8" t="n">
        <v>40</v>
      </c>
      <c r="AF392" s="8" t="n">
        <v>48</v>
      </c>
      <c r="AG392" s="8" t="n">
        <v>44</v>
      </c>
      <c r="AH392" s="8" t="n">
        <v>13</v>
      </c>
      <c r="AI392" s="8"/>
      <c r="AJ392" s="8"/>
      <c r="AK392" s="8" t="n">
        <v>26</v>
      </c>
      <c r="AL392" s="8" t="n">
        <v>24</v>
      </c>
      <c r="AM392" s="8" t="n">
        <v>17</v>
      </c>
      <c r="AN392" s="8"/>
      <c r="AO392" s="8"/>
      <c r="AP392" s="8"/>
      <c r="AQ392" s="8"/>
      <c r="AR392" s="8"/>
      <c r="AS392" s="8"/>
      <c r="AT392" s="8"/>
      <c r="AU392" s="8"/>
    </row>
    <row r="393" customFormat="false" ht="15" hidden="false" customHeight="true" outlineLevel="0" collapsed="false">
      <c r="A393" s="8" t="n">
        <v>392</v>
      </c>
      <c r="B393" s="8" t="n">
        <v>63</v>
      </c>
      <c r="C393" s="8" t="s">
        <v>530</v>
      </c>
      <c r="D393" s="8" t="s">
        <v>286</v>
      </c>
      <c r="E393" s="9" t="s">
        <v>535</v>
      </c>
      <c r="F393" s="9" t="s">
        <v>319</v>
      </c>
      <c r="G393" s="8" t="s">
        <v>320</v>
      </c>
      <c r="H393" s="8" t="s">
        <v>290</v>
      </c>
      <c r="I393" s="8" t="s">
        <v>291</v>
      </c>
      <c r="J393" s="8" t="s">
        <v>292</v>
      </c>
      <c r="K393" s="8" t="s">
        <v>293</v>
      </c>
      <c r="L393" s="9" t="s">
        <v>294</v>
      </c>
      <c r="M393" s="8"/>
      <c r="N393" s="8" t="str">
        <f aca="true">IF(M393="","Active (per Notice 1)",IF(M393&lt;TODAY(),"Expired",IF(M393&lt;TODAY()+180,"Expiring Soon","Active")))</f>
        <v>Active (per Notice 1)</v>
      </c>
      <c r="O393" s="12" t="s">
        <v>305</v>
      </c>
      <c r="P393" s="8" t="s">
        <v>296</v>
      </c>
      <c r="Q393" s="8" t="n">
        <v>3.85</v>
      </c>
      <c r="R393" s="8" t="n">
        <v>4</v>
      </c>
      <c r="S393" s="11" t="n">
        <v>44915</v>
      </c>
      <c r="T393" s="8" t="str">
        <f aca="true">IF(S393="","",IF(EDATE(S393,60)&lt;TODAY(),"Expired",IF(EDATE(S393,60)&lt;TODAY()+180,"Expiring Soon","Valid")))</f>
        <v>Valid</v>
      </c>
      <c r="U393" s="8" t="str">
        <f aca="false">IF(P393="","",IF(P393="A++","Top Tier",IF(P393="A+","High",IF(P393="A","Strong",IF(LEFT(P393,1)="B","Acceptable",IF(LEFT(P393,1)="C","Below Avg","-"))))))</f>
        <v>Top Tier</v>
      </c>
      <c r="AT393" s="8"/>
      <c r="AU393" s="8"/>
    </row>
    <row r="394" customFormat="false" ht="15" hidden="false" customHeight="true" outlineLevel="0" collapsed="false">
      <c r="A394" s="8" t="n">
        <v>393</v>
      </c>
      <c r="B394" s="8" t="n">
        <v>63</v>
      </c>
      <c r="C394" s="8" t="s">
        <v>530</v>
      </c>
      <c r="D394" s="8" t="s">
        <v>286</v>
      </c>
      <c r="E394" s="9" t="s">
        <v>535</v>
      </c>
      <c r="F394" s="9" t="s">
        <v>299</v>
      </c>
      <c r="G394" s="8" t="s">
        <v>289</v>
      </c>
      <c r="H394" s="8" t="s">
        <v>290</v>
      </c>
      <c r="I394" s="8" t="s">
        <v>291</v>
      </c>
      <c r="J394" s="8" t="s">
        <v>292</v>
      </c>
      <c r="K394" s="8" t="s">
        <v>293</v>
      </c>
      <c r="L394" s="9" t="s">
        <v>294</v>
      </c>
      <c r="M394" s="8"/>
      <c r="N394" s="8" t="str">
        <f aca="true">IF(M394="","Active (per Notice 1)",IF(M394&lt;TODAY(),"Expired",IF(M394&lt;TODAY()+180,"Expiring Soon","Active")))</f>
        <v>Active (per Notice 1)</v>
      </c>
      <c r="O394" s="10" t="s">
        <v>295</v>
      </c>
      <c r="P394" s="8" t="s">
        <v>296</v>
      </c>
      <c r="Q394" s="8" t="n">
        <v>3.85</v>
      </c>
      <c r="R394" s="8" t="n">
        <v>4</v>
      </c>
      <c r="S394" s="11" t="n">
        <v>44915</v>
      </c>
      <c r="T394" s="8" t="str">
        <f aca="true">IF(S394="","",IF(EDATE(S394,60)&lt;TODAY(),"Expired",IF(EDATE(S394,60)&lt;TODAY()+180,"Expiring Soon","Valid")))</f>
        <v>Valid</v>
      </c>
      <c r="U394" s="8" t="str">
        <f aca="false">IF(P394="","",IF(P394="A++","Top Tier",IF(P394="A+","High",IF(P394="A","Strong",IF(LEFT(P394,1)="B","Acceptable",IF(LEFT(P394,1)="C","Below Avg","-"))))))</f>
        <v>Top Tier</v>
      </c>
      <c r="AT394" s="8"/>
      <c r="AU394" s="8"/>
    </row>
    <row r="395" customFormat="false" ht="15" hidden="false" customHeight="true" outlineLevel="0" collapsed="false">
      <c r="A395" s="8" t="n">
        <v>394</v>
      </c>
      <c r="B395" s="8" t="n">
        <v>63</v>
      </c>
      <c r="C395" s="8" t="s">
        <v>530</v>
      </c>
      <c r="D395" s="8" t="s">
        <v>286</v>
      </c>
      <c r="E395" s="9" t="s">
        <v>535</v>
      </c>
      <c r="F395" s="9" t="s">
        <v>408</v>
      </c>
      <c r="G395" s="8" t="s">
        <v>298</v>
      </c>
      <c r="H395" s="8" t="s">
        <v>290</v>
      </c>
      <c r="I395" s="8" t="s">
        <v>291</v>
      </c>
      <c r="J395" s="8" t="s">
        <v>292</v>
      </c>
      <c r="K395" s="8" t="s">
        <v>293</v>
      </c>
      <c r="L395" s="9" t="s">
        <v>294</v>
      </c>
      <c r="M395" s="8"/>
      <c r="N395" s="8" t="str">
        <f aca="true">IF(M395="","Active (per Notice 1)",IF(M395&lt;TODAY(),"Expired",IF(M395&lt;TODAY()+180,"Expiring Soon","Active")))</f>
        <v>Active (per Notice 1)</v>
      </c>
      <c r="O395" s="10" t="s">
        <v>295</v>
      </c>
      <c r="P395" s="8" t="s">
        <v>296</v>
      </c>
      <c r="Q395" s="8" t="n">
        <v>3.85</v>
      </c>
      <c r="R395" s="8" t="n">
        <v>4</v>
      </c>
      <c r="S395" s="11" t="n">
        <v>44915</v>
      </c>
      <c r="T395" s="8" t="str">
        <f aca="true">IF(S395="","",IF(EDATE(S395,60)&lt;TODAY(),"Expired",IF(EDATE(S395,60)&lt;TODAY()+180,"Expiring Soon","Valid")))</f>
        <v>Valid</v>
      </c>
      <c r="U395" s="8" t="str">
        <f aca="false">IF(P395="","",IF(P395="A++","Top Tier",IF(P395="A+","High",IF(P395="A","Strong",IF(LEFT(P395,1)="B","Acceptable",IF(LEFT(P395,1)="C","Below Avg","-"))))))</f>
        <v>Top Tier</v>
      </c>
      <c r="AT395" s="8"/>
      <c r="AU395" s="8"/>
    </row>
    <row r="396" customFormat="false" ht="15" hidden="false" customHeight="true" outlineLevel="0" collapsed="false">
      <c r="A396" s="8" t="n">
        <v>395</v>
      </c>
      <c r="B396" s="8" t="n">
        <v>63</v>
      </c>
      <c r="C396" s="8" t="s">
        <v>530</v>
      </c>
      <c r="D396" s="8" t="s">
        <v>286</v>
      </c>
      <c r="E396" s="9" t="s">
        <v>535</v>
      </c>
      <c r="F396" s="9" t="s">
        <v>312</v>
      </c>
      <c r="G396" s="8" t="s">
        <v>301</v>
      </c>
      <c r="H396" s="8" t="s">
        <v>302</v>
      </c>
      <c r="I396" s="8" t="s">
        <v>291</v>
      </c>
      <c r="J396" s="8" t="s">
        <v>292</v>
      </c>
      <c r="K396" s="8" t="s">
        <v>293</v>
      </c>
      <c r="L396" s="9" t="s">
        <v>294</v>
      </c>
      <c r="M396" s="8"/>
      <c r="N396" s="8" t="str">
        <f aca="true">IF(M396="","Active (per Notice 1)",IF(M396&lt;TODAY(),"Expired",IF(M396&lt;TODAY()+180,"Expiring Soon","Active")))</f>
        <v>Active (per Notice 1)</v>
      </c>
      <c r="O396" s="10" t="s">
        <v>295</v>
      </c>
      <c r="P396" s="8" t="s">
        <v>296</v>
      </c>
      <c r="Q396" s="8" t="n">
        <v>3.85</v>
      </c>
      <c r="R396" s="8" t="n">
        <v>4</v>
      </c>
      <c r="S396" s="11" t="n">
        <v>44915</v>
      </c>
      <c r="T396" s="8" t="str">
        <f aca="true">IF(S396="","",IF(EDATE(S396,60)&lt;TODAY(),"Expired",IF(EDATE(S396,60)&lt;TODAY()+180,"Expiring Soon","Valid")))</f>
        <v>Valid</v>
      </c>
      <c r="U396" s="8" t="str">
        <f aca="false">IF(P396="","",IF(P396="A++","Top Tier",IF(P396="A+","High",IF(P396="A","Strong",IF(LEFT(P396,1)="B","Acceptable",IF(LEFT(P396,1)="C","Below Avg","-"))))))</f>
        <v>Top Tier</v>
      </c>
      <c r="AT396" s="8"/>
      <c r="AU396" s="8"/>
    </row>
    <row r="397" customFormat="false" ht="15" hidden="false" customHeight="true" outlineLevel="0" collapsed="false">
      <c r="A397" s="8" t="n">
        <v>396</v>
      </c>
      <c r="B397" s="8" t="n">
        <v>63</v>
      </c>
      <c r="C397" s="8" t="s">
        <v>530</v>
      </c>
      <c r="D397" s="8" t="s">
        <v>286</v>
      </c>
      <c r="E397" s="9" t="s">
        <v>535</v>
      </c>
      <c r="F397" s="9" t="s">
        <v>536</v>
      </c>
      <c r="G397" s="8" t="s">
        <v>301</v>
      </c>
      <c r="H397" s="8" t="s">
        <v>302</v>
      </c>
      <c r="I397" s="8" t="s">
        <v>291</v>
      </c>
      <c r="J397" s="8" t="s">
        <v>292</v>
      </c>
      <c r="K397" s="8" t="s">
        <v>293</v>
      </c>
      <c r="L397" s="9" t="s">
        <v>294</v>
      </c>
      <c r="M397" s="8"/>
      <c r="N397" s="8" t="str">
        <f aca="true">IF(M397="","Active (per Notice 1)",IF(M397&lt;TODAY(),"Expired",IF(M397&lt;TODAY()+180,"Expiring Soon","Active")))</f>
        <v>Active (per Notice 1)</v>
      </c>
      <c r="O397" s="10" t="s">
        <v>295</v>
      </c>
      <c r="P397" s="8" t="s">
        <v>296</v>
      </c>
      <c r="Q397" s="8" t="n">
        <v>3.85</v>
      </c>
      <c r="R397" s="8" t="n">
        <v>4</v>
      </c>
      <c r="S397" s="11" t="n">
        <v>44915</v>
      </c>
      <c r="T397" s="8" t="str">
        <f aca="true">IF(S397="","",IF(EDATE(S397,60)&lt;TODAY(),"Expired",IF(EDATE(S397,60)&lt;TODAY()+180,"Expiring Soon","Valid")))</f>
        <v>Valid</v>
      </c>
      <c r="U397" s="8" t="str">
        <f aca="false">IF(P397="","",IF(P397="A++","Top Tier",IF(P397="A+","High",IF(P397="A","Strong",IF(LEFT(P397,1)="B","Acceptable",IF(LEFT(P397,1)="C","Below Avg","-"))))))</f>
        <v>Top Tier</v>
      </c>
      <c r="AT397" s="8"/>
      <c r="AU397" s="8"/>
    </row>
    <row r="398" customFormat="false" ht="15" hidden="false" customHeight="true" outlineLevel="0" collapsed="false">
      <c r="A398" s="8" t="n">
        <v>397</v>
      </c>
      <c r="B398" s="8" t="n">
        <v>63</v>
      </c>
      <c r="C398" s="8" t="s">
        <v>530</v>
      </c>
      <c r="D398" s="8" t="s">
        <v>286</v>
      </c>
      <c r="E398" s="9" t="s">
        <v>535</v>
      </c>
      <c r="F398" s="9" t="s">
        <v>308</v>
      </c>
      <c r="G398" s="8" t="s">
        <v>309</v>
      </c>
      <c r="H398" s="8" t="s">
        <v>302</v>
      </c>
      <c r="I398" s="8" t="s">
        <v>291</v>
      </c>
      <c r="J398" s="8" t="s">
        <v>292</v>
      </c>
      <c r="K398" s="8" t="s">
        <v>293</v>
      </c>
      <c r="L398" s="9" t="s">
        <v>294</v>
      </c>
      <c r="M398" s="8"/>
      <c r="N398" s="8" t="str">
        <f aca="true">IF(M398="","Active (per Notice 1)",IF(M398&lt;TODAY(),"Expired",IF(M398&lt;TODAY()+180,"Expiring Soon","Active")))</f>
        <v>Active (per Notice 1)</v>
      </c>
      <c r="O398" s="10" t="s">
        <v>295</v>
      </c>
      <c r="P398" s="8" t="s">
        <v>296</v>
      </c>
      <c r="Q398" s="8" t="n">
        <v>3.85</v>
      </c>
      <c r="R398" s="8" t="n">
        <v>4</v>
      </c>
      <c r="S398" s="11" t="n">
        <v>44915</v>
      </c>
      <c r="T398" s="8" t="str">
        <f aca="true">IF(S398="","",IF(EDATE(S398,60)&lt;TODAY(),"Expired",IF(EDATE(S398,60)&lt;TODAY()+180,"Expiring Soon","Valid")))</f>
        <v>Valid</v>
      </c>
      <c r="U398" s="8" t="str">
        <f aca="false">IF(P398="","",IF(P398="A++","Top Tier",IF(P398="A+","High",IF(P398="A","Strong",IF(LEFT(P398,1)="B","Acceptable",IF(LEFT(P398,1)="C","Below Avg","-"))))))</f>
        <v>Top Tier</v>
      </c>
      <c r="AT398" s="8"/>
      <c r="AU398" s="8"/>
    </row>
    <row r="399" customFormat="false" ht="15" hidden="false" customHeight="true" outlineLevel="0" collapsed="false">
      <c r="A399" s="8" t="n">
        <v>398</v>
      </c>
      <c r="B399" s="8" t="n">
        <v>63</v>
      </c>
      <c r="C399" s="8" t="s">
        <v>530</v>
      </c>
      <c r="D399" s="8" t="s">
        <v>286</v>
      </c>
      <c r="E399" s="9" t="s">
        <v>535</v>
      </c>
      <c r="F399" s="9" t="s">
        <v>519</v>
      </c>
      <c r="G399" s="8" t="s">
        <v>304</v>
      </c>
      <c r="H399" s="8" t="s">
        <v>302</v>
      </c>
      <c r="I399" s="8" t="s">
        <v>291</v>
      </c>
      <c r="J399" s="8" t="s">
        <v>292</v>
      </c>
      <c r="K399" s="8" t="s">
        <v>293</v>
      </c>
      <c r="L399" s="9" t="s">
        <v>294</v>
      </c>
      <c r="M399" s="8"/>
      <c r="N399" s="8" t="str">
        <f aca="true">IF(M399="","Active (per Notice 1)",IF(M399&lt;TODAY(),"Expired",IF(M399&lt;TODAY()+180,"Expiring Soon","Active")))</f>
        <v>Active (per Notice 1)</v>
      </c>
      <c r="O399" s="12" t="s">
        <v>305</v>
      </c>
      <c r="P399" s="8" t="s">
        <v>296</v>
      </c>
      <c r="Q399" s="8" t="n">
        <v>3.85</v>
      </c>
      <c r="R399" s="8" t="n">
        <v>4</v>
      </c>
      <c r="S399" s="11" t="n">
        <v>44915</v>
      </c>
      <c r="T399" s="8" t="str">
        <f aca="true">IF(S399="","",IF(EDATE(S399,60)&lt;TODAY(),"Expired",IF(EDATE(S399,60)&lt;TODAY()+180,"Expiring Soon","Valid")))</f>
        <v>Valid</v>
      </c>
      <c r="U399" s="8" t="str">
        <f aca="false">IF(P399="","",IF(P399="A++","Top Tier",IF(P399="A+","High",IF(P399="A","Strong",IF(LEFT(P399,1)="B","Acceptable",IF(LEFT(P399,1)="C","Below Avg","-"))))))</f>
        <v>Top Tier</v>
      </c>
      <c r="AT399" s="8"/>
      <c r="AU399" s="8"/>
    </row>
    <row r="400" customFormat="false" ht="15" hidden="false" customHeight="true" outlineLevel="0" collapsed="false">
      <c r="A400" s="8" t="n">
        <v>399</v>
      </c>
      <c r="B400" s="8" t="n">
        <v>63</v>
      </c>
      <c r="C400" s="8" t="s">
        <v>530</v>
      </c>
      <c r="D400" s="8" t="s">
        <v>286</v>
      </c>
      <c r="E400" s="9" t="s">
        <v>535</v>
      </c>
      <c r="F400" s="9" t="s">
        <v>303</v>
      </c>
      <c r="G400" s="8" t="s">
        <v>304</v>
      </c>
      <c r="H400" s="8" t="s">
        <v>302</v>
      </c>
      <c r="I400" s="8" t="s">
        <v>291</v>
      </c>
      <c r="J400" s="8" t="s">
        <v>292</v>
      </c>
      <c r="K400" s="8" t="s">
        <v>293</v>
      </c>
      <c r="L400" s="9" t="s">
        <v>294</v>
      </c>
      <c r="M400" s="8"/>
      <c r="N400" s="8" t="str">
        <f aca="true">IF(M400="","Active (per Notice 1)",IF(M400&lt;TODAY(),"Expired",IF(M400&lt;TODAY()+180,"Expiring Soon","Active")))</f>
        <v>Active (per Notice 1)</v>
      </c>
      <c r="O400" s="12" t="s">
        <v>305</v>
      </c>
      <c r="P400" s="8" t="s">
        <v>296</v>
      </c>
      <c r="Q400" s="8" t="n">
        <v>3.85</v>
      </c>
      <c r="R400" s="8" t="n">
        <v>4</v>
      </c>
      <c r="S400" s="11" t="n">
        <v>44915</v>
      </c>
      <c r="T400" s="8" t="str">
        <f aca="true">IF(S400="","",IF(EDATE(S400,60)&lt;TODAY(),"Expired",IF(EDATE(S400,60)&lt;TODAY()+180,"Expiring Soon","Valid")))</f>
        <v>Valid</v>
      </c>
      <c r="U400" s="8" t="str">
        <f aca="false">IF(P400="","",IF(P400="A++","Top Tier",IF(P400="A+","High",IF(P400="A","Strong",IF(LEFT(P400,1)="B","Acceptable",IF(LEFT(P400,1)="C","Below Avg","-"))))))</f>
        <v>Top Tier</v>
      </c>
      <c r="AT400" s="8"/>
      <c r="AU400" s="8"/>
    </row>
    <row r="401" customFormat="false" ht="15" hidden="false" customHeight="true" outlineLevel="0" collapsed="false">
      <c r="A401" s="8" t="n">
        <v>400</v>
      </c>
      <c r="B401" s="8" t="n">
        <v>63</v>
      </c>
      <c r="C401" s="8" t="s">
        <v>530</v>
      </c>
      <c r="D401" s="8" t="s">
        <v>286</v>
      </c>
      <c r="E401" s="9" t="s">
        <v>535</v>
      </c>
      <c r="F401" s="9" t="s">
        <v>521</v>
      </c>
      <c r="G401" s="8" t="s">
        <v>304</v>
      </c>
      <c r="H401" s="8" t="s">
        <v>302</v>
      </c>
      <c r="I401" s="8" t="s">
        <v>291</v>
      </c>
      <c r="J401" s="8" t="s">
        <v>292</v>
      </c>
      <c r="K401" s="8" t="s">
        <v>293</v>
      </c>
      <c r="L401" s="9" t="s">
        <v>294</v>
      </c>
      <c r="M401" s="8"/>
      <c r="N401" s="8" t="str">
        <f aca="true">IF(M401="","Active (per Notice 1)",IF(M401&lt;TODAY(),"Expired",IF(M401&lt;TODAY()+180,"Expiring Soon","Active")))</f>
        <v>Active (per Notice 1)</v>
      </c>
      <c r="O401" s="12" t="s">
        <v>305</v>
      </c>
      <c r="P401" s="8" t="s">
        <v>296</v>
      </c>
      <c r="Q401" s="8" t="n">
        <v>3.85</v>
      </c>
      <c r="R401" s="8" t="n">
        <v>4</v>
      </c>
      <c r="S401" s="11" t="n">
        <v>44915</v>
      </c>
      <c r="T401" s="8" t="str">
        <f aca="true">IF(S401="","",IF(EDATE(S401,60)&lt;TODAY(),"Expired",IF(EDATE(S401,60)&lt;TODAY()+180,"Expiring Soon","Valid")))</f>
        <v>Valid</v>
      </c>
      <c r="U401" s="8" t="str">
        <f aca="false">IF(P401="","",IF(P401="A++","Top Tier",IF(P401="A+","High",IF(P401="A","Strong",IF(LEFT(P401,1)="B","Acceptable",IF(LEFT(P401,1)="C","Below Avg","-"))))))</f>
        <v>Top Tier</v>
      </c>
      <c r="AT401" s="8"/>
      <c r="AU401" s="8"/>
    </row>
    <row r="402" customFormat="false" ht="23.25" hidden="false" customHeight="true" outlineLevel="0" collapsed="false">
      <c r="A402" s="8" t="n">
        <v>401</v>
      </c>
      <c r="B402" s="8" t="n">
        <v>63</v>
      </c>
      <c r="C402" s="8" t="s">
        <v>530</v>
      </c>
      <c r="D402" s="8" t="s">
        <v>286</v>
      </c>
      <c r="E402" s="9" t="s">
        <v>535</v>
      </c>
      <c r="F402" s="9" t="s">
        <v>448</v>
      </c>
      <c r="G402" s="8" t="s">
        <v>304</v>
      </c>
      <c r="H402" s="8" t="s">
        <v>302</v>
      </c>
      <c r="I402" s="8" t="s">
        <v>291</v>
      </c>
      <c r="J402" s="8" t="s">
        <v>292</v>
      </c>
      <c r="K402" s="8" t="s">
        <v>293</v>
      </c>
      <c r="L402" s="9" t="s">
        <v>294</v>
      </c>
      <c r="M402" s="8"/>
      <c r="N402" s="8" t="str">
        <f aca="true">IF(M402="","Active (per Notice 1)",IF(M402&lt;TODAY(),"Expired",IF(M402&lt;TODAY()+180,"Expiring Soon","Active")))</f>
        <v>Active (per Notice 1)</v>
      </c>
      <c r="O402" s="12" t="s">
        <v>305</v>
      </c>
      <c r="P402" s="8" t="s">
        <v>296</v>
      </c>
      <c r="Q402" s="8" t="n">
        <v>3.85</v>
      </c>
      <c r="R402" s="8" t="n">
        <v>4</v>
      </c>
      <c r="S402" s="11" t="n">
        <v>44915</v>
      </c>
      <c r="T402" s="8" t="str">
        <f aca="true">IF(S402="","",IF(EDATE(S402,60)&lt;TODAY(),"Expired",IF(EDATE(S402,60)&lt;TODAY()+180,"Expiring Soon","Valid")))</f>
        <v>Valid</v>
      </c>
      <c r="U402" s="8" t="str">
        <f aca="false">IF(P402="","",IF(P402="A++","Top Tier",IF(P402="A+","High",IF(P402="A","Strong",IF(LEFT(P402,1)="B","Acceptable",IF(LEFT(P402,1)="C","Below Avg","-"))))))</f>
        <v>Top Tier</v>
      </c>
      <c r="AT402" s="8"/>
      <c r="AU402" s="8"/>
    </row>
    <row r="403" customFormat="false" ht="15" hidden="false" customHeight="true" outlineLevel="0" collapsed="false">
      <c r="A403" s="8" t="n">
        <v>402</v>
      </c>
      <c r="B403" s="8" t="n">
        <v>63</v>
      </c>
      <c r="C403" s="8" t="s">
        <v>530</v>
      </c>
      <c r="D403" s="8" t="s">
        <v>286</v>
      </c>
      <c r="E403" s="9" t="s">
        <v>535</v>
      </c>
      <c r="F403" s="9" t="s">
        <v>306</v>
      </c>
      <c r="G403" s="8" t="s">
        <v>307</v>
      </c>
      <c r="H403" s="8" t="s">
        <v>302</v>
      </c>
      <c r="I403" s="8" t="s">
        <v>291</v>
      </c>
      <c r="J403" s="8" t="s">
        <v>292</v>
      </c>
      <c r="K403" s="8" t="s">
        <v>293</v>
      </c>
      <c r="L403" s="9" t="s">
        <v>294</v>
      </c>
      <c r="M403" s="8"/>
      <c r="N403" s="8" t="str">
        <f aca="true">IF(M403="","Active (per Notice 1)",IF(M403&lt;TODAY(),"Expired",IF(M403&lt;TODAY()+180,"Expiring Soon","Active")))</f>
        <v>Active (per Notice 1)</v>
      </c>
      <c r="O403" s="12" t="s">
        <v>305</v>
      </c>
      <c r="P403" s="8" t="s">
        <v>296</v>
      </c>
      <c r="Q403" s="8" t="n">
        <v>3.85</v>
      </c>
      <c r="R403" s="8" t="n">
        <v>4</v>
      </c>
      <c r="S403" s="11" t="n">
        <v>44915</v>
      </c>
      <c r="T403" s="8" t="str">
        <f aca="true">IF(S403="","",IF(EDATE(S403,60)&lt;TODAY(),"Expired",IF(EDATE(S403,60)&lt;TODAY()+180,"Expiring Soon","Valid")))</f>
        <v>Valid</v>
      </c>
      <c r="U403" s="8" t="str">
        <f aca="false">IF(P403="","",IF(P403="A++","Top Tier",IF(P403="A+","High",IF(P403="A","Strong",IF(LEFT(P403,1)="B","Acceptable",IF(LEFT(P403,1)="C","Below Avg","-"))))))</f>
        <v>Top Tier</v>
      </c>
      <c r="AT403" s="8"/>
      <c r="AU403" s="8"/>
    </row>
    <row r="404" customFormat="false" ht="15" hidden="false" customHeight="true" outlineLevel="0" collapsed="false">
      <c r="A404" s="8" t="n">
        <v>403</v>
      </c>
      <c r="B404" s="8" t="n">
        <v>64</v>
      </c>
      <c r="C404" s="8" t="s">
        <v>530</v>
      </c>
      <c r="D404" s="8" t="s">
        <v>333</v>
      </c>
      <c r="E404" s="9" t="s">
        <v>537</v>
      </c>
      <c r="F404" s="9" t="s">
        <v>538</v>
      </c>
      <c r="G404" s="8" t="s">
        <v>320</v>
      </c>
      <c r="H404" s="8" t="s">
        <v>290</v>
      </c>
      <c r="I404" s="8" t="s">
        <v>291</v>
      </c>
      <c r="J404" s="8" t="s">
        <v>292</v>
      </c>
      <c r="K404" s="8" t="s">
        <v>293</v>
      </c>
      <c r="L404" s="9" t="s">
        <v>294</v>
      </c>
      <c r="M404" s="8"/>
      <c r="N404" s="8" t="str">
        <f aca="true">IF(M404="","Active (per Notice 1)",IF(M404&lt;TODAY(),"Expired",IF(M404&lt;TODAY()+180,"Expiring Soon","Active")))</f>
        <v>Active (per Notice 1)</v>
      </c>
      <c r="O404" s="12" t="s">
        <v>305</v>
      </c>
      <c r="P404" s="8" t="s">
        <v>296</v>
      </c>
      <c r="Q404" s="8" t="n">
        <v>3.57</v>
      </c>
      <c r="R404" s="8" t="n">
        <v>1</v>
      </c>
      <c r="S404" s="11" t="n">
        <v>45065</v>
      </c>
      <c r="T404" s="8" t="str">
        <f aca="true">IF(S404="","",IF(EDATE(S404,60)&lt;TODAY(),"Expired",IF(EDATE(S404,60)&lt;TODAY()+180,"Expiring Soon","Valid")))</f>
        <v>Valid</v>
      </c>
      <c r="U404" s="8" t="str">
        <f aca="false">IF(P404="","",IF(P404="A++","Top Tier",IF(P404="A+","High",IF(P404="A","Strong",IF(LEFT(P404,1)="B","Acceptable",IF(LEFT(P404,1)="C","Below Avg","-"))))))</f>
        <v>Top Tier</v>
      </c>
      <c r="AT404" s="8"/>
      <c r="AU404" s="8"/>
    </row>
    <row r="405" customFormat="false" ht="15" hidden="false" customHeight="true" outlineLevel="0" collapsed="false">
      <c r="A405" s="8" t="n">
        <v>404</v>
      </c>
      <c r="B405" s="8" t="n">
        <v>64</v>
      </c>
      <c r="C405" s="8" t="s">
        <v>530</v>
      </c>
      <c r="D405" s="8" t="s">
        <v>333</v>
      </c>
      <c r="E405" s="9" t="s">
        <v>537</v>
      </c>
      <c r="F405" s="9" t="s">
        <v>317</v>
      </c>
      <c r="G405" s="8" t="s">
        <v>318</v>
      </c>
      <c r="H405" s="8" t="s">
        <v>290</v>
      </c>
      <c r="I405" s="8" t="s">
        <v>291</v>
      </c>
      <c r="J405" s="8" t="s">
        <v>292</v>
      </c>
      <c r="K405" s="8" t="s">
        <v>293</v>
      </c>
      <c r="L405" s="9" t="s">
        <v>294</v>
      </c>
      <c r="M405" s="8"/>
      <c r="N405" s="8" t="str">
        <f aca="true">IF(M405="","Active (per Notice 1)",IF(M405&lt;TODAY(),"Expired",IF(M405&lt;TODAY()+180,"Expiring Soon","Active")))</f>
        <v>Active (per Notice 1)</v>
      </c>
      <c r="O405" s="12" t="s">
        <v>305</v>
      </c>
      <c r="P405" s="8" t="s">
        <v>296</v>
      </c>
      <c r="Q405" s="8" t="n">
        <v>3.57</v>
      </c>
      <c r="R405" s="8" t="n">
        <v>1</v>
      </c>
      <c r="S405" s="11" t="n">
        <v>45065</v>
      </c>
      <c r="T405" s="8" t="str">
        <f aca="true">IF(S405="","",IF(EDATE(S405,60)&lt;TODAY(),"Expired",IF(EDATE(S405,60)&lt;TODAY()+180,"Expiring Soon","Valid")))</f>
        <v>Valid</v>
      </c>
      <c r="U405" s="8" t="str">
        <f aca="false">IF(P405="","",IF(P405="A++","Top Tier",IF(P405="A+","High",IF(P405="A","Strong",IF(LEFT(P405,1)="B","Acceptable",IF(LEFT(P405,1)="C","Below Avg","-"))))))</f>
        <v>Top Tier</v>
      </c>
      <c r="AT405" s="8"/>
      <c r="AU405" s="8"/>
    </row>
    <row r="406" customFormat="false" ht="23.25" hidden="false" customHeight="true" outlineLevel="0" collapsed="false">
      <c r="A406" s="8" t="n">
        <v>405</v>
      </c>
      <c r="B406" s="8" t="n">
        <v>64</v>
      </c>
      <c r="C406" s="8" t="s">
        <v>530</v>
      </c>
      <c r="D406" s="8" t="s">
        <v>333</v>
      </c>
      <c r="E406" s="9" t="s">
        <v>537</v>
      </c>
      <c r="F406" s="9" t="s">
        <v>539</v>
      </c>
      <c r="G406" s="8" t="s">
        <v>298</v>
      </c>
      <c r="H406" s="8" t="s">
        <v>290</v>
      </c>
      <c r="I406" s="8" t="s">
        <v>291</v>
      </c>
      <c r="J406" s="8" t="s">
        <v>292</v>
      </c>
      <c r="K406" s="8" t="s">
        <v>293</v>
      </c>
      <c r="L406" s="9" t="s">
        <v>294</v>
      </c>
      <c r="M406" s="8"/>
      <c r="N406" s="8" t="str">
        <f aca="true">IF(M406="","Active (per Notice 1)",IF(M406&lt;TODAY(),"Expired",IF(M406&lt;TODAY()+180,"Expiring Soon","Active")))</f>
        <v>Active (per Notice 1)</v>
      </c>
      <c r="O406" s="10" t="s">
        <v>295</v>
      </c>
      <c r="P406" s="8" t="s">
        <v>296</v>
      </c>
      <c r="Q406" s="8" t="n">
        <v>3.57</v>
      </c>
      <c r="R406" s="8" t="n">
        <v>1</v>
      </c>
      <c r="S406" s="11" t="n">
        <v>45065</v>
      </c>
      <c r="T406" s="8" t="str">
        <f aca="true">IF(S406="","",IF(EDATE(S406,60)&lt;TODAY(),"Expired",IF(EDATE(S406,60)&lt;TODAY()+180,"Expiring Soon","Valid")))</f>
        <v>Valid</v>
      </c>
      <c r="U406" s="8" t="str">
        <f aca="false">IF(P406="","",IF(P406="A++","Top Tier",IF(P406="A+","High",IF(P406="A","Strong",IF(LEFT(P406,1)="B","Acceptable",IF(LEFT(P406,1)="C","Below Avg","-"))))))</f>
        <v>Top Tier</v>
      </c>
      <c r="AT406" s="8"/>
      <c r="AU406" s="8"/>
    </row>
    <row r="407" customFormat="false" ht="15" hidden="false" customHeight="true" outlineLevel="0" collapsed="false">
      <c r="A407" s="8" t="n">
        <v>406</v>
      </c>
      <c r="B407" s="8" t="n">
        <v>64</v>
      </c>
      <c r="C407" s="8" t="s">
        <v>530</v>
      </c>
      <c r="D407" s="8" t="s">
        <v>333</v>
      </c>
      <c r="E407" s="9" t="s">
        <v>537</v>
      </c>
      <c r="F407" s="9" t="s">
        <v>347</v>
      </c>
      <c r="G407" s="8" t="s">
        <v>301</v>
      </c>
      <c r="H407" s="8" t="s">
        <v>302</v>
      </c>
      <c r="I407" s="8" t="s">
        <v>291</v>
      </c>
      <c r="J407" s="8" t="s">
        <v>292</v>
      </c>
      <c r="K407" s="8" t="s">
        <v>293</v>
      </c>
      <c r="L407" s="9" t="s">
        <v>294</v>
      </c>
      <c r="M407" s="8"/>
      <c r="N407" s="8" t="str">
        <f aca="true">IF(M407="","Active (per Notice 1)",IF(M407&lt;TODAY(),"Expired",IF(M407&lt;TODAY()+180,"Expiring Soon","Active")))</f>
        <v>Active (per Notice 1)</v>
      </c>
      <c r="O407" s="10" t="s">
        <v>295</v>
      </c>
      <c r="P407" s="8" t="s">
        <v>296</v>
      </c>
      <c r="Q407" s="8" t="n">
        <v>3.57</v>
      </c>
      <c r="R407" s="8" t="n">
        <v>1</v>
      </c>
      <c r="S407" s="11" t="n">
        <v>45065</v>
      </c>
      <c r="T407" s="8" t="str">
        <f aca="true">IF(S407="","",IF(EDATE(S407,60)&lt;TODAY(),"Expired",IF(EDATE(S407,60)&lt;TODAY()+180,"Expiring Soon","Valid")))</f>
        <v>Valid</v>
      </c>
      <c r="U407" s="8" t="str">
        <f aca="false">IF(P407="","",IF(P407="A++","Top Tier",IF(P407="A+","High",IF(P407="A","Strong",IF(LEFT(P407,1)="B","Acceptable",IF(LEFT(P407,1)="C","Below Avg","-"))))))</f>
        <v>Top Tier</v>
      </c>
      <c r="AT407" s="8"/>
      <c r="AU407" s="8"/>
    </row>
    <row r="408" customFormat="false" ht="15" hidden="false" customHeight="true" outlineLevel="0" collapsed="false">
      <c r="A408" s="8" t="n">
        <v>407</v>
      </c>
      <c r="B408" s="8" t="n">
        <v>64</v>
      </c>
      <c r="C408" s="8" t="s">
        <v>530</v>
      </c>
      <c r="D408" s="8" t="s">
        <v>333</v>
      </c>
      <c r="E408" s="9" t="s">
        <v>537</v>
      </c>
      <c r="F408" s="9" t="s">
        <v>540</v>
      </c>
      <c r="G408" s="8" t="s">
        <v>309</v>
      </c>
      <c r="H408" s="8" t="s">
        <v>302</v>
      </c>
      <c r="I408" s="8" t="s">
        <v>291</v>
      </c>
      <c r="J408" s="8" t="s">
        <v>292</v>
      </c>
      <c r="K408" s="8" t="s">
        <v>293</v>
      </c>
      <c r="L408" s="9" t="s">
        <v>294</v>
      </c>
      <c r="M408" s="8"/>
      <c r="N408" s="8" t="str">
        <f aca="true">IF(M408="","Active (per Notice 1)",IF(M408&lt;TODAY(),"Expired",IF(M408&lt;TODAY()+180,"Expiring Soon","Active")))</f>
        <v>Active (per Notice 1)</v>
      </c>
      <c r="O408" s="10" t="s">
        <v>295</v>
      </c>
      <c r="P408" s="8" t="s">
        <v>296</v>
      </c>
      <c r="Q408" s="8" t="n">
        <v>3.57</v>
      </c>
      <c r="R408" s="8" t="n">
        <v>1</v>
      </c>
      <c r="S408" s="11" t="n">
        <v>45065</v>
      </c>
      <c r="T408" s="8" t="str">
        <f aca="true">IF(S408="","",IF(EDATE(S408,60)&lt;TODAY(),"Expired",IF(EDATE(S408,60)&lt;TODAY()+180,"Expiring Soon","Valid")))</f>
        <v>Valid</v>
      </c>
      <c r="U408" s="8" t="str">
        <f aca="false">IF(P408="","",IF(P408="A++","Top Tier",IF(P408="A+","High",IF(P408="A","Strong",IF(LEFT(P408,1)="B","Acceptable",IF(LEFT(P408,1)="C","Below Avg","-"))))))</f>
        <v>Top Tier</v>
      </c>
      <c r="AT408" s="8"/>
      <c r="AU408" s="8"/>
    </row>
    <row r="409" customFormat="false" ht="15" hidden="false" customHeight="true" outlineLevel="0" collapsed="false">
      <c r="A409" s="8" t="n">
        <v>408</v>
      </c>
      <c r="B409" s="8" t="n">
        <v>64</v>
      </c>
      <c r="C409" s="8" t="s">
        <v>530</v>
      </c>
      <c r="D409" s="8" t="s">
        <v>333</v>
      </c>
      <c r="E409" s="9" t="s">
        <v>537</v>
      </c>
      <c r="F409" s="9" t="s">
        <v>312</v>
      </c>
      <c r="G409" s="8" t="s">
        <v>301</v>
      </c>
      <c r="H409" s="8" t="s">
        <v>302</v>
      </c>
      <c r="I409" s="8" t="s">
        <v>291</v>
      </c>
      <c r="J409" s="8" t="s">
        <v>292</v>
      </c>
      <c r="K409" s="8" t="s">
        <v>293</v>
      </c>
      <c r="L409" s="9" t="s">
        <v>294</v>
      </c>
      <c r="M409" s="8"/>
      <c r="N409" s="8" t="str">
        <f aca="true">IF(M409="","Active (per Notice 1)",IF(M409&lt;TODAY(),"Expired",IF(M409&lt;TODAY()+180,"Expiring Soon","Active")))</f>
        <v>Active (per Notice 1)</v>
      </c>
      <c r="O409" s="10" t="s">
        <v>295</v>
      </c>
      <c r="P409" s="8" t="s">
        <v>296</v>
      </c>
      <c r="Q409" s="8" t="n">
        <v>3.57</v>
      </c>
      <c r="R409" s="8" t="n">
        <v>1</v>
      </c>
      <c r="S409" s="11" t="n">
        <v>45065</v>
      </c>
      <c r="T409" s="8" t="str">
        <f aca="true">IF(S409="","",IF(EDATE(S409,60)&lt;TODAY(),"Expired",IF(EDATE(S409,60)&lt;TODAY()+180,"Expiring Soon","Valid")))</f>
        <v>Valid</v>
      </c>
      <c r="U409" s="8" t="str">
        <f aca="false">IF(P409="","",IF(P409="A++","Top Tier",IF(P409="A+","High",IF(P409="A","Strong",IF(LEFT(P409,1)="B","Acceptable",IF(LEFT(P409,1)="C","Below Avg","-"))))))</f>
        <v>Top Tier</v>
      </c>
      <c r="AT409" s="8"/>
      <c r="AU409" s="8"/>
    </row>
    <row r="410" customFormat="false" ht="15" hidden="false" customHeight="true" outlineLevel="0" collapsed="false">
      <c r="A410" s="8" t="n">
        <v>409</v>
      </c>
      <c r="B410" s="8" t="n">
        <v>64</v>
      </c>
      <c r="C410" s="8" t="s">
        <v>530</v>
      </c>
      <c r="D410" s="8" t="s">
        <v>333</v>
      </c>
      <c r="E410" s="9" t="s">
        <v>537</v>
      </c>
      <c r="F410" s="9" t="s">
        <v>311</v>
      </c>
      <c r="G410" s="8" t="s">
        <v>301</v>
      </c>
      <c r="H410" s="8" t="s">
        <v>302</v>
      </c>
      <c r="I410" s="8" t="s">
        <v>291</v>
      </c>
      <c r="J410" s="8" t="s">
        <v>292</v>
      </c>
      <c r="K410" s="8" t="s">
        <v>293</v>
      </c>
      <c r="L410" s="9" t="s">
        <v>294</v>
      </c>
      <c r="M410" s="8"/>
      <c r="N410" s="8" t="str">
        <f aca="true">IF(M410="","Active (per Notice 1)",IF(M410&lt;TODAY(),"Expired",IF(M410&lt;TODAY()+180,"Expiring Soon","Active")))</f>
        <v>Active (per Notice 1)</v>
      </c>
      <c r="O410" s="10" t="s">
        <v>295</v>
      </c>
      <c r="P410" s="8" t="s">
        <v>296</v>
      </c>
      <c r="Q410" s="8" t="n">
        <v>3.57</v>
      </c>
      <c r="R410" s="8" t="n">
        <v>1</v>
      </c>
      <c r="S410" s="11" t="n">
        <v>45065</v>
      </c>
      <c r="T410" s="8" t="str">
        <f aca="true">IF(S410="","",IF(EDATE(S410,60)&lt;TODAY(),"Expired",IF(EDATE(S410,60)&lt;TODAY()+180,"Expiring Soon","Valid")))</f>
        <v>Valid</v>
      </c>
      <c r="U410" s="8" t="str">
        <f aca="false">IF(P410="","",IF(P410="A++","Top Tier",IF(P410="A+","High",IF(P410="A","Strong",IF(LEFT(P410,1)="B","Acceptable",IF(LEFT(P410,1)="C","Below Avg","-"))))))</f>
        <v>Top Tier</v>
      </c>
      <c r="AT410" s="8"/>
      <c r="AU410" s="8"/>
    </row>
    <row r="411" customFormat="false" ht="15" hidden="false" customHeight="true" outlineLevel="0" collapsed="false">
      <c r="A411" s="8" t="n">
        <v>410</v>
      </c>
      <c r="B411" s="8" t="n">
        <v>64</v>
      </c>
      <c r="C411" s="8" t="s">
        <v>530</v>
      </c>
      <c r="D411" s="8" t="s">
        <v>333</v>
      </c>
      <c r="E411" s="9" t="s">
        <v>537</v>
      </c>
      <c r="F411" s="9" t="s">
        <v>310</v>
      </c>
      <c r="G411" s="8" t="s">
        <v>301</v>
      </c>
      <c r="H411" s="8" t="s">
        <v>302</v>
      </c>
      <c r="I411" s="8" t="s">
        <v>291</v>
      </c>
      <c r="J411" s="8" t="s">
        <v>292</v>
      </c>
      <c r="K411" s="8" t="s">
        <v>293</v>
      </c>
      <c r="L411" s="9" t="s">
        <v>294</v>
      </c>
      <c r="M411" s="8"/>
      <c r="N411" s="8" t="str">
        <f aca="true">IF(M411="","Active (per Notice 1)",IF(M411&lt;TODAY(),"Expired",IF(M411&lt;TODAY()+180,"Expiring Soon","Active")))</f>
        <v>Active (per Notice 1)</v>
      </c>
      <c r="O411" s="10" t="s">
        <v>295</v>
      </c>
      <c r="P411" s="8" t="s">
        <v>296</v>
      </c>
      <c r="Q411" s="8" t="n">
        <v>3.57</v>
      </c>
      <c r="R411" s="8" t="n">
        <v>1</v>
      </c>
      <c r="S411" s="11" t="n">
        <v>45065</v>
      </c>
      <c r="T411" s="8" t="str">
        <f aca="true">IF(S411="","",IF(EDATE(S411,60)&lt;TODAY(),"Expired",IF(EDATE(S411,60)&lt;TODAY()+180,"Expiring Soon","Valid")))</f>
        <v>Valid</v>
      </c>
      <c r="U411" s="8" t="str">
        <f aca="false">IF(P411="","",IF(P411="A++","Top Tier",IF(P411="A+","High",IF(P411="A","Strong",IF(LEFT(P411,1)="B","Acceptable",IF(LEFT(P411,1)="C","Below Avg","-"))))))</f>
        <v>Top Tier</v>
      </c>
      <c r="AT411" s="8"/>
      <c r="AU411" s="8"/>
    </row>
    <row r="412" customFormat="false" ht="15" hidden="false" customHeight="true" outlineLevel="0" collapsed="false">
      <c r="A412" s="8" t="n">
        <v>411</v>
      </c>
      <c r="B412" s="8" t="n">
        <v>64</v>
      </c>
      <c r="C412" s="8" t="s">
        <v>530</v>
      </c>
      <c r="D412" s="8" t="s">
        <v>333</v>
      </c>
      <c r="E412" s="9" t="s">
        <v>537</v>
      </c>
      <c r="F412" s="9" t="s">
        <v>300</v>
      </c>
      <c r="G412" s="8" t="s">
        <v>301</v>
      </c>
      <c r="H412" s="8" t="s">
        <v>302</v>
      </c>
      <c r="I412" s="8" t="s">
        <v>291</v>
      </c>
      <c r="J412" s="8" t="s">
        <v>292</v>
      </c>
      <c r="K412" s="8" t="s">
        <v>293</v>
      </c>
      <c r="L412" s="9" t="s">
        <v>294</v>
      </c>
      <c r="M412" s="8"/>
      <c r="N412" s="8" t="str">
        <f aca="true">IF(M412="","Active (per Notice 1)",IF(M412&lt;TODAY(),"Expired",IF(M412&lt;TODAY()+180,"Expiring Soon","Active")))</f>
        <v>Active (per Notice 1)</v>
      </c>
      <c r="O412" s="10" t="s">
        <v>295</v>
      </c>
      <c r="P412" s="8" t="s">
        <v>296</v>
      </c>
      <c r="Q412" s="8" t="n">
        <v>3.57</v>
      </c>
      <c r="R412" s="8" t="n">
        <v>1</v>
      </c>
      <c r="S412" s="11" t="n">
        <v>45065</v>
      </c>
      <c r="T412" s="8" t="str">
        <f aca="true">IF(S412="","",IF(EDATE(S412,60)&lt;TODAY(),"Expired",IF(EDATE(S412,60)&lt;TODAY()+180,"Expiring Soon","Valid")))</f>
        <v>Valid</v>
      </c>
      <c r="U412" s="8" t="str">
        <f aca="false">IF(P412="","",IF(P412="A++","Top Tier",IF(P412="A+","High",IF(P412="A","Strong",IF(LEFT(P412,1)="B","Acceptable",IF(LEFT(P412,1)="C","Below Avg","-"))))))</f>
        <v>Top Tier</v>
      </c>
      <c r="AT412" s="8"/>
      <c r="AU412" s="8"/>
    </row>
    <row r="413" customFormat="false" ht="15" hidden="false" customHeight="true" outlineLevel="0" collapsed="false">
      <c r="A413" s="8" t="n">
        <v>412</v>
      </c>
      <c r="B413" s="8" t="n">
        <v>64</v>
      </c>
      <c r="C413" s="8" t="s">
        <v>530</v>
      </c>
      <c r="D413" s="8" t="s">
        <v>333</v>
      </c>
      <c r="E413" s="9" t="s">
        <v>537</v>
      </c>
      <c r="F413" s="9" t="s">
        <v>362</v>
      </c>
      <c r="G413" s="8" t="s">
        <v>301</v>
      </c>
      <c r="H413" s="8" t="s">
        <v>302</v>
      </c>
      <c r="I413" s="8" t="s">
        <v>291</v>
      </c>
      <c r="J413" s="8" t="s">
        <v>292</v>
      </c>
      <c r="K413" s="8" t="s">
        <v>293</v>
      </c>
      <c r="L413" s="9" t="s">
        <v>294</v>
      </c>
      <c r="M413" s="8"/>
      <c r="N413" s="8" t="str">
        <f aca="true">IF(M413="","Active (per Notice 1)",IF(M413&lt;TODAY(),"Expired",IF(M413&lt;TODAY()+180,"Expiring Soon","Active")))</f>
        <v>Active (per Notice 1)</v>
      </c>
      <c r="O413" s="10" t="s">
        <v>295</v>
      </c>
      <c r="P413" s="8" t="s">
        <v>296</v>
      </c>
      <c r="Q413" s="8" t="n">
        <v>3.57</v>
      </c>
      <c r="R413" s="8" t="n">
        <v>1</v>
      </c>
      <c r="S413" s="11" t="n">
        <v>45065</v>
      </c>
      <c r="T413" s="8" t="str">
        <f aca="true">IF(S413="","",IF(EDATE(S413,60)&lt;TODAY(),"Expired",IF(EDATE(S413,60)&lt;TODAY()+180,"Expiring Soon","Valid")))</f>
        <v>Valid</v>
      </c>
      <c r="U413" s="8" t="str">
        <f aca="false">IF(P413="","",IF(P413="A++","Top Tier",IF(P413="A+","High",IF(P413="A","Strong",IF(LEFT(P413,1)="B","Acceptable",IF(LEFT(P413,1)="C","Below Avg","-"))))))</f>
        <v>Top Tier</v>
      </c>
      <c r="AT413" s="8"/>
      <c r="AU413" s="8"/>
    </row>
    <row r="414" customFormat="false" ht="15" hidden="false" customHeight="true" outlineLevel="0" collapsed="false">
      <c r="A414" s="8" t="n">
        <v>413</v>
      </c>
      <c r="B414" s="8" t="n">
        <v>64</v>
      </c>
      <c r="C414" s="8" t="s">
        <v>530</v>
      </c>
      <c r="D414" s="8" t="s">
        <v>333</v>
      </c>
      <c r="E414" s="9" t="s">
        <v>537</v>
      </c>
      <c r="F414" s="9" t="s">
        <v>345</v>
      </c>
      <c r="G414" s="8" t="s">
        <v>346</v>
      </c>
      <c r="H414" s="8" t="s">
        <v>302</v>
      </c>
      <c r="I414" s="8" t="s">
        <v>291</v>
      </c>
      <c r="J414" s="8" t="s">
        <v>292</v>
      </c>
      <c r="K414" s="8" t="s">
        <v>293</v>
      </c>
      <c r="L414" s="9" t="s">
        <v>294</v>
      </c>
      <c r="M414" s="8"/>
      <c r="N414" s="8" t="str">
        <f aca="true">IF(M414="","Active (per Notice 1)",IF(M414&lt;TODAY(),"Expired",IF(M414&lt;TODAY()+180,"Expiring Soon","Active")))</f>
        <v>Active (per Notice 1)</v>
      </c>
      <c r="O414" s="10" t="s">
        <v>295</v>
      </c>
      <c r="P414" s="8" t="s">
        <v>296</v>
      </c>
      <c r="Q414" s="8" t="n">
        <v>3.57</v>
      </c>
      <c r="R414" s="8" t="n">
        <v>1</v>
      </c>
      <c r="S414" s="11" t="n">
        <v>45065</v>
      </c>
      <c r="T414" s="8" t="str">
        <f aca="true">IF(S414="","",IF(EDATE(S414,60)&lt;TODAY(),"Expired",IF(EDATE(S414,60)&lt;TODAY()+180,"Expiring Soon","Valid")))</f>
        <v>Valid</v>
      </c>
      <c r="U414" s="8" t="str">
        <f aca="false">IF(P414="","",IF(P414="A++","Top Tier",IF(P414="A+","High",IF(P414="A","Strong",IF(LEFT(P414,1)="B","Acceptable",IF(LEFT(P414,1)="C","Below Avg","-"))))))</f>
        <v>Top Tier</v>
      </c>
      <c r="AT414" s="8"/>
      <c r="AU414" s="8"/>
    </row>
    <row r="415" customFormat="false" ht="15" hidden="false" customHeight="true" outlineLevel="0" collapsed="false">
      <c r="A415" s="8" t="n">
        <v>414</v>
      </c>
      <c r="B415" s="8" t="n">
        <v>64</v>
      </c>
      <c r="C415" s="8" t="s">
        <v>530</v>
      </c>
      <c r="D415" s="8" t="s">
        <v>333</v>
      </c>
      <c r="E415" s="9" t="s">
        <v>537</v>
      </c>
      <c r="F415" s="9" t="s">
        <v>332</v>
      </c>
      <c r="G415" s="8" t="s">
        <v>304</v>
      </c>
      <c r="H415" s="8" t="s">
        <v>302</v>
      </c>
      <c r="I415" s="8" t="s">
        <v>291</v>
      </c>
      <c r="J415" s="8" t="s">
        <v>292</v>
      </c>
      <c r="K415" s="8" t="s">
        <v>293</v>
      </c>
      <c r="L415" s="9" t="s">
        <v>294</v>
      </c>
      <c r="M415" s="8"/>
      <c r="N415" s="8" t="str">
        <f aca="true">IF(M415="","Active (per Notice 1)",IF(M415&lt;TODAY(),"Expired",IF(M415&lt;TODAY()+180,"Expiring Soon","Active")))</f>
        <v>Active (per Notice 1)</v>
      </c>
      <c r="O415" s="12" t="s">
        <v>305</v>
      </c>
      <c r="P415" s="8" t="s">
        <v>296</v>
      </c>
      <c r="Q415" s="8" t="n">
        <v>3.57</v>
      </c>
      <c r="R415" s="8" t="n">
        <v>1</v>
      </c>
      <c r="S415" s="11" t="n">
        <v>45065</v>
      </c>
      <c r="T415" s="8" t="str">
        <f aca="true">IF(S415="","",IF(EDATE(S415,60)&lt;TODAY(),"Expired",IF(EDATE(S415,60)&lt;TODAY()+180,"Expiring Soon","Valid")))</f>
        <v>Valid</v>
      </c>
      <c r="U415" s="8" t="str">
        <f aca="false">IF(P415="","",IF(P415="A++","Top Tier",IF(P415="A+","High",IF(P415="A","Strong",IF(LEFT(P415,1)="B","Acceptable",IF(LEFT(P415,1)="C","Below Avg","-"))))))</f>
        <v>Top Tier</v>
      </c>
      <c r="AT415" s="8"/>
      <c r="AU415" s="8"/>
    </row>
    <row r="416" customFormat="false" ht="15" hidden="false" customHeight="true" outlineLevel="0" collapsed="false">
      <c r="A416" s="8" t="n">
        <v>415</v>
      </c>
      <c r="B416" s="8" t="n">
        <v>64</v>
      </c>
      <c r="C416" s="8" t="s">
        <v>530</v>
      </c>
      <c r="D416" s="8" t="s">
        <v>333</v>
      </c>
      <c r="E416" s="9" t="s">
        <v>537</v>
      </c>
      <c r="F416" s="9" t="s">
        <v>306</v>
      </c>
      <c r="G416" s="8" t="s">
        <v>307</v>
      </c>
      <c r="H416" s="8" t="s">
        <v>302</v>
      </c>
      <c r="I416" s="8" t="s">
        <v>291</v>
      </c>
      <c r="J416" s="8" t="s">
        <v>292</v>
      </c>
      <c r="K416" s="8" t="s">
        <v>293</v>
      </c>
      <c r="L416" s="9" t="s">
        <v>294</v>
      </c>
      <c r="M416" s="8"/>
      <c r="N416" s="8" t="str">
        <f aca="true">IF(M416="","Active (per Notice 1)",IF(M416&lt;TODAY(),"Expired",IF(M416&lt;TODAY()+180,"Expiring Soon","Active")))</f>
        <v>Active (per Notice 1)</v>
      </c>
      <c r="O416" s="12" t="s">
        <v>305</v>
      </c>
      <c r="P416" s="8" t="s">
        <v>296</v>
      </c>
      <c r="Q416" s="8" t="n">
        <v>3.57</v>
      </c>
      <c r="R416" s="8" t="n">
        <v>1</v>
      </c>
      <c r="S416" s="11" t="n">
        <v>45065</v>
      </c>
      <c r="T416" s="8" t="str">
        <f aca="true">IF(S416="","",IF(EDATE(S416,60)&lt;TODAY(),"Expired",IF(EDATE(S416,60)&lt;TODAY()+180,"Expiring Soon","Valid")))</f>
        <v>Valid</v>
      </c>
      <c r="U416" s="8" t="str">
        <f aca="false">IF(P416="","",IF(P416="A++","Top Tier",IF(P416="A+","High",IF(P416="A","Strong",IF(LEFT(P416,1)="B","Acceptable",IF(LEFT(P416,1)="C","Below Avg","-"))))))</f>
        <v>Top Tier</v>
      </c>
      <c r="AT416" s="8"/>
      <c r="AU416" s="8"/>
    </row>
    <row r="417" customFormat="false" ht="15" hidden="false" customHeight="true" outlineLevel="0" collapsed="false">
      <c r="A417" s="8" t="n">
        <v>416</v>
      </c>
      <c r="B417" s="8" t="n">
        <v>65</v>
      </c>
      <c r="C417" s="8" t="s">
        <v>530</v>
      </c>
      <c r="D417" s="8" t="s">
        <v>333</v>
      </c>
      <c r="E417" s="9" t="s">
        <v>541</v>
      </c>
      <c r="F417" s="9" t="s">
        <v>317</v>
      </c>
      <c r="G417" s="8" t="s">
        <v>318</v>
      </c>
      <c r="H417" s="8" t="s">
        <v>290</v>
      </c>
      <c r="I417" s="8" t="s">
        <v>291</v>
      </c>
      <c r="J417" s="8" t="s">
        <v>292</v>
      </c>
      <c r="K417" s="8" t="s">
        <v>293</v>
      </c>
      <c r="L417" s="9" t="s">
        <v>294</v>
      </c>
      <c r="M417" s="8"/>
      <c r="N417" s="8" t="str">
        <f aca="true">IF(M417="","Active (per Notice 1)",IF(M417&lt;TODAY(),"Expired",IF(M417&lt;TODAY()+180,"Expiring Soon","Active")))</f>
        <v>Active (per Notice 1)</v>
      </c>
      <c r="O417" s="12" t="s">
        <v>305</v>
      </c>
      <c r="P417" s="8" t="s">
        <v>327</v>
      </c>
      <c r="Q417" s="8" t="n">
        <v>3.27</v>
      </c>
      <c r="R417" s="8" t="n">
        <v>1</v>
      </c>
      <c r="S417" s="11" t="n">
        <v>45428</v>
      </c>
      <c r="T417" s="8" t="str">
        <f aca="true">IF(S417="","",IF(EDATE(S417,60)&lt;TODAY(),"Expired",IF(EDATE(S417,60)&lt;TODAY()+180,"Expiring Soon","Valid")))</f>
        <v>Valid</v>
      </c>
      <c r="U417" s="8" t="str">
        <f aca="false">IF(P417="","",IF(P417="A++","Top Tier",IF(P417="A+","High",IF(P417="A","Strong",IF(LEFT(P417,1)="B","Acceptable",IF(LEFT(P417,1)="C","Below Avg","-"))))))</f>
        <v>High</v>
      </c>
      <c r="AT417" s="8"/>
      <c r="AU417" s="8"/>
    </row>
    <row r="418" customFormat="false" ht="15" hidden="false" customHeight="true" outlineLevel="0" collapsed="false">
      <c r="A418" s="8" t="n">
        <v>417</v>
      </c>
      <c r="B418" s="8" t="n">
        <v>65</v>
      </c>
      <c r="C418" s="8" t="s">
        <v>530</v>
      </c>
      <c r="D418" s="8" t="s">
        <v>333</v>
      </c>
      <c r="E418" s="9" t="s">
        <v>541</v>
      </c>
      <c r="F418" s="9" t="s">
        <v>359</v>
      </c>
      <c r="G418" s="8" t="s">
        <v>289</v>
      </c>
      <c r="H418" s="8" t="s">
        <v>290</v>
      </c>
      <c r="I418" s="8" t="s">
        <v>291</v>
      </c>
      <c r="J418" s="8" t="s">
        <v>292</v>
      </c>
      <c r="K418" s="8" t="s">
        <v>293</v>
      </c>
      <c r="L418" s="9" t="s">
        <v>294</v>
      </c>
      <c r="M418" s="8"/>
      <c r="N418" s="8" t="str">
        <f aca="true">IF(M418="","Active (per Notice 1)",IF(M418&lt;TODAY(),"Expired",IF(M418&lt;TODAY()+180,"Expiring Soon","Active")))</f>
        <v>Active (per Notice 1)</v>
      </c>
      <c r="O418" s="10" t="s">
        <v>295</v>
      </c>
      <c r="P418" s="8" t="s">
        <v>327</v>
      </c>
      <c r="Q418" s="8" t="n">
        <v>3.27</v>
      </c>
      <c r="R418" s="8" t="n">
        <v>1</v>
      </c>
      <c r="S418" s="11" t="n">
        <v>45428</v>
      </c>
      <c r="T418" s="8" t="str">
        <f aca="true">IF(S418="","",IF(EDATE(S418,60)&lt;TODAY(),"Expired",IF(EDATE(S418,60)&lt;TODAY()+180,"Expiring Soon","Valid")))</f>
        <v>Valid</v>
      </c>
      <c r="U418" s="8" t="str">
        <f aca="false">IF(P418="","",IF(P418="A++","Top Tier",IF(P418="A+","High",IF(P418="A","Strong",IF(LEFT(P418,1)="B","Acceptable",IF(LEFT(P418,1)="C","Below Avg","-"))))))</f>
        <v>High</v>
      </c>
      <c r="AT418" s="8"/>
      <c r="AU418" s="8"/>
    </row>
    <row r="419" customFormat="false" ht="15" hidden="false" customHeight="true" outlineLevel="0" collapsed="false">
      <c r="A419" s="8" t="n">
        <v>418</v>
      </c>
      <c r="B419" s="8" t="n">
        <v>65</v>
      </c>
      <c r="C419" s="8" t="s">
        <v>530</v>
      </c>
      <c r="D419" s="8" t="s">
        <v>333</v>
      </c>
      <c r="E419" s="9" t="s">
        <v>541</v>
      </c>
      <c r="F419" s="9" t="s">
        <v>542</v>
      </c>
      <c r="G419" s="8" t="s">
        <v>298</v>
      </c>
      <c r="H419" s="8" t="s">
        <v>290</v>
      </c>
      <c r="I419" s="8" t="s">
        <v>291</v>
      </c>
      <c r="J419" s="8" t="s">
        <v>292</v>
      </c>
      <c r="K419" s="8" t="s">
        <v>293</v>
      </c>
      <c r="L419" s="9" t="s">
        <v>294</v>
      </c>
      <c r="M419" s="8"/>
      <c r="N419" s="8" t="str">
        <f aca="true">IF(M419="","Active (per Notice 1)",IF(M419&lt;TODAY(),"Expired",IF(M419&lt;TODAY()+180,"Expiring Soon","Active")))</f>
        <v>Active (per Notice 1)</v>
      </c>
      <c r="O419" s="10" t="s">
        <v>295</v>
      </c>
      <c r="P419" s="8" t="s">
        <v>327</v>
      </c>
      <c r="Q419" s="8" t="n">
        <v>3.27</v>
      </c>
      <c r="R419" s="8" t="n">
        <v>1</v>
      </c>
      <c r="S419" s="11" t="n">
        <v>45428</v>
      </c>
      <c r="T419" s="8" t="str">
        <f aca="true">IF(S419="","",IF(EDATE(S419,60)&lt;TODAY(),"Expired",IF(EDATE(S419,60)&lt;TODAY()+180,"Expiring Soon","Valid")))</f>
        <v>Valid</v>
      </c>
      <c r="U419" s="8" t="str">
        <f aca="false">IF(P419="","",IF(P419="A++","Top Tier",IF(P419="A+","High",IF(P419="A","Strong",IF(LEFT(P419,1)="B","Acceptable",IF(LEFT(P419,1)="C","Below Avg","-"))))))</f>
        <v>High</v>
      </c>
      <c r="AT419" s="8"/>
      <c r="AU419" s="8"/>
    </row>
    <row r="420" customFormat="false" ht="15" hidden="false" customHeight="true" outlineLevel="0" collapsed="false">
      <c r="A420" s="8" t="n">
        <v>419</v>
      </c>
      <c r="B420" s="8" t="n">
        <v>65</v>
      </c>
      <c r="C420" s="8" t="s">
        <v>530</v>
      </c>
      <c r="D420" s="8" t="s">
        <v>333</v>
      </c>
      <c r="E420" s="9" t="s">
        <v>541</v>
      </c>
      <c r="F420" s="9" t="s">
        <v>314</v>
      </c>
      <c r="G420" s="8" t="s">
        <v>301</v>
      </c>
      <c r="H420" s="8" t="s">
        <v>302</v>
      </c>
      <c r="I420" s="8" t="s">
        <v>291</v>
      </c>
      <c r="J420" s="8" t="s">
        <v>292</v>
      </c>
      <c r="K420" s="8" t="s">
        <v>293</v>
      </c>
      <c r="L420" s="9" t="s">
        <v>294</v>
      </c>
      <c r="M420" s="8"/>
      <c r="N420" s="8" t="str">
        <f aca="true">IF(M420="","Active (per Notice 1)",IF(M420&lt;TODAY(),"Expired",IF(M420&lt;TODAY()+180,"Expiring Soon","Active")))</f>
        <v>Active (per Notice 1)</v>
      </c>
      <c r="O420" s="10" t="s">
        <v>295</v>
      </c>
      <c r="P420" s="8" t="s">
        <v>327</v>
      </c>
      <c r="Q420" s="8" t="n">
        <v>3.27</v>
      </c>
      <c r="R420" s="8" t="n">
        <v>1</v>
      </c>
      <c r="S420" s="11" t="n">
        <v>45428</v>
      </c>
      <c r="T420" s="8" t="str">
        <f aca="true">IF(S420="","",IF(EDATE(S420,60)&lt;TODAY(),"Expired",IF(EDATE(S420,60)&lt;TODAY()+180,"Expiring Soon","Valid")))</f>
        <v>Valid</v>
      </c>
      <c r="U420" s="8" t="str">
        <f aca="false">IF(P420="","",IF(P420="A++","Top Tier",IF(P420="A+","High",IF(P420="A","Strong",IF(LEFT(P420,1)="B","Acceptable",IF(LEFT(P420,1)="C","Below Avg","-"))))))</f>
        <v>High</v>
      </c>
      <c r="AT420" s="8"/>
      <c r="AU420" s="8"/>
    </row>
    <row r="421" customFormat="false" ht="15" hidden="false" customHeight="true" outlineLevel="0" collapsed="false">
      <c r="A421" s="8" t="n">
        <v>420</v>
      </c>
      <c r="B421" s="8" t="n">
        <v>65</v>
      </c>
      <c r="C421" s="8" t="s">
        <v>530</v>
      </c>
      <c r="D421" s="8" t="s">
        <v>333</v>
      </c>
      <c r="E421" s="9" t="s">
        <v>541</v>
      </c>
      <c r="F421" s="9" t="s">
        <v>308</v>
      </c>
      <c r="G421" s="8" t="s">
        <v>309</v>
      </c>
      <c r="H421" s="8" t="s">
        <v>302</v>
      </c>
      <c r="I421" s="8" t="s">
        <v>291</v>
      </c>
      <c r="J421" s="8" t="s">
        <v>292</v>
      </c>
      <c r="K421" s="8" t="s">
        <v>293</v>
      </c>
      <c r="L421" s="9" t="s">
        <v>294</v>
      </c>
      <c r="M421" s="8"/>
      <c r="N421" s="8" t="str">
        <f aca="true">IF(M421="","Active (per Notice 1)",IF(M421&lt;TODAY(),"Expired",IF(M421&lt;TODAY()+180,"Expiring Soon","Active")))</f>
        <v>Active (per Notice 1)</v>
      </c>
      <c r="O421" s="10" t="s">
        <v>295</v>
      </c>
      <c r="P421" s="8" t="s">
        <v>327</v>
      </c>
      <c r="Q421" s="8" t="n">
        <v>3.27</v>
      </c>
      <c r="R421" s="8" t="n">
        <v>1</v>
      </c>
      <c r="S421" s="11" t="n">
        <v>45428</v>
      </c>
      <c r="T421" s="8" t="str">
        <f aca="true">IF(S421="","",IF(EDATE(S421,60)&lt;TODAY(),"Expired",IF(EDATE(S421,60)&lt;TODAY()+180,"Expiring Soon","Valid")))</f>
        <v>Valid</v>
      </c>
      <c r="U421" s="8" t="str">
        <f aca="false">IF(P421="","",IF(P421="A++","Top Tier",IF(P421="A+","High",IF(P421="A","Strong",IF(LEFT(P421,1)="B","Acceptable",IF(LEFT(P421,1)="C","Below Avg","-"))))))</f>
        <v>High</v>
      </c>
      <c r="AT421" s="8"/>
      <c r="AU421" s="8"/>
    </row>
    <row r="422" customFormat="false" ht="15" hidden="false" customHeight="true" outlineLevel="0" collapsed="false">
      <c r="A422" s="8" t="n">
        <v>421</v>
      </c>
      <c r="B422" s="8" t="n">
        <v>65</v>
      </c>
      <c r="C422" s="8" t="s">
        <v>530</v>
      </c>
      <c r="D422" s="8" t="s">
        <v>333</v>
      </c>
      <c r="E422" s="9" t="s">
        <v>541</v>
      </c>
      <c r="F422" s="9" t="s">
        <v>345</v>
      </c>
      <c r="G422" s="8" t="s">
        <v>346</v>
      </c>
      <c r="H422" s="8" t="s">
        <v>302</v>
      </c>
      <c r="I422" s="8" t="s">
        <v>291</v>
      </c>
      <c r="J422" s="8" t="s">
        <v>292</v>
      </c>
      <c r="K422" s="8" t="s">
        <v>293</v>
      </c>
      <c r="L422" s="9" t="s">
        <v>294</v>
      </c>
      <c r="M422" s="8"/>
      <c r="N422" s="8" t="str">
        <f aca="true">IF(M422="","Active (per Notice 1)",IF(M422&lt;TODAY(),"Expired",IF(M422&lt;TODAY()+180,"Expiring Soon","Active")))</f>
        <v>Active (per Notice 1)</v>
      </c>
      <c r="O422" s="10" t="s">
        <v>295</v>
      </c>
      <c r="P422" s="8" t="s">
        <v>327</v>
      </c>
      <c r="Q422" s="8" t="n">
        <v>3.27</v>
      </c>
      <c r="R422" s="8" t="n">
        <v>1</v>
      </c>
      <c r="S422" s="11" t="n">
        <v>45428</v>
      </c>
      <c r="T422" s="8" t="str">
        <f aca="true">IF(S422="","",IF(EDATE(S422,60)&lt;TODAY(),"Expired",IF(EDATE(S422,60)&lt;TODAY()+180,"Expiring Soon","Valid")))</f>
        <v>Valid</v>
      </c>
      <c r="U422" s="8" t="str">
        <f aca="false">IF(P422="","",IF(P422="A++","Top Tier",IF(P422="A+","High",IF(P422="A","Strong",IF(LEFT(P422,1)="B","Acceptable",IF(LEFT(P422,1)="C","Below Avg","-"))))))</f>
        <v>High</v>
      </c>
      <c r="AT422" s="8"/>
      <c r="AU422" s="8"/>
    </row>
    <row r="423" customFormat="false" ht="15" hidden="false" customHeight="true" outlineLevel="0" collapsed="false">
      <c r="A423" s="8" t="n">
        <v>422</v>
      </c>
      <c r="B423" s="8" t="n">
        <v>65</v>
      </c>
      <c r="C423" s="8" t="s">
        <v>530</v>
      </c>
      <c r="D423" s="8" t="s">
        <v>333</v>
      </c>
      <c r="E423" s="9" t="s">
        <v>541</v>
      </c>
      <c r="F423" s="9" t="s">
        <v>312</v>
      </c>
      <c r="G423" s="8" t="s">
        <v>301</v>
      </c>
      <c r="H423" s="8" t="s">
        <v>302</v>
      </c>
      <c r="I423" s="8" t="s">
        <v>291</v>
      </c>
      <c r="J423" s="8" t="s">
        <v>292</v>
      </c>
      <c r="K423" s="8" t="s">
        <v>293</v>
      </c>
      <c r="L423" s="9" t="s">
        <v>294</v>
      </c>
      <c r="M423" s="8"/>
      <c r="N423" s="8" t="str">
        <f aca="true">IF(M423="","Active (per Notice 1)",IF(M423&lt;TODAY(),"Expired",IF(M423&lt;TODAY()+180,"Expiring Soon","Active")))</f>
        <v>Active (per Notice 1)</v>
      </c>
      <c r="O423" s="10" t="s">
        <v>295</v>
      </c>
      <c r="P423" s="8" t="s">
        <v>327</v>
      </c>
      <c r="Q423" s="8" t="n">
        <v>3.27</v>
      </c>
      <c r="R423" s="8" t="n">
        <v>1</v>
      </c>
      <c r="S423" s="11" t="n">
        <v>45428</v>
      </c>
      <c r="T423" s="8" t="str">
        <f aca="true">IF(S423="","",IF(EDATE(S423,60)&lt;TODAY(),"Expired",IF(EDATE(S423,60)&lt;TODAY()+180,"Expiring Soon","Valid")))</f>
        <v>Valid</v>
      </c>
      <c r="U423" s="8" t="str">
        <f aca="false">IF(P423="","",IF(P423="A++","Top Tier",IF(P423="A+","High",IF(P423="A","Strong",IF(LEFT(P423,1)="B","Acceptable",IF(LEFT(P423,1)="C","Below Avg","-"))))))</f>
        <v>High</v>
      </c>
      <c r="AT423" s="8"/>
      <c r="AU423" s="8"/>
    </row>
    <row r="424" customFormat="false" ht="15" hidden="false" customHeight="true" outlineLevel="0" collapsed="false">
      <c r="A424" s="8" t="n">
        <v>423</v>
      </c>
      <c r="B424" s="8" t="n">
        <v>65</v>
      </c>
      <c r="C424" s="8" t="s">
        <v>530</v>
      </c>
      <c r="D424" s="8" t="s">
        <v>333</v>
      </c>
      <c r="E424" s="9" t="s">
        <v>541</v>
      </c>
      <c r="F424" s="9" t="s">
        <v>536</v>
      </c>
      <c r="G424" s="8" t="s">
        <v>301</v>
      </c>
      <c r="H424" s="8" t="s">
        <v>302</v>
      </c>
      <c r="I424" s="8" t="s">
        <v>291</v>
      </c>
      <c r="J424" s="8" t="s">
        <v>292</v>
      </c>
      <c r="K424" s="8" t="s">
        <v>293</v>
      </c>
      <c r="L424" s="9" t="s">
        <v>294</v>
      </c>
      <c r="M424" s="8"/>
      <c r="N424" s="8" t="str">
        <f aca="true">IF(M424="","Active (per Notice 1)",IF(M424&lt;TODAY(),"Expired",IF(M424&lt;TODAY()+180,"Expiring Soon","Active")))</f>
        <v>Active (per Notice 1)</v>
      </c>
      <c r="O424" s="10" t="s">
        <v>295</v>
      </c>
      <c r="P424" s="8" t="s">
        <v>327</v>
      </c>
      <c r="Q424" s="8" t="n">
        <v>3.27</v>
      </c>
      <c r="R424" s="8" t="n">
        <v>1</v>
      </c>
      <c r="S424" s="11" t="n">
        <v>45428</v>
      </c>
      <c r="T424" s="8" t="str">
        <f aca="true">IF(S424="","",IF(EDATE(S424,60)&lt;TODAY(),"Expired",IF(EDATE(S424,60)&lt;TODAY()+180,"Expiring Soon","Valid")))</f>
        <v>Valid</v>
      </c>
      <c r="U424" s="8" t="str">
        <f aca="false">IF(P424="","",IF(P424="A++","Top Tier",IF(P424="A+","High",IF(P424="A","Strong",IF(LEFT(P424,1)="B","Acceptable",IF(LEFT(P424,1)="C","Below Avg","-"))))))</f>
        <v>High</v>
      </c>
      <c r="AT424" s="8"/>
      <c r="AU424" s="8"/>
    </row>
    <row r="425" customFormat="false" ht="15" hidden="false" customHeight="true" outlineLevel="0" collapsed="false">
      <c r="A425" s="8" t="n">
        <v>424</v>
      </c>
      <c r="B425" s="8" t="n">
        <v>65</v>
      </c>
      <c r="C425" s="8" t="s">
        <v>530</v>
      </c>
      <c r="D425" s="8" t="s">
        <v>333</v>
      </c>
      <c r="E425" s="9" t="s">
        <v>541</v>
      </c>
      <c r="F425" s="9" t="s">
        <v>362</v>
      </c>
      <c r="G425" s="8" t="s">
        <v>301</v>
      </c>
      <c r="H425" s="8" t="s">
        <v>302</v>
      </c>
      <c r="I425" s="8" t="s">
        <v>291</v>
      </c>
      <c r="J425" s="8" t="s">
        <v>292</v>
      </c>
      <c r="K425" s="8" t="s">
        <v>293</v>
      </c>
      <c r="L425" s="9" t="s">
        <v>294</v>
      </c>
      <c r="M425" s="8"/>
      <c r="N425" s="8" t="str">
        <f aca="true">IF(M425="","Active (per Notice 1)",IF(M425&lt;TODAY(),"Expired",IF(M425&lt;TODAY()+180,"Expiring Soon","Active")))</f>
        <v>Active (per Notice 1)</v>
      </c>
      <c r="O425" s="10" t="s">
        <v>295</v>
      </c>
      <c r="P425" s="8" t="s">
        <v>327</v>
      </c>
      <c r="Q425" s="8" t="n">
        <v>3.27</v>
      </c>
      <c r="R425" s="8" t="n">
        <v>1</v>
      </c>
      <c r="S425" s="11" t="n">
        <v>45428</v>
      </c>
      <c r="T425" s="8" t="str">
        <f aca="true">IF(S425="","",IF(EDATE(S425,60)&lt;TODAY(),"Expired",IF(EDATE(S425,60)&lt;TODAY()+180,"Expiring Soon","Valid")))</f>
        <v>Valid</v>
      </c>
      <c r="U425" s="8" t="str">
        <f aca="false">IF(P425="","",IF(P425="A++","Top Tier",IF(P425="A+","High",IF(P425="A","Strong",IF(LEFT(P425,1)="B","Acceptable",IF(LEFT(P425,1)="C","Below Avg","-"))))))</f>
        <v>High</v>
      </c>
      <c r="AT425" s="8"/>
      <c r="AU425" s="8"/>
    </row>
    <row r="426" customFormat="false" ht="15" hidden="false" customHeight="true" outlineLevel="0" collapsed="false">
      <c r="A426" s="8" t="n">
        <v>425</v>
      </c>
      <c r="B426" s="8" t="n">
        <v>65</v>
      </c>
      <c r="C426" s="8" t="s">
        <v>530</v>
      </c>
      <c r="D426" s="8" t="s">
        <v>333</v>
      </c>
      <c r="E426" s="9" t="s">
        <v>541</v>
      </c>
      <c r="F426" s="9" t="s">
        <v>347</v>
      </c>
      <c r="G426" s="8" t="s">
        <v>301</v>
      </c>
      <c r="H426" s="8" t="s">
        <v>302</v>
      </c>
      <c r="I426" s="8" t="s">
        <v>291</v>
      </c>
      <c r="J426" s="8" t="s">
        <v>292</v>
      </c>
      <c r="K426" s="8" t="s">
        <v>293</v>
      </c>
      <c r="L426" s="9" t="s">
        <v>294</v>
      </c>
      <c r="M426" s="8"/>
      <c r="N426" s="8" t="str">
        <f aca="true">IF(M426="","Active (per Notice 1)",IF(M426&lt;TODAY(),"Expired",IF(M426&lt;TODAY()+180,"Expiring Soon","Active")))</f>
        <v>Active (per Notice 1)</v>
      </c>
      <c r="O426" s="10" t="s">
        <v>295</v>
      </c>
      <c r="P426" s="8" t="s">
        <v>327</v>
      </c>
      <c r="Q426" s="8" t="n">
        <v>3.27</v>
      </c>
      <c r="R426" s="8" t="n">
        <v>1</v>
      </c>
      <c r="S426" s="11" t="n">
        <v>45428</v>
      </c>
      <c r="T426" s="8" t="str">
        <f aca="true">IF(S426="","",IF(EDATE(S426,60)&lt;TODAY(),"Expired",IF(EDATE(S426,60)&lt;TODAY()+180,"Expiring Soon","Valid")))</f>
        <v>Valid</v>
      </c>
      <c r="U426" s="8" t="str">
        <f aca="false">IF(P426="","",IF(P426="A++","Top Tier",IF(P426="A+","High",IF(P426="A","Strong",IF(LEFT(P426,1)="B","Acceptable",IF(LEFT(P426,1)="C","Below Avg","-"))))))</f>
        <v>High</v>
      </c>
      <c r="AT426" s="8"/>
      <c r="AU426" s="8"/>
    </row>
    <row r="427" customFormat="false" ht="15" hidden="false" customHeight="true" outlineLevel="0" collapsed="false">
      <c r="A427" s="8" t="n">
        <v>426</v>
      </c>
      <c r="B427" s="8" t="n">
        <v>65</v>
      </c>
      <c r="C427" s="8" t="s">
        <v>530</v>
      </c>
      <c r="D427" s="8" t="s">
        <v>333</v>
      </c>
      <c r="E427" s="9" t="s">
        <v>541</v>
      </c>
      <c r="F427" s="9" t="s">
        <v>310</v>
      </c>
      <c r="G427" s="8" t="s">
        <v>301</v>
      </c>
      <c r="H427" s="8" t="s">
        <v>302</v>
      </c>
      <c r="I427" s="8" t="s">
        <v>291</v>
      </c>
      <c r="J427" s="8" t="s">
        <v>292</v>
      </c>
      <c r="K427" s="8" t="s">
        <v>293</v>
      </c>
      <c r="L427" s="9" t="s">
        <v>294</v>
      </c>
      <c r="M427" s="8"/>
      <c r="N427" s="8" t="str">
        <f aca="true">IF(M427="","Active (per Notice 1)",IF(M427&lt;TODAY(),"Expired",IF(M427&lt;TODAY()+180,"Expiring Soon","Active")))</f>
        <v>Active (per Notice 1)</v>
      </c>
      <c r="O427" s="10" t="s">
        <v>295</v>
      </c>
      <c r="P427" s="8" t="s">
        <v>327</v>
      </c>
      <c r="Q427" s="8" t="n">
        <v>3.27</v>
      </c>
      <c r="R427" s="8" t="n">
        <v>1</v>
      </c>
      <c r="S427" s="11" t="n">
        <v>45428</v>
      </c>
      <c r="T427" s="8" t="str">
        <f aca="true">IF(S427="","",IF(EDATE(S427,60)&lt;TODAY(),"Expired",IF(EDATE(S427,60)&lt;TODAY()+180,"Expiring Soon","Valid")))</f>
        <v>Valid</v>
      </c>
      <c r="U427" s="8" t="str">
        <f aca="false">IF(P427="","",IF(P427="A++","Top Tier",IF(P427="A+","High",IF(P427="A","Strong",IF(LEFT(P427,1)="B","Acceptable",IF(LEFT(P427,1)="C","Below Avg","-"))))))</f>
        <v>High</v>
      </c>
      <c r="AT427" s="8"/>
      <c r="AU427" s="8"/>
    </row>
    <row r="428" customFormat="false" ht="15" hidden="false" customHeight="true" outlineLevel="0" collapsed="false">
      <c r="A428" s="8" t="n">
        <v>427</v>
      </c>
      <c r="B428" s="8" t="n">
        <v>65</v>
      </c>
      <c r="C428" s="8" t="s">
        <v>530</v>
      </c>
      <c r="D428" s="8" t="s">
        <v>333</v>
      </c>
      <c r="E428" s="9" t="s">
        <v>541</v>
      </c>
      <c r="F428" s="9" t="s">
        <v>306</v>
      </c>
      <c r="G428" s="8" t="s">
        <v>307</v>
      </c>
      <c r="H428" s="8" t="s">
        <v>302</v>
      </c>
      <c r="I428" s="8" t="s">
        <v>291</v>
      </c>
      <c r="J428" s="8" t="s">
        <v>292</v>
      </c>
      <c r="K428" s="8" t="s">
        <v>293</v>
      </c>
      <c r="L428" s="9" t="s">
        <v>294</v>
      </c>
      <c r="M428" s="8"/>
      <c r="N428" s="8" t="str">
        <f aca="true">IF(M428="","Active (per Notice 1)",IF(M428&lt;TODAY(),"Expired",IF(M428&lt;TODAY()+180,"Expiring Soon","Active")))</f>
        <v>Active (per Notice 1)</v>
      </c>
      <c r="O428" s="12" t="s">
        <v>305</v>
      </c>
      <c r="P428" s="8" t="s">
        <v>327</v>
      </c>
      <c r="Q428" s="8" t="n">
        <v>3.27</v>
      </c>
      <c r="R428" s="8" t="n">
        <v>1</v>
      </c>
      <c r="S428" s="11" t="n">
        <v>45428</v>
      </c>
      <c r="T428" s="8" t="str">
        <f aca="true">IF(S428="","",IF(EDATE(S428,60)&lt;TODAY(),"Expired",IF(EDATE(S428,60)&lt;TODAY()+180,"Expiring Soon","Valid")))</f>
        <v>Valid</v>
      </c>
      <c r="U428" s="8" t="str">
        <f aca="false">IF(P428="","",IF(P428="A++","Top Tier",IF(P428="A+","High",IF(P428="A","Strong",IF(LEFT(P428,1)="B","Acceptable",IF(LEFT(P428,1)="C","Below Avg","-"))))))</f>
        <v>High</v>
      </c>
      <c r="AT428" s="8"/>
      <c r="AU428" s="8"/>
    </row>
    <row r="429" customFormat="false" ht="15" hidden="false" customHeight="true" outlineLevel="0" collapsed="false">
      <c r="A429" s="8" t="n">
        <v>428</v>
      </c>
      <c r="B429" s="8" t="n">
        <v>65</v>
      </c>
      <c r="C429" s="8" t="s">
        <v>530</v>
      </c>
      <c r="D429" s="8" t="s">
        <v>333</v>
      </c>
      <c r="E429" s="9" t="s">
        <v>541</v>
      </c>
      <c r="F429" s="9" t="s">
        <v>303</v>
      </c>
      <c r="G429" s="8" t="s">
        <v>304</v>
      </c>
      <c r="H429" s="8" t="s">
        <v>302</v>
      </c>
      <c r="I429" s="8" t="s">
        <v>291</v>
      </c>
      <c r="J429" s="8" t="s">
        <v>292</v>
      </c>
      <c r="K429" s="8" t="s">
        <v>293</v>
      </c>
      <c r="L429" s="9" t="s">
        <v>294</v>
      </c>
      <c r="M429" s="8"/>
      <c r="N429" s="8" t="str">
        <f aca="true">IF(M429="","Active (per Notice 1)",IF(M429&lt;TODAY(),"Expired",IF(M429&lt;TODAY()+180,"Expiring Soon","Active")))</f>
        <v>Active (per Notice 1)</v>
      </c>
      <c r="O429" s="12" t="s">
        <v>305</v>
      </c>
      <c r="P429" s="8" t="s">
        <v>327</v>
      </c>
      <c r="Q429" s="8" t="n">
        <v>3.27</v>
      </c>
      <c r="R429" s="8" t="n">
        <v>1</v>
      </c>
      <c r="S429" s="11" t="n">
        <v>45428</v>
      </c>
      <c r="T429" s="8" t="str">
        <f aca="true">IF(S429="","",IF(EDATE(S429,60)&lt;TODAY(),"Expired",IF(EDATE(S429,60)&lt;TODAY()+180,"Expiring Soon","Valid")))</f>
        <v>Valid</v>
      </c>
      <c r="U429" s="8" t="str">
        <f aca="false">IF(P429="","",IF(P429="A++","Top Tier",IF(P429="A+","High",IF(P429="A","Strong",IF(LEFT(P429,1)="B","Acceptable",IF(LEFT(P429,1)="C","Below Avg","-"))))))</f>
        <v>High</v>
      </c>
      <c r="AT429" s="8"/>
      <c r="AU429" s="8"/>
    </row>
    <row r="430" customFormat="false" ht="15" hidden="false" customHeight="true" outlineLevel="0" collapsed="false">
      <c r="A430" s="8" t="n">
        <v>429</v>
      </c>
      <c r="B430" s="8" t="n">
        <v>66</v>
      </c>
      <c r="C430" s="8" t="s">
        <v>543</v>
      </c>
      <c r="D430" s="8" t="s">
        <v>333</v>
      </c>
      <c r="E430" s="9" t="s">
        <v>544</v>
      </c>
      <c r="F430" s="9" t="s">
        <v>319</v>
      </c>
      <c r="G430" s="8" t="s">
        <v>320</v>
      </c>
      <c r="H430" s="8" t="s">
        <v>290</v>
      </c>
      <c r="I430" s="8" t="s">
        <v>291</v>
      </c>
      <c r="J430" s="8" t="s">
        <v>292</v>
      </c>
      <c r="K430" s="8" t="s">
        <v>293</v>
      </c>
      <c r="L430" s="9" t="s">
        <v>294</v>
      </c>
      <c r="M430" s="8"/>
      <c r="N430" s="8" t="str">
        <f aca="true">IF(M430="","Active (per Notice 1)",IF(M430&lt;TODAY(),"Expired",IF(M430&lt;TODAY()+180,"Expiring Soon","Active")))</f>
        <v>Active (per Notice 1)</v>
      </c>
      <c r="O430" s="12" t="s">
        <v>305</v>
      </c>
      <c r="P430" s="8" t="s">
        <v>327</v>
      </c>
      <c r="Q430" s="8" t="n">
        <v>3.28</v>
      </c>
      <c r="R430" s="8" t="n">
        <v>1</v>
      </c>
      <c r="S430" s="11" t="n">
        <v>43875</v>
      </c>
      <c r="T430" s="8" t="str">
        <f aca="true">IF(S430="","",IF(EDATE(S430,60)&lt;TODAY(),"Expired",IF(EDATE(S430,60)&lt;TODAY()+180,"Expiring Soon","Valid")))</f>
        <v>Expired</v>
      </c>
      <c r="U430" s="8" t="str">
        <f aca="false">IF(P430="","",IF(P430="A++","Top Tier",IF(P430="A+","High",IF(P430="A","Strong",IF(LEFT(P430,1)="B","Acceptable",IF(LEFT(P430,1)="C","Below Avg","-"))))))</f>
        <v>High</v>
      </c>
      <c r="Y430" s="8" t="n">
        <v>1</v>
      </c>
      <c r="Z430" s="11" t="n">
        <v>46568</v>
      </c>
      <c r="AA430" s="8" t="s">
        <v>328</v>
      </c>
      <c r="AB430" s="8" t="s">
        <v>329</v>
      </c>
      <c r="AC430" s="8" t="n">
        <v>98</v>
      </c>
      <c r="AD430" s="8" t="n">
        <v>58</v>
      </c>
      <c r="AE430" s="8"/>
      <c r="AF430" s="8" t="n">
        <v>58</v>
      </c>
      <c r="AG430" s="8" t="n">
        <v>81</v>
      </c>
      <c r="AH430" s="8"/>
      <c r="AI430" s="8"/>
      <c r="AJ430" s="8"/>
      <c r="AK430" s="8" t="n">
        <v>32</v>
      </c>
      <c r="AL430" s="8" t="n">
        <v>21</v>
      </c>
      <c r="AM430" s="8"/>
      <c r="AN430" s="8"/>
      <c r="AO430" s="8"/>
      <c r="AP430" s="8"/>
      <c r="AQ430" s="8"/>
      <c r="AR430" s="8"/>
      <c r="AS430" s="8"/>
      <c r="AT430" s="8"/>
      <c r="AU430" s="8"/>
    </row>
    <row r="431" customFormat="false" ht="15" hidden="false" customHeight="true" outlineLevel="0" collapsed="false">
      <c r="A431" s="8" t="n">
        <v>430</v>
      </c>
      <c r="B431" s="8" t="n">
        <v>66</v>
      </c>
      <c r="C431" s="8" t="s">
        <v>543</v>
      </c>
      <c r="D431" s="8" t="s">
        <v>333</v>
      </c>
      <c r="E431" s="9" t="s">
        <v>544</v>
      </c>
      <c r="F431" s="9" t="s">
        <v>317</v>
      </c>
      <c r="G431" s="8" t="s">
        <v>318</v>
      </c>
      <c r="H431" s="8" t="s">
        <v>290</v>
      </c>
      <c r="I431" s="8" t="s">
        <v>291</v>
      </c>
      <c r="J431" s="8" t="s">
        <v>292</v>
      </c>
      <c r="K431" s="8" t="s">
        <v>293</v>
      </c>
      <c r="L431" s="9" t="s">
        <v>294</v>
      </c>
      <c r="M431" s="8"/>
      <c r="N431" s="8" t="str">
        <f aca="true">IF(M431="","Active (per Notice 1)",IF(M431&lt;TODAY(),"Expired",IF(M431&lt;TODAY()+180,"Expiring Soon","Active")))</f>
        <v>Active (per Notice 1)</v>
      </c>
      <c r="O431" s="12" t="s">
        <v>305</v>
      </c>
      <c r="P431" s="8" t="s">
        <v>327</v>
      </c>
      <c r="Q431" s="8" t="n">
        <v>3.28</v>
      </c>
      <c r="R431" s="8" t="n">
        <v>1</v>
      </c>
      <c r="S431" s="11" t="n">
        <v>43875</v>
      </c>
      <c r="T431" s="8" t="str">
        <f aca="true">IF(S431="","",IF(EDATE(S431,60)&lt;TODAY(),"Expired",IF(EDATE(S431,60)&lt;TODAY()+180,"Expiring Soon","Valid")))</f>
        <v>Expired</v>
      </c>
      <c r="U431" s="8" t="str">
        <f aca="false">IF(P431="","",IF(P431="A++","Top Tier",IF(P431="A+","High",IF(P431="A","Strong",IF(LEFT(P431,1)="B","Acceptable",IF(LEFT(P431,1)="C","Below Avg","-"))))))</f>
        <v>High</v>
      </c>
      <c r="Y431" s="8" t="n">
        <v>1</v>
      </c>
      <c r="Z431" s="11" t="n">
        <v>46568</v>
      </c>
      <c r="AA431" s="8" t="s">
        <v>328</v>
      </c>
      <c r="AB431" s="8" t="s">
        <v>329</v>
      </c>
      <c r="AC431" s="8" t="n">
        <v>98</v>
      </c>
      <c r="AD431" s="8" t="n">
        <v>58</v>
      </c>
      <c r="AE431" s="8"/>
      <c r="AF431" s="8" t="n">
        <v>58</v>
      </c>
      <c r="AG431" s="8" t="n">
        <v>81</v>
      </c>
      <c r="AH431" s="8"/>
      <c r="AI431" s="8"/>
      <c r="AJ431" s="8"/>
      <c r="AK431" s="8" t="n">
        <v>32</v>
      </c>
      <c r="AL431" s="8" t="n">
        <v>21</v>
      </c>
      <c r="AM431" s="8"/>
      <c r="AN431" s="8"/>
      <c r="AO431" s="8"/>
      <c r="AP431" s="8"/>
      <c r="AQ431" s="8"/>
      <c r="AR431" s="8"/>
      <c r="AS431" s="8"/>
      <c r="AT431" s="8"/>
      <c r="AU431" s="8"/>
    </row>
    <row r="432" customFormat="false" ht="15" hidden="false" customHeight="true" outlineLevel="0" collapsed="false">
      <c r="A432" s="8" t="n">
        <v>431</v>
      </c>
      <c r="B432" s="8" t="n">
        <v>66</v>
      </c>
      <c r="C432" s="8" t="s">
        <v>543</v>
      </c>
      <c r="D432" s="8" t="s">
        <v>333</v>
      </c>
      <c r="E432" s="9" t="s">
        <v>544</v>
      </c>
      <c r="F432" s="9" t="s">
        <v>359</v>
      </c>
      <c r="G432" s="8" t="s">
        <v>289</v>
      </c>
      <c r="H432" s="8" t="s">
        <v>290</v>
      </c>
      <c r="I432" s="8" t="s">
        <v>291</v>
      </c>
      <c r="J432" s="8" t="s">
        <v>292</v>
      </c>
      <c r="K432" s="8" t="s">
        <v>293</v>
      </c>
      <c r="L432" s="9" t="s">
        <v>294</v>
      </c>
      <c r="M432" s="8"/>
      <c r="N432" s="8" t="str">
        <f aca="true">IF(M432="","Active (per Notice 1)",IF(M432&lt;TODAY(),"Expired",IF(M432&lt;TODAY()+180,"Expiring Soon","Active")))</f>
        <v>Active (per Notice 1)</v>
      </c>
      <c r="O432" s="10" t="s">
        <v>295</v>
      </c>
      <c r="P432" s="8" t="s">
        <v>327</v>
      </c>
      <c r="Q432" s="8" t="n">
        <v>3.28</v>
      </c>
      <c r="R432" s="8" t="n">
        <v>1</v>
      </c>
      <c r="S432" s="11" t="n">
        <v>43875</v>
      </c>
      <c r="T432" s="8" t="str">
        <f aca="true">IF(S432="","",IF(EDATE(S432,60)&lt;TODAY(),"Expired",IF(EDATE(S432,60)&lt;TODAY()+180,"Expiring Soon","Valid")))</f>
        <v>Expired</v>
      </c>
      <c r="U432" s="8" t="str">
        <f aca="false">IF(P432="","",IF(P432="A++","Top Tier",IF(P432="A+","High",IF(P432="A","Strong",IF(LEFT(P432,1)="B","Acceptable",IF(LEFT(P432,1)="C","Below Avg","-"))))))</f>
        <v>High</v>
      </c>
      <c r="Y432" s="8" t="n">
        <v>1</v>
      </c>
      <c r="Z432" s="11" t="n">
        <v>46568</v>
      </c>
      <c r="AA432" s="8" t="s">
        <v>328</v>
      </c>
      <c r="AB432" s="8" t="s">
        <v>329</v>
      </c>
      <c r="AC432" s="8" t="n">
        <v>98</v>
      </c>
      <c r="AD432" s="8" t="n">
        <v>58</v>
      </c>
      <c r="AE432" s="8"/>
      <c r="AF432" s="8" t="n">
        <v>58</v>
      </c>
      <c r="AG432" s="8" t="n">
        <v>81</v>
      </c>
      <c r="AH432" s="8"/>
      <c r="AI432" s="8"/>
      <c r="AJ432" s="8"/>
      <c r="AK432" s="8" t="n">
        <v>32</v>
      </c>
      <c r="AL432" s="8" t="n">
        <v>21</v>
      </c>
      <c r="AM432" s="8"/>
      <c r="AN432" s="8"/>
      <c r="AO432" s="8"/>
      <c r="AP432" s="8"/>
      <c r="AQ432" s="8"/>
      <c r="AR432" s="8"/>
      <c r="AS432" s="8"/>
      <c r="AT432" s="8"/>
      <c r="AU432" s="8"/>
    </row>
    <row r="433" customFormat="false" ht="15" hidden="false" customHeight="true" outlineLevel="0" collapsed="false">
      <c r="A433" s="8" t="n">
        <v>432</v>
      </c>
      <c r="B433" s="8" t="n">
        <v>66</v>
      </c>
      <c r="C433" s="8" t="s">
        <v>543</v>
      </c>
      <c r="D433" s="8" t="s">
        <v>333</v>
      </c>
      <c r="E433" s="9" t="s">
        <v>544</v>
      </c>
      <c r="F433" s="9" t="s">
        <v>311</v>
      </c>
      <c r="G433" s="8" t="s">
        <v>301</v>
      </c>
      <c r="H433" s="8" t="s">
        <v>302</v>
      </c>
      <c r="I433" s="8" t="s">
        <v>291</v>
      </c>
      <c r="J433" s="8" t="s">
        <v>292</v>
      </c>
      <c r="K433" s="8" t="s">
        <v>293</v>
      </c>
      <c r="L433" s="9" t="s">
        <v>294</v>
      </c>
      <c r="M433" s="8"/>
      <c r="N433" s="8" t="str">
        <f aca="true">IF(M433="","Active (per Notice 1)",IF(M433&lt;TODAY(),"Expired",IF(M433&lt;TODAY()+180,"Expiring Soon","Active")))</f>
        <v>Active (per Notice 1)</v>
      </c>
      <c r="O433" s="10" t="s">
        <v>295</v>
      </c>
      <c r="P433" s="8" t="s">
        <v>327</v>
      </c>
      <c r="Q433" s="8" t="n">
        <v>3.28</v>
      </c>
      <c r="R433" s="8" t="n">
        <v>1</v>
      </c>
      <c r="S433" s="11" t="n">
        <v>43875</v>
      </c>
      <c r="T433" s="8" t="str">
        <f aca="true">IF(S433="","",IF(EDATE(S433,60)&lt;TODAY(),"Expired",IF(EDATE(S433,60)&lt;TODAY()+180,"Expiring Soon","Valid")))</f>
        <v>Expired</v>
      </c>
      <c r="U433" s="8" t="str">
        <f aca="false">IF(P433="","",IF(P433="A++","Top Tier",IF(P433="A+","High",IF(P433="A","Strong",IF(LEFT(P433,1)="B","Acceptable",IF(LEFT(P433,1)="C","Below Avg","-"))))))</f>
        <v>High</v>
      </c>
      <c r="Y433" s="8" t="n">
        <v>1</v>
      </c>
      <c r="Z433" s="11" t="n">
        <v>46568</v>
      </c>
      <c r="AA433" s="8" t="s">
        <v>328</v>
      </c>
      <c r="AB433" s="8" t="s">
        <v>329</v>
      </c>
      <c r="AC433" s="8" t="n">
        <v>98</v>
      </c>
      <c r="AD433" s="8" t="n">
        <v>58</v>
      </c>
      <c r="AE433" s="8"/>
      <c r="AF433" s="8" t="n">
        <v>58</v>
      </c>
      <c r="AG433" s="8" t="n">
        <v>81</v>
      </c>
      <c r="AH433" s="8"/>
      <c r="AI433" s="8"/>
      <c r="AJ433" s="8"/>
      <c r="AK433" s="8" t="n">
        <v>32</v>
      </c>
      <c r="AL433" s="8" t="n">
        <v>21</v>
      </c>
      <c r="AM433" s="8"/>
      <c r="AN433" s="8"/>
      <c r="AO433" s="8"/>
      <c r="AP433" s="8"/>
      <c r="AQ433" s="8"/>
      <c r="AR433" s="8"/>
      <c r="AS433" s="8"/>
      <c r="AT433" s="8"/>
      <c r="AU433" s="8"/>
    </row>
    <row r="434" customFormat="false" ht="15" hidden="false" customHeight="true" outlineLevel="0" collapsed="false">
      <c r="A434" s="8" t="n">
        <v>433</v>
      </c>
      <c r="B434" s="8" t="n">
        <v>66</v>
      </c>
      <c r="C434" s="8" t="s">
        <v>543</v>
      </c>
      <c r="D434" s="8" t="s">
        <v>333</v>
      </c>
      <c r="E434" s="9" t="s">
        <v>544</v>
      </c>
      <c r="F434" s="9" t="s">
        <v>306</v>
      </c>
      <c r="G434" s="8" t="s">
        <v>307</v>
      </c>
      <c r="H434" s="8" t="s">
        <v>302</v>
      </c>
      <c r="I434" s="8" t="s">
        <v>291</v>
      </c>
      <c r="J434" s="8" t="s">
        <v>292</v>
      </c>
      <c r="K434" s="8" t="s">
        <v>293</v>
      </c>
      <c r="L434" s="9" t="s">
        <v>294</v>
      </c>
      <c r="M434" s="8"/>
      <c r="N434" s="8" t="str">
        <f aca="true">IF(M434="","Active (per Notice 1)",IF(M434&lt;TODAY(),"Expired",IF(M434&lt;TODAY()+180,"Expiring Soon","Active")))</f>
        <v>Active (per Notice 1)</v>
      </c>
      <c r="O434" s="12" t="s">
        <v>305</v>
      </c>
      <c r="P434" s="8" t="s">
        <v>327</v>
      </c>
      <c r="Q434" s="8" t="n">
        <v>3.28</v>
      </c>
      <c r="R434" s="8" t="n">
        <v>1</v>
      </c>
      <c r="S434" s="11" t="n">
        <v>43875</v>
      </c>
      <c r="T434" s="8" t="str">
        <f aca="true">IF(S434="","",IF(EDATE(S434,60)&lt;TODAY(),"Expired",IF(EDATE(S434,60)&lt;TODAY()+180,"Expiring Soon","Valid")))</f>
        <v>Expired</v>
      </c>
      <c r="U434" s="8" t="str">
        <f aca="false">IF(P434="","",IF(P434="A++","Top Tier",IF(P434="A+","High",IF(P434="A","Strong",IF(LEFT(P434,1)="B","Acceptable",IF(LEFT(P434,1)="C","Below Avg","-"))))))</f>
        <v>High</v>
      </c>
      <c r="Y434" s="8" t="n">
        <v>1</v>
      </c>
      <c r="Z434" s="11" t="n">
        <v>46568</v>
      </c>
      <c r="AA434" s="8" t="s">
        <v>328</v>
      </c>
      <c r="AB434" s="8" t="s">
        <v>329</v>
      </c>
      <c r="AC434" s="8" t="n">
        <v>98</v>
      </c>
      <c r="AD434" s="8" t="n">
        <v>58</v>
      </c>
      <c r="AE434" s="8"/>
      <c r="AF434" s="8" t="n">
        <v>58</v>
      </c>
      <c r="AG434" s="8" t="n">
        <v>81</v>
      </c>
      <c r="AH434" s="8"/>
      <c r="AI434" s="8"/>
      <c r="AJ434" s="8"/>
      <c r="AK434" s="8" t="n">
        <v>32</v>
      </c>
      <c r="AL434" s="8" t="n">
        <v>21</v>
      </c>
      <c r="AM434" s="8"/>
      <c r="AN434" s="8"/>
      <c r="AO434" s="8"/>
      <c r="AP434" s="8"/>
      <c r="AQ434" s="8"/>
      <c r="AR434" s="8"/>
      <c r="AS434" s="8"/>
      <c r="AT434" s="8"/>
      <c r="AU434" s="8"/>
    </row>
    <row r="435" customFormat="false" ht="15" hidden="false" customHeight="true" outlineLevel="0" collapsed="false">
      <c r="A435" s="8" t="n">
        <v>434</v>
      </c>
      <c r="B435" s="8" t="n">
        <v>66</v>
      </c>
      <c r="C435" s="8" t="s">
        <v>543</v>
      </c>
      <c r="D435" s="8" t="s">
        <v>333</v>
      </c>
      <c r="E435" s="9" t="s">
        <v>544</v>
      </c>
      <c r="F435" s="9" t="s">
        <v>364</v>
      </c>
      <c r="G435" s="8" t="s">
        <v>309</v>
      </c>
      <c r="H435" s="8" t="s">
        <v>302</v>
      </c>
      <c r="I435" s="8" t="s">
        <v>291</v>
      </c>
      <c r="J435" s="8" t="s">
        <v>292</v>
      </c>
      <c r="K435" s="8" t="s">
        <v>293</v>
      </c>
      <c r="L435" s="9" t="s">
        <v>294</v>
      </c>
      <c r="M435" s="8"/>
      <c r="N435" s="8" t="str">
        <f aca="true">IF(M435="","Active (per Notice 1)",IF(M435&lt;TODAY(),"Expired",IF(M435&lt;TODAY()+180,"Expiring Soon","Active")))</f>
        <v>Active (per Notice 1)</v>
      </c>
      <c r="O435" s="10" t="s">
        <v>295</v>
      </c>
      <c r="P435" s="8" t="s">
        <v>327</v>
      </c>
      <c r="Q435" s="8" t="n">
        <v>3.28</v>
      </c>
      <c r="R435" s="8" t="n">
        <v>1</v>
      </c>
      <c r="S435" s="11" t="n">
        <v>43875</v>
      </c>
      <c r="T435" s="8" t="str">
        <f aca="true">IF(S435="","",IF(EDATE(S435,60)&lt;TODAY(),"Expired",IF(EDATE(S435,60)&lt;TODAY()+180,"Expiring Soon","Valid")))</f>
        <v>Expired</v>
      </c>
      <c r="U435" s="8" t="str">
        <f aca="false">IF(P435="","",IF(P435="A++","Top Tier",IF(P435="A+","High",IF(P435="A","Strong",IF(LEFT(P435,1)="B","Acceptable",IF(LEFT(P435,1)="C","Below Avg","-"))))))</f>
        <v>High</v>
      </c>
      <c r="Y435" s="8" t="n">
        <v>1</v>
      </c>
      <c r="Z435" s="11" t="n">
        <v>46568</v>
      </c>
      <c r="AA435" s="8" t="s">
        <v>328</v>
      </c>
      <c r="AB435" s="8" t="s">
        <v>329</v>
      </c>
      <c r="AC435" s="8" t="n">
        <v>98</v>
      </c>
      <c r="AD435" s="8" t="n">
        <v>58</v>
      </c>
      <c r="AE435" s="8"/>
      <c r="AF435" s="8" t="n">
        <v>58</v>
      </c>
      <c r="AG435" s="8" t="n">
        <v>81</v>
      </c>
      <c r="AH435" s="8"/>
      <c r="AI435" s="8"/>
      <c r="AJ435" s="8"/>
      <c r="AK435" s="8" t="n">
        <v>32</v>
      </c>
      <c r="AL435" s="8" t="n">
        <v>21</v>
      </c>
      <c r="AM435" s="8"/>
      <c r="AN435" s="8"/>
      <c r="AO435" s="8"/>
      <c r="AP435" s="8"/>
      <c r="AQ435" s="8"/>
      <c r="AR435" s="8"/>
      <c r="AS435" s="8"/>
      <c r="AT435" s="8"/>
      <c r="AU435" s="8"/>
    </row>
    <row r="436" customFormat="false" ht="15" hidden="false" customHeight="true" outlineLevel="0" collapsed="false">
      <c r="A436" s="8" t="n">
        <v>435</v>
      </c>
      <c r="B436" s="8" t="n">
        <v>66</v>
      </c>
      <c r="C436" s="8" t="s">
        <v>543</v>
      </c>
      <c r="D436" s="8" t="s">
        <v>333</v>
      </c>
      <c r="E436" s="9" t="s">
        <v>544</v>
      </c>
      <c r="F436" s="9" t="s">
        <v>314</v>
      </c>
      <c r="G436" s="8" t="s">
        <v>301</v>
      </c>
      <c r="H436" s="8" t="s">
        <v>302</v>
      </c>
      <c r="I436" s="8" t="s">
        <v>291</v>
      </c>
      <c r="J436" s="8" t="s">
        <v>292</v>
      </c>
      <c r="K436" s="8" t="s">
        <v>293</v>
      </c>
      <c r="L436" s="9" t="s">
        <v>294</v>
      </c>
      <c r="M436" s="8"/>
      <c r="N436" s="8" t="str">
        <f aca="true">IF(M436="","Active (per Notice 1)",IF(M436&lt;TODAY(),"Expired",IF(M436&lt;TODAY()+180,"Expiring Soon","Active")))</f>
        <v>Active (per Notice 1)</v>
      </c>
      <c r="O436" s="10" t="s">
        <v>295</v>
      </c>
      <c r="P436" s="8" t="s">
        <v>327</v>
      </c>
      <c r="Q436" s="8" t="n">
        <v>3.28</v>
      </c>
      <c r="R436" s="8" t="n">
        <v>1</v>
      </c>
      <c r="S436" s="11" t="n">
        <v>43875</v>
      </c>
      <c r="T436" s="8" t="str">
        <f aca="true">IF(S436="","",IF(EDATE(S436,60)&lt;TODAY(),"Expired",IF(EDATE(S436,60)&lt;TODAY()+180,"Expiring Soon","Valid")))</f>
        <v>Expired</v>
      </c>
      <c r="U436" s="8" t="str">
        <f aca="false">IF(P436="","",IF(P436="A++","Top Tier",IF(P436="A+","High",IF(P436="A","Strong",IF(LEFT(P436,1)="B","Acceptable",IF(LEFT(P436,1)="C","Below Avg","-"))))))</f>
        <v>High</v>
      </c>
      <c r="Y436" s="8" t="n">
        <v>1</v>
      </c>
      <c r="Z436" s="11" t="n">
        <v>46568</v>
      </c>
      <c r="AA436" s="8" t="s">
        <v>328</v>
      </c>
      <c r="AB436" s="8" t="s">
        <v>329</v>
      </c>
      <c r="AC436" s="8" t="n">
        <v>98</v>
      </c>
      <c r="AD436" s="8" t="n">
        <v>58</v>
      </c>
      <c r="AE436" s="8"/>
      <c r="AF436" s="8" t="n">
        <v>58</v>
      </c>
      <c r="AG436" s="8" t="n">
        <v>81</v>
      </c>
      <c r="AH436" s="8"/>
      <c r="AI436" s="8"/>
      <c r="AJ436" s="8"/>
      <c r="AK436" s="8" t="n">
        <v>32</v>
      </c>
      <c r="AL436" s="8" t="n">
        <v>21</v>
      </c>
      <c r="AM436" s="8"/>
      <c r="AN436" s="8"/>
      <c r="AO436" s="8"/>
      <c r="AP436" s="8"/>
      <c r="AQ436" s="8"/>
      <c r="AR436" s="8"/>
      <c r="AS436" s="8"/>
      <c r="AT436" s="8"/>
      <c r="AU436" s="8"/>
    </row>
    <row r="437" customFormat="false" ht="15" hidden="false" customHeight="true" outlineLevel="0" collapsed="false">
      <c r="A437" s="8" t="n">
        <v>436</v>
      </c>
      <c r="B437" s="8" t="n">
        <v>66</v>
      </c>
      <c r="C437" s="8" t="s">
        <v>543</v>
      </c>
      <c r="D437" s="8" t="s">
        <v>333</v>
      </c>
      <c r="E437" s="9" t="s">
        <v>544</v>
      </c>
      <c r="F437" s="9" t="s">
        <v>303</v>
      </c>
      <c r="G437" s="8" t="s">
        <v>304</v>
      </c>
      <c r="H437" s="8" t="s">
        <v>302</v>
      </c>
      <c r="I437" s="8" t="s">
        <v>291</v>
      </c>
      <c r="J437" s="8" t="s">
        <v>292</v>
      </c>
      <c r="K437" s="8" t="s">
        <v>293</v>
      </c>
      <c r="L437" s="9" t="s">
        <v>294</v>
      </c>
      <c r="M437" s="8"/>
      <c r="N437" s="8" t="str">
        <f aca="true">IF(M437="","Active (per Notice 1)",IF(M437&lt;TODAY(),"Expired",IF(M437&lt;TODAY()+180,"Expiring Soon","Active")))</f>
        <v>Active (per Notice 1)</v>
      </c>
      <c r="O437" s="12" t="s">
        <v>305</v>
      </c>
      <c r="P437" s="8" t="s">
        <v>327</v>
      </c>
      <c r="Q437" s="8" t="n">
        <v>3.28</v>
      </c>
      <c r="R437" s="8" t="n">
        <v>1</v>
      </c>
      <c r="S437" s="11" t="n">
        <v>43875</v>
      </c>
      <c r="T437" s="8" t="str">
        <f aca="true">IF(S437="","",IF(EDATE(S437,60)&lt;TODAY(),"Expired",IF(EDATE(S437,60)&lt;TODAY()+180,"Expiring Soon","Valid")))</f>
        <v>Expired</v>
      </c>
      <c r="U437" s="8" t="str">
        <f aca="false">IF(P437="","",IF(P437="A++","Top Tier",IF(P437="A+","High",IF(P437="A","Strong",IF(LEFT(P437,1)="B","Acceptable",IF(LEFT(P437,1)="C","Below Avg","-"))))))</f>
        <v>High</v>
      </c>
      <c r="Y437" s="8" t="n">
        <v>1</v>
      </c>
      <c r="Z437" s="11" t="n">
        <v>46568</v>
      </c>
      <c r="AA437" s="8" t="s">
        <v>328</v>
      </c>
      <c r="AB437" s="8" t="s">
        <v>329</v>
      </c>
      <c r="AC437" s="8" t="n">
        <v>98</v>
      </c>
      <c r="AD437" s="8" t="n">
        <v>58</v>
      </c>
      <c r="AE437" s="8"/>
      <c r="AF437" s="8" t="n">
        <v>58</v>
      </c>
      <c r="AG437" s="8" t="n">
        <v>81</v>
      </c>
      <c r="AH437" s="8"/>
      <c r="AI437" s="8"/>
      <c r="AJ437" s="8"/>
      <c r="AK437" s="8" t="n">
        <v>32</v>
      </c>
      <c r="AL437" s="8" t="n">
        <v>21</v>
      </c>
      <c r="AM437" s="8"/>
      <c r="AN437" s="8"/>
      <c r="AO437" s="8"/>
      <c r="AP437" s="8"/>
      <c r="AQ437" s="8"/>
      <c r="AR437" s="8"/>
      <c r="AS437" s="8"/>
      <c r="AT437" s="8"/>
      <c r="AU437" s="8"/>
    </row>
    <row r="438" customFormat="false" ht="23.25" hidden="false" customHeight="true" outlineLevel="0" collapsed="false">
      <c r="A438" s="8" t="n">
        <v>437</v>
      </c>
      <c r="B438" s="8" t="n">
        <v>67</v>
      </c>
      <c r="C438" s="8" t="s">
        <v>543</v>
      </c>
      <c r="D438" s="8" t="s">
        <v>333</v>
      </c>
      <c r="E438" s="9" t="s">
        <v>545</v>
      </c>
      <c r="F438" s="9" t="s">
        <v>546</v>
      </c>
      <c r="G438" s="8" t="s">
        <v>298</v>
      </c>
      <c r="H438" s="8" t="s">
        <v>290</v>
      </c>
      <c r="I438" s="8" t="s">
        <v>291</v>
      </c>
      <c r="J438" s="8" t="s">
        <v>292</v>
      </c>
      <c r="K438" s="8" t="s">
        <v>293</v>
      </c>
      <c r="L438" s="9" t="s">
        <v>294</v>
      </c>
      <c r="M438" s="8"/>
      <c r="N438" s="8" t="str">
        <f aca="true">IF(M438="","Active (per Notice 1)",IF(M438&lt;TODAY(),"Expired",IF(M438&lt;TODAY()+180,"Expiring Soon","Active")))</f>
        <v>Active (per Notice 1)</v>
      </c>
      <c r="O438" s="10" t="s">
        <v>295</v>
      </c>
      <c r="P438" s="8" t="s">
        <v>327</v>
      </c>
      <c r="Q438" s="8" t="n">
        <v>3.29</v>
      </c>
      <c r="R438" s="8" t="n">
        <v>1</v>
      </c>
      <c r="S438" s="11" t="n">
        <v>44789</v>
      </c>
      <c r="T438" s="8" t="str">
        <f aca="true">IF(S438="","",IF(EDATE(S438,60)&lt;TODAY(),"Expired",IF(EDATE(S438,60)&lt;TODAY()+180,"Expiring Soon","Valid")))</f>
        <v>Valid</v>
      </c>
      <c r="U438" s="8" t="str">
        <f aca="false">IF(P438="","",IF(P438="A++","Top Tier",IF(P438="A+","High",IF(P438="A","Strong",IF(LEFT(P438,1)="B","Acceptable",IF(LEFT(P438,1)="C","Below Avg","-"))))))</f>
        <v>High</v>
      </c>
      <c r="AT438" s="8"/>
      <c r="AU438" s="8"/>
    </row>
    <row r="439" customFormat="false" ht="15" hidden="false" customHeight="true" outlineLevel="0" collapsed="false">
      <c r="A439" s="8" t="n">
        <v>438</v>
      </c>
      <c r="B439" s="8" t="n">
        <v>67</v>
      </c>
      <c r="C439" s="8" t="s">
        <v>543</v>
      </c>
      <c r="D439" s="8" t="s">
        <v>333</v>
      </c>
      <c r="E439" s="9" t="s">
        <v>545</v>
      </c>
      <c r="F439" s="9" t="s">
        <v>538</v>
      </c>
      <c r="G439" s="8" t="s">
        <v>320</v>
      </c>
      <c r="H439" s="8" t="s">
        <v>290</v>
      </c>
      <c r="I439" s="8" t="s">
        <v>291</v>
      </c>
      <c r="J439" s="8" t="s">
        <v>292</v>
      </c>
      <c r="K439" s="8" t="s">
        <v>293</v>
      </c>
      <c r="L439" s="9" t="s">
        <v>294</v>
      </c>
      <c r="M439" s="8"/>
      <c r="N439" s="8" t="str">
        <f aca="true">IF(M439="","Active (per Notice 1)",IF(M439&lt;TODAY(),"Expired",IF(M439&lt;TODAY()+180,"Expiring Soon","Active")))</f>
        <v>Active (per Notice 1)</v>
      </c>
      <c r="O439" s="12" t="s">
        <v>305</v>
      </c>
      <c r="P439" s="8" t="s">
        <v>327</v>
      </c>
      <c r="Q439" s="8" t="n">
        <v>3.29</v>
      </c>
      <c r="R439" s="8" t="n">
        <v>1</v>
      </c>
      <c r="S439" s="11" t="n">
        <v>44789</v>
      </c>
      <c r="T439" s="8" t="str">
        <f aca="true">IF(S439="","",IF(EDATE(S439,60)&lt;TODAY(),"Expired",IF(EDATE(S439,60)&lt;TODAY()+180,"Expiring Soon","Valid")))</f>
        <v>Valid</v>
      </c>
      <c r="U439" s="8" t="str">
        <f aca="false">IF(P439="","",IF(P439="A++","Top Tier",IF(P439="A+","High",IF(P439="A","Strong",IF(LEFT(P439,1)="B","Acceptable",IF(LEFT(P439,1)="C","Below Avg","-"))))))</f>
        <v>High</v>
      </c>
      <c r="AT439" s="8"/>
      <c r="AU439" s="8"/>
    </row>
    <row r="440" customFormat="false" ht="15" hidden="false" customHeight="true" outlineLevel="0" collapsed="false">
      <c r="A440" s="8" t="n">
        <v>439</v>
      </c>
      <c r="B440" s="8" t="n">
        <v>67</v>
      </c>
      <c r="C440" s="8" t="s">
        <v>543</v>
      </c>
      <c r="D440" s="8" t="s">
        <v>333</v>
      </c>
      <c r="E440" s="9" t="s">
        <v>545</v>
      </c>
      <c r="F440" s="9" t="s">
        <v>317</v>
      </c>
      <c r="G440" s="8" t="s">
        <v>318</v>
      </c>
      <c r="H440" s="8" t="s">
        <v>290</v>
      </c>
      <c r="I440" s="8" t="s">
        <v>291</v>
      </c>
      <c r="J440" s="8" t="s">
        <v>292</v>
      </c>
      <c r="K440" s="8" t="s">
        <v>293</v>
      </c>
      <c r="L440" s="9" t="s">
        <v>294</v>
      </c>
      <c r="M440" s="8"/>
      <c r="N440" s="8" t="str">
        <f aca="true">IF(M440="","Active (per Notice 1)",IF(M440&lt;TODAY(),"Expired",IF(M440&lt;TODAY()+180,"Expiring Soon","Active")))</f>
        <v>Active (per Notice 1)</v>
      </c>
      <c r="O440" s="12" t="s">
        <v>305</v>
      </c>
      <c r="P440" s="8" t="s">
        <v>327</v>
      </c>
      <c r="Q440" s="8" t="n">
        <v>3.29</v>
      </c>
      <c r="R440" s="8" t="n">
        <v>1</v>
      </c>
      <c r="S440" s="11" t="n">
        <v>44789</v>
      </c>
      <c r="T440" s="8" t="str">
        <f aca="true">IF(S440="","",IF(EDATE(S440,60)&lt;TODAY(),"Expired",IF(EDATE(S440,60)&lt;TODAY()+180,"Expiring Soon","Valid")))</f>
        <v>Valid</v>
      </c>
      <c r="U440" s="8" t="str">
        <f aca="false">IF(P440="","",IF(P440="A++","Top Tier",IF(P440="A+","High",IF(P440="A","Strong",IF(LEFT(P440,1)="B","Acceptable",IF(LEFT(P440,1)="C","Below Avg","-"))))))</f>
        <v>High</v>
      </c>
      <c r="AT440" s="8"/>
      <c r="AU440" s="8"/>
    </row>
    <row r="441" customFormat="false" ht="15" hidden="false" customHeight="true" outlineLevel="0" collapsed="false">
      <c r="A441" s="8" t="n">
        <v>440</v>
      </c>
      <c r="B441" s="8" t="n">
        <v>67</v>
      </c>
      <c r="C441" s="8" t="s">
        <v>543</v>
      </c>
      <c r="D441" s="8" t="s">
        <v>333</v>
      </c>
      <c r="E441" s="9" t="s">
        <v>545</v>
      </c>
      <c r="F441" s="9" t="s">
        <v>385</v>
      </c>
      <c r="G441" s="8" t="s">
        <v>386</v>
      </c>
      <c r="H441" s="8" t="s">
        <v>302</v>
      </c>
      <c r="I441" s="8" t="s">
        <v>291</v>
      </c>
      <c r="J441" s="8" t="s">
        <v>292</v>
      </c>
      <c r="K441" s="8" t="s">
        <v>293</v>
      </c>
      <c r="L441" s="9" t="s">
        <v>294</v>
      </c>
      <c r="M441" s="8"/>
      <c r="N441" s="8" t="str">
        <f aca="true">IF(M441="","Active (per Notice 1)",IF(M441&lt;TODAY(),"Expired",IF(M441&lt;TODAY()+180,"Expiring Soon","Active")))</f>
        <v>Active (per Notice 1)</v>
      </c>
      <c r="O441" s="10" t="s">
        <v>295</v>
      </c>
      <c r="P441" s="8" t="s">
        <v>327</v>
      </c>
      <c r="Q441" s="8" t="n">
        <v>3.29</v>
      </c>
      <c r="R441" s="8" t="n">
        <v>1</v>
      </c>
      <c r="S441" s="11" t="n">
        <v>44789</v>
      </c>
      <c r="T441" s="8" t="str">
        <f aca="true">IF(S441="","",IF(EDATE(S441,60)&lt;TODAY(),"Expired",IF(EDATE(S441,60)&lt;TODAY()+180,"Expiring Soon","Valid")))</f>
        <v>Valid</v>
      </c>
      <c r="U441" s="8" t="str">
        <f aca="false">IF(P441="","",IF(P441="A++","Top Tier",IF(P441="A+","High",IF(P441="A","Strong",IF(LEFT(P441,1)="B","Acceptable",IF(LEFT(P441,1)="C","Below Avg","-"))))))</f>
        <v>High</v>
      </c>
      <c r="AT441" s="8"/>
      <c r="AU441" s="8"/>
    </row>
    <row r="442" customFormat="false" ht="15" hidden="false" customHeight="true" outlineLevel="0" collapsed="false">
      <c r="A442" s="8" t="n">
        <v>441</v>
      </c>
      <c r="B442" s="8" t="n">
        <v>67</v>
      </c>
      <c r="C442" s="8" t="s">
        <v>543</v>
      </c>
      <c r="D442" s="8" t="s">
        <v>333</v>
      </c>
      <c r="E442" s="9" t="s">
        <v>545</v>
      </c>
      <c r="F442" s="9" t="s">
        <v>312</v>
      </c>
      <c r="G442" s="8" t="s">
        <v>301</v>
      </c>
      <c r="H442" s="8" t="s">
        <v>302</v>
      </c>
      <c r="I442" s="8" t="s">
        <v>291</v>
      </c>
      <c r="J442" s="8" t="s">
        <v>292</v>
      </c>
      <c r="K442" s="8" t="s">
        <v>293</v>
      </c>
      <c r="L442" s="9" t="s">
        <v>294</v>
      </c>
      <c r="M442" s="8"/>
      <c r="N442" s="8" t="str">
        <f aca="true">IF(M442="","Active (per Notice 1)",IF(M442&lt;TODAY(),"Expired",IF(M442&lt;TODAY()+180,"Expiring Soon","Active")))</f>
        <v>Active (per Notice 1)</v>
      </c>
      <c r="O442" s="10" t="s">
        <v>295</v>
      </c>
      <c r="P442" s="8" t="s">
        <v>327</v>
      </c>
      <c r="Q442" s="8" t="n">
        <v>3.29</v>
      </c>
      <c r="R442" s="8" t="n">
        <v>1</v>
      </c>
      <c r="S442" s="11" t="n">
        <v>44789</v>
      </c>
      <c r="T442" s="8" t="str">
        <f aca="true">IF(S442="","",IF(EDATE(S442,60)&lt;TODAY(),"Expired",IF(EDATE(S442,60)&lt;TODAY()+180,"Expiring Soon","Valid")))</f>
        <v>Valid</v>
      </c>
      <c r="U442" s="8" t="str">
        <f aca="false">IF(P442="","",IF(P442="A++","Top Tier",IF(P442="A+","High",IF(P442="A","Strong",IF(LEFT(P442,1)="B","Acceptable",IF(LEFT(P442,1)="C","Below Avg","-"))))))</f>
        <v>High</v>
      </c>
      <c r="AT442" s="8"/>
      <c r="AU442" s="8"/>
    </row>
    <row r="443" customFormat="false" ht="15" hidden="false" customHeight="true" outlineLevel="0" collapsed="false">
      <c r="A443" s="8" t="n">
        <v>442</v>
      </c>
      <c r="B443" s="8" t="n">
        <v>67</v>
      </c>
      <c r="C443" s="8" t="s">
        <v>543</v>
      </c>
      <c r="D443" s="8" t="s">
        <v>333</v>
      </c>
      <c r="E443" s="9" t="s">
        <v>545</v>
      </c>
      <c r="F443" s="9" t="s">
        <v>303</v>
      </c>
      <c r="G443" s="8" t="s">
        <v>304</v>
      </c>
      <c r="H443" s="8" t="s">
        <v>302</v>
      </c>
      <c r="I443" s="8" t="s">
        <v>291</v>
      </c>
      <c r="J443" s="8" t="s">
        <v>292</v>
      </c>
      <c r="K443" s="8" t="s">
        <v>293</v>
      </c>
      <c r="L443" s="9" t="s">
        <v>294</v>
      </c>
      <c r="M443" s="8"/>
      <c r="N443" s="8" t="str">
        <f aca="true">IF(M443="","Active (per Notice 1)",IF(M443&lt;TODAY(),"Expired",IF(M443&lt;TODAY()+180,"Expiring Soon","Active")))</f>
        <v>Active (per Notice 1)</v>
      </c>
      <c r="O443" s="12" t="s">
        <v>305</v>
      </c>
      <c r="P443" s="8" t="s">
        <v>327</v>
      </c>
      <c r="Q443" s="8" t="n">
        <v>3.29</v>
      </c>
      <c r="R443" s="8" t="n">
        <v>1</v>
      </c>
      <c r="S443" s="11" t="n">
        <v>44789</v>
      </c>
      <c r="T443" s="8" t="str">
        <f aca="true">IF(S443="","",IF(EDATE(S443,60)&lt;TODAY(),"Expired",IF(EDATE(S443,60)&lt;TODAY()+180,"Expiring Soon","Valid")))</f>
        <v>Valid</v>
      </c>
      <c r="U443" s="8" t="str">
        <f aca="false">IF(P443="","",IF(P443="A++","Top Tier",IF(P443="A+","High",IF(P443="A","Strong",IF(LEFT(P443,1)="B","Acceptable",IF(LEFT(P443,1)="C","Below Avg","-"))))))</f>
        <v>High</v>
      </c>
      <c r="AT443" s="8"/>
      <c r="AU443" s="8"/>
    </row>
    <row r="444" customFormat="false" ht="15" hidden="false" customHeight="true" outlineLevel="0" collapsed="false">
      <c r="A444" s="8" t="n">
        <v>443</v>
      </c>
      <c r="B444" s="8" t="n">
        <v>67</v>
      </c>
      <c r="C444" s="8" t="s">
        <v>543</v>
      </c>
      <c r="D444" s="8" t="s">
        <v>333</v>
      </c>
      <c r="E444" s="9" t="s">
        <v>545</v>
      </c>
      <c r="F444" s="9" t="s">
        <v>306</v>
      </c>
      <c r="G444" s="8" t="s">
        <v>307</v>
      </c>
      <c r="H444" s="8" t="s">
        <v>302</v>
      </c>
      <c r="I444" s="8" t="s">
        <v>291</v>
      </c>
      <c r="J444" s="8" t="s">
        <v>292</v>
      </c>
      <c r="K444" s="8" t="s">
        <v>293</v>
      </c>
      <c r="L444" s="9" t="s">
        <v>294</v>
      </c>
      <c r="M444" s="8"/>
      <c r="N444" s="8" t="str">
        <f aca="true">IF(M444="","Active (per Notice 1)",IF(M444&lt;TODAY(),"Expired",IF(M444&lt;TODAY()+180,"Expiring Soon","Active")))</f>
        <v>Active (per Notice 1)</v>
      </c>
      <c r="O444" s="12" t="s">
        <v>305</v>
      </c>
      <c r="P444" s="8" t="s">
        <v>327</v>
      </c>
      <c r="Q444" s="8" t="n">
        <v>3.29</v>
      </c>
      <c r="R444" s="8" t="n">
        <v>1</v>
      </c>
      <c r="S444" s="11" t="n">
        <v>44789</v>
      </c>
      <c r="T444" s="8" t="str">
        <f aca="true">IF(S444="","",IF(EDATE(S444,60)&lt;TODAY(),"Expired",IF(EDATE(S444,60)&lt;TODAY()+180,"Expiring Soon","Valid")))</f>
        <v>Valid</v>
      </c>
      <c r="U444" s="8" t="str">
        <f aca="false">IF(P444="","",IF(P444="A++","Top Tier",IF(P444="A+","High",IF(P444="A","Strong",IF(LEFT(P444,1)="B","Acceptable",IF(LEFT(P444,1)="C","Below Avg","-"))))))</f>
        <v>High</v>
      </c>
      <c r="AT444" s="8"/>
      <c r="AU444" s="8"/>
    </row>
    <row r="445" customFormat="false" ht="15" hidden="false" customHeight="true" outlineLevel="0" collapsed="false">
      <c r="A445" s="8" t="n">
        <v>444</v>
      </c>
      <c r="B445" s="8" t="n">
        <v>67</v>
      </c>
      <c r="C445" s="8" t="s">
        <v>543</v>
      </c>
      <c r="D445" s="8" t="s">
        <v>333</v>
      </c>
      <c r="E445" s="9" t="s">
        <v>545</v>
      </c>
      <c r="F445" s="9" t="s">
        <v>314</v>
      </c>
      <c r="G445" s="8" t="s">
        <v>301</v>
      </c>
      <c r="H445" s="8" t="s">
        <v>302</v>
      </c>
      <c r="I445" s="8" t="s">
        <v>291</v>
      </c>
      <c r="J445" s="8" t="s">
        <v>292</v>
      </c>
      <c r="K445" s="8" t="s">
        <v>293</v>
      </c>
      <c r="L445" s="9" t="s">
        <v>294</v>
      </c>
      <c r="M445" s="8"/>
      <c r="N445" s="8" t="str">
        <f aca="true">IF(M445="","Active (per Notice 1)",IF(M445&lt;TODAY(),"Expired",IF(M445&lt;TODAY()+180,"Expiring Soon","Active")))</f>
        <v>Active (per Notice 1)</v>
      </c>
      <c r="O445" s="10" t="s">
        <v>295</v>
      </c>
      <c r="P445" s="8" t="s">
        <v>327</v>
      </c>
      <c r="Q445" s="8" t="n">
        <v>3.29</v>
      </c>
      <c r="R445" s="8" t="n">
        <v>1</v>
      </c>
      <c r="S445" s="11" t="n">
        <v>44789</v>
      </c>
      <c r="T445" s="8" t="str">
        <f aca="true">IF(S445="","",IF(EDATE(S445,60)&lt;TODAY(),"Expired",IF(EDATE(S445,60)&lt;TODAY()+180,"Expiring Soon","Valid")))</f>
        <v>Valid</v>
      </c>
      <c r="U445" s="8" t="str">
        <f aca="false">IF(P445="","",IF(P445="A++","Top Tier",IF(P445="A+","High",IF(P445="A","Strong",IF(LEFT(P445,1)="B","Acceptable",IF(LEFT(P445,1)="C","Below Avg","-"))))))</f>
        <v>High</v>
      </c>
      <c r="AT445" s="8"/>
      <c r="AU445" s="8"/>
    </row>
    <row r="446" customFormat="false" ht="15" hidden="false" customHeight="true" outlineLevel="0" collapsed="false">
      <c r="A446" s="8" t="n">
        <v>445</v>
      </c>
      <c r="B446" s="8" t="n">
        <v>67</v>
      </c>
      <c r="C446" s="8" t="s">
        <v>543</v>
      </c>
      <c r="D446" s="8" t="s">
        <v>333</v>
      </c>
      <c r="E446" s="9" t="s">
        <v>545</v>
      </c>
      <c r="F446" s="9" t="s">
        <v>547</v>
      </c>
      <c r="G446" s="8" t="s">
        <v>304</v>
      </c>
      <c r="H446" s="8" t="s">
        <v>302</v>
      </c>
      <c r="I446" s="8" t="s">
        <v>291</v>
      </c>
      <c r="J446" s="8" t="s">
        <v>292</v>
      </c>
      <c r="K446" s="8" t="s">
        <v>293</v>
      </c>
      <c r="L446" s="9" t="s">
        <v>294</v>
      </c>
      <c r="M446" s="8"/>
      <c r="N446" s="8" t="str">
        <f aca="true">IF(M446="","Active (per Notice 1)",IF(M446&lt;TODAY(),"Expired",IF(M446&lt;TODAY()+180,"Expiring Soon","Active")))</f>
        <v>Active (per Notice 1)</v>
      </c>
      <c r="O446" s="12" t="s">
        <v>305</v>
      </c>
      <c r="P446" s="8" t="s">
        <v>327</v>
      </c>
      <c r="Q446" s="8" t="n">
        <v>3.29</v>
      </c>
      <c r="R446" s="8" t="n">
        <v>1</v>
      </c>
      <c r="S446" s="11" t="n">
        <v>44789</v>
      </c>
      <c r="T446" s="8" t="str">
        <f aca="true">IF(S446="","",IF(EDATE(S446,60)&lt;TODAY(),"Expired",IF(EDATE(S446,60)&lt;TODAY()+180,"Expiring Soon","Valid")))</f>
        <v>Valid</v>
      </c>
      <c r="U446" s="8" t="str">
        <f aca="false">IF(P446="","",IF(P446="A++","Top Tier",IF(P446="A+","High",IF(P446="A","Strong",IF(LEFT(P446,1)="B","Acceptable",IF(LEFT(P446,1)="C","Below Avg","-"))))))</f>
        <v>High</v>
      </c>
      <c r="AT446" s="8"/>
      <c r="AU446" s="8"/>
    </row>
    <row r="447" customFormat="false" ht="15" hidden="false" customHeight="true" outlineLevel="0" collapsed="false">
      <c r="A447" s="8" t="n">
        <v>446</v>
      </c>
      <c r="B447" s="8" t="n">
        <v>68</v>
      </c>
      <c r="C447" s="8" t="s">
        <v>543</v>
      </c>
      <c r="D447" s="8" t="s">
        <v>315</v>
      </c>
      <c r="E447" s="9" t="s">
        <v>548</v>
      </c>
      <c r="F447" s="9" t="s">
        <v>408</v>
      </c>
      <c r="G447" s="8" t="s">
        <v>298</v>
      </c>
      <c r="H447" s="8" t="s">
        <v>290</v>
      </c>
      <c r="I447" s="8" t="s">
        <v>291</v>
      </c>
      <c r="J447" s="8" t="s">
        <v>292</v>
      </c>
      <c r="K447" s="8" t="s">
        <v>293</v>
      </c>
      <c r="L447" s="9" t="s">
        <v>294</v>
      </c>
      <c r="M447" s="8"/>
      <c r="N447" s="8" t="str">
        <f aca="true">IF(M447="","Active (per Notice 1)",IF(M447&lt;TODAY(),"Expired",IF(M447&lt;TODAY()+180,"Expiring Soon","Active")))</f>
        <v>Active (per Notice 1)</v>
      </c>
      <c r="O447" s="10" t="s">
        <v>295</v>
      </c>
      <c r="P447" s="8" t="s">
        <v>296</v>
      </c>
      <c r="Q447" s="8" t="n">
        <v>3.63</v>
      </c>
      <c r="R447" s="8" t="n">
        <v>3</v>
      </c>
      <c r="S447" s="11" t="n">
        <v>43901</v>
      </c>
      <c r="T447" s="8" t="str">
        <f aca="true">IF(S447="","",IF(EDATE(S447,60)&lt;TODAY(),"Expired",IF(EDATE(S447,60)&lt;TODAY()+180,"Expiring Soon","Valid")))</f>
        <v>Expired</v>
      </c>
      <c r="U447" s="8" t="str">
        <f aca="false">IF(P447="","",IF(P447="A++","Top Tier",IF(P447="A+","High",IF(P447="A","Strong",IF(LEFT(P447,1)="B","Acceptable",IF(LEFT(P447,1)="C","Below Avg","-"))))))</f>
        <v>Top Tier</v>
      </c>
      <c r="AC447" s="8"/>
      <c r="AD447" s="8" t="n">
        <v>66</v>
      </c>
      <c r="AE447" s="8"/>
      <c r="AF447" s="8" t="n">
        <v>71</v>
      </c>
      <c r="AG447" s="8"/>
      <c r="AH447" s="8" t="n">
        <v>22</v>
      </c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</row>
    <row r="448" customFormat="false" ht="15" hidden="false" customHeight="true" outlineLevel="0" collapsed="false">
      <c r="A448" s="8" t="n">
        <v>447</v>
      </c>
      <c r="B448" s="8" t="n">
        <v>68</v>
      </c>
      <c r="C448" s="8" t="s">
        <v>543</v>
      </c>
      <c r="D448" s="8" t="s">
        <v>315</v>
      </c>
      <c r="E448" s="9" t="s">
        <v>548</v>
      </c>
      <c r="F448" s="9" t="s">
        <v>299</v>
      </c>
      <c r="G448" s="8" t="s">
        <v>289</v>
      </c>
      <c r="H448" s="8" t="s">
        <v>290</v>
      </c>
      <c r="I448" s="8" t="s">
        <v>291</v>
      </c>
      <c r="J448" s="8" t="s">
        <v>292</v>
      </c>
      <c r="K448" s="8" t="s">
        <v>293</v>
      </c>
      <c r="L448" s="9" t="s">
        <v>294</v>
      </c>
      <c r="M448" s="8"/>
      <c r="N448" s="8" t="str">
        <f aca="true">IF(M448="","Active (per Notice 1)",IF(M448&lt;TODAY(),"Expired",IF(M448&lt;TODAY()+180,"Expiring Soon","Active")))</f>
        <v>Active (per Notice 1)</v>
      </c>
      <c r="O448" s="10" t="s">
        <v>295</v>
      </c>
      <c r="P448" s="8" t="s">
        <v>296</v>
      </c>
      <c r="Q448" s="8" t="n">
        <v>3.63</v>
      </c>
      <c r="R448" s="8" t="n">
        <v>3</v>
      </c>
      <c r="S448" s="11" t="n">
        <v>43901</v>
      </c>
      <c r="T448" s="8" t="str">
        <f aca="true">IF(S448="","",IF(EDATE(S448,60)&lt;TODAY(),"Expired",IF(EDATE(S448,60)&lt;TODAY()+180,"Expiring Soon","Valid")))</f>
        <v>Expired</v>
      </c>
      <c r="U448" s="8" t="str">
        <f aca="false">IF(P448="","",IF(P448="A++","Top Tier",IF(P448="A+","High",IF(P448="A","Strong",IF(LEFT(P448,1)="B","Acceptable",IF(LEFT(P448,1)="C","Below Avg","-"))))))</f>
        <v>Top Tier</v>
      </c>
      <c r="AC448" s="8"/>
      <c r="AD448" s="8" t="n">
        <v>66</v>
      </c>
      <c r="AE448" s="8"/>
      <c r="AF448" s="8" t="n">
        <v>71</v>
      </c>
      <c r="AG448" s="8"/>
      <c r="AH448" s="8" t="n">
        <v>22</v>
      </c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</row>
    <row r="449" customFormat="false" ht="15" hidden="false" customHeight="true" outlineLevel="0" collapsed="false">
      <c r="A449" s="8" t="n">
        <v>448</v>
      </c>
      <c r="B449" s="8" t="n">
        <v>68</v>
      </c>
      <c r="C449" s="8" t="s">
        <v>543</v>
      </c>
      <c r="D449" s="8" t="s">
        <v>315</v>
      </c>
      <c r="E449" s="9" t="s">
        <v>548</v>
      </c>
      <c r="F449" s="9" t="s">
        <v>485</v>
      </c>
      <c r="G449" s="8" t="s">
        <v>386</v>
      </c>
      <c r="H449" s="8" t="s">
        <v>302</v>
      </c>
      <c r="I449" s="8" t="s">
        <v>291</v>
      </c>
      <c r="J449" s="8" t="s">
        <v>292</v>
      </c>
      <c r="K449" s="8" t="s">
        <v>293</v>
      </c>
      <c r="L449" s="9" t="s">
        <v>294</v>
      </c>
      <c r="M449" s="8"/>
      <c r="N449" s="8" t="str">
        <f aca="true">IF(M449="","Active (per Notice 1)",IF(M449&lt;TODAY(),"Expired",IF(M449&lt;TODAY()+180,"Expiring Soon","Active")))</f>
        <v>Active (per Notice 1)</v>
      </c>
      <c r="O449" s="10" t="s">
        <v>295</v>
      </c>
      <c r="P449" s="8" t="s">
        <v>296</v>
      </c>
      <c r="Q449" s="8" t="n">
        <v>3.63</v>
      </c>
      <c r="R449" s="8" t="n">
        <v>3</v>
      </c>
      <c r="S449" s="11" t="n">
        <v>43901</v>
      </c>
      <c r="T449" s="8" t="str">
        <f aca="true">IF(S449="","",IF(EDATE(S449,60)&lt;TODAY(),"Expired",IF(EDATE(S449,60)&lt;TODAY()+180,"Expiring Soon","Valid")))</f>
        <v>Expired</v>
      </c>
      <c r="U449" s="8" t="str">
        <f aca="false">IF(P449="","",IF(P449="A++","Top Tier",IF(P449="A+","High",IF(P449="A","Strong",IF(LEFT(P449,1)="B","Acceptable",IF(LEFT(P449,1)="C","Below Avg","-"))))))</f>
        <v>Top Tier</v>
      </c>
      <c r="AC449" s="8"/>
      <c r="AD449" s="8" t="n">
        <v>66</v>
      </c>
      <c r="AE449" s="8"/>
      <c r="AF449" s="8" t="n">
        <v>71</v>
      </c>
      <c r="AG449" s="8"/>
      <c r="AH449" s="8" t="n">
        <v>22</v>
      </c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</row>
    <row r="450" customFormat="false" ht="15" hidden="false" customHeight="true" outlineLevel="0" collapsed="false">
      <c r="A450" s="8" t="n">
        <v>449</v>
      </c>
      <c r="B450" s="8" t="n">
        <v>68</v>
      </c>
      <c r="C450" s="8" t="s">
        <v>543</v>
      </c>
      <c r="D450" s="8" t="s">
        <v>315</v>
      </c>
      <c r="E450" s="9" t="s">
        <v>548</v>
      </c>
      <c r="F450" s="9" t="s">
        <v>308</v>
      </c>
      <c r="G450" s="8" t="s">
        <v>309</v>
      </c>
      <c r="H450" s="8" t="s">
        <v>302</v>
      </c>
      <c r="I450" s="8" t="s">
        <v>291</v>
      </c>
      <c r="J450" s="8" t="s">
        <v>292</v>
      </c>
      <c r="K450" s="8" t="s">
        <v>293</v>
      </c>
      <c r="L450" s="9" t="s">
        <v>294</v>
      </c>
      <c r="M450" s="8"/>
      <c r="N450" s="8" t="str">
        <f aca="true">IF(M450="","Active (per Notice 1)",IF(M450&lt;TODAY(),"Expired",IF(M450&lt;TODAY()+180,"Expiring Soon","Active")))</f>
        <v>Active (per Notice 1)</v>
      </c>
      <c r="O450" s="10" t="s">
        <v>295</v>
      </c>
      <c r="P450" s="8" t="s">
        <v>296</v>
      </c>
      <c r="Q450" s="8" t="n">
        <v>3.63</v>
      </c>
      <c r="R450" s="8" t="n">
        <v>3</v>
      </c>
      <c r="S450" s="11" t="n">
        <v>43901</v>
      </c>
      <c r="T450" s="8" t="str">
        <f aca="true">IF(S450="","",IF(EDATE(S450,60)&lt;TODAY(),"Expired",IF(EDATE(S450,60)&lt;TODAY()+180,"Expiring Soon","Valid")))</f>
        <v>Expired</v>
      </c>
      <c r="U450" s="8" t="str">
        <f aca="false">IF(P450="","",IF(P450="A++","Top Tier",IF(P450="A+","High",IF(P450="A","Strong",IF(LEFT(P450,1)="B","Acceptable",IF(LEFT(P450,1)="C","Below Avg","-"))))))</f>
        <v>Top Tier</v>
      </c>
      <c r="AC450" s="8"/>
      <c r="AD450" s="8" t="n">
        <v>66</v>
      </c>
      <c r="AE450" s="8"/>
      <c r="AF450" s="8" t="n">
        <v>71</v>
      </c>
      <c r="AG450" s="8"/>
      <c r="AH450" s="8" t="n">
        <v>22</v>
      </c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</row>
    <row r="451" customFormat="false" ht="15" hidden="false" customHeight="true" outlineLevel="0" collapsed="false">
      <c r="A451" s="8" t="n">
        <v>450</v>
      </c>
      <c r="B451" s="8" t="n">
        <v>68</v>
      </c>
      <c r="C451" s="8" t="s">
        <v>543</v>
      </c>
      <c r="D451" s="8" t="s">
        <v>315</v>
      </c>
      <c r="E451" s="9" t="s">
        <v>548</v>
      </c>
      <c r="F451" s="9" t="s">
        <v>385</v>
      </c>
      <c r="G451" s="8" t="s">
        <v>386</v>
      </c>
      <c r="H451" s="8" t="s">
        <v>302</v>
      </c>
      <c r="I451" s="8" t="s">
        <v>291</v>
      </c>
      <c r="J451" s="8" t="s">
        <v>292</v>
      </c>
      <c r="K451" s="8" t="s">
        <v>293</v>
      </c>
      <c r="L451" s="9" t="s">
        <v>294</v>
      </c>
      <c r="M451" s="8"/>
      <c r="N451" s="8" t="str">
        <f aca="true">IF(M451="","Active (per Notice 1)",IF(M451&lt;TODAY(),"Expired",IF(M451&lt;TODAY()+180,"Expiring Soon","Active")))</f>
        <v>Active (per Notice 1)</v>
      </c>
      <c r="O451" s="10" t="s">
        <v>295</v>
      </c>
      <c r="P451" s="8" t="s">
        <v>296</v>
      </c>
      <c r="Q451" s="8" t="n">
        <v>3.63</v>
      </c>
      <c r="R451" s="8" t="n">
        <v>3</v>
      </c>
      <c r="S451" s="11" t="n">
        <v>43901</v>
      </c>
      <c r="T451" s="8" t="str">
        <f aca="true">IF(S451="","",IF(EDATE(S451,60)&lt;TODAY(),"Expired",IF(EDATE(S451,60)&lt;TODAY()+180,"Expiring Soon","Valid")))</f>
        <v>Expired</v>
      </c>
      <c r="U451" s="8" t="str">
        <f aca="false">IF(P451="","",IF(P451="A++","Top Tier",IF(P451="A+","High",IF(P451="A","Strong",IF(LEFT(P451,1)="B","Acceptable",IF(LEFT(P451,1)="C","Below Avg","-"))))))</f>
        <v>Top Tier</v>
      </c>
      <c r="AC451" s="8"/>
      <c r="AD451" s="8" t="n">
        <v>66</v>
      </c>
      <c r="AE451" s="8"/>
      <c r="AF451" s="8" t="n">
        <v>71</v>
      </c>
      <c r="AG451" s="8"/>
      <c r="AH451" s="8" t="n">
        <v>22</v>
      </c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</row>
    <row r="452" customFormat="false" ht="15" hidden="false" customHeight="true" outlineLevel="0" collapsed="false">
      <c r="A452" s="8" t="n">
        <v>451</v>
      </c>
      <c r="B452" s="8" t="n">
        <v>68</v>
      </c>
      <c r="C452" s="8" t="s">
        <v>543</v>
      </c>
      <c r="D452" s="8" t="s">
        <v>315</v>
      </c>
      <c r="E452" s="9" t="s">
        <v>548</v>
      </c>
      <c r="F452" s="9" t="s">
        <v>312</v>
      </c>
      <c r="G452" s="8" t="s">
        <v>301</v>
      </c>
      <c r="H452" s="8" t="s">
        <v>302</v>
      </c>
      <c r="I452" s="8" t="s">
        <v>291</v>
      </c>
      <c r="J452" s="8" t="s">
        <v>292</v>
      </c>
      <c r="K452" s="8" t="s">
        <v>293</v>
      </c>
      <c r="L452" s="9" t="s">
        <v>294</v>
      </c>
      <c r="M452" s="8"/>
      <c r="N452" s="8" t="str">
        <f aca="true">IF(M452="","Active (per Notice 1)",IF(M452&lt;TODAY(),"Expired",IF(M452&lt;TODAY()+180,"Expiring Soon","Active")))</f>
        <v>Active (per Notice 1)</v>
      </c>
      <c r="O452" s="10" t="s">
        <v>295</v>
      </c>
      <c r="P452" s="8" t="s">
        <v>296</v>
      </c>
      <c r="Q452" s="8" t="n">
        <v>3.63</v>
      </c>
      <c r="R452" s="8" t="n">
        <v>3</v>
      </c>
      <c r="S452" s="11" t="n">
        <v>43901</v>
      </c>
      <c r="T452" s="8" t="str">
        <f aca="true">IF(S452="","",IF(EDATE(S452,60)&lt;TODAY(),"Expired",IF(EDATE(S452,60)&lt;TODAY()+180,"Expiring Soon","Valid")))</f>
        <v>Expired</v>
      </c>
      <c r="U452" s="8" t="str">
        <f aca="false">IF(P452="","",IF(P452="A++","Top Tier",IF(P452="A+","High",IF(P452="A","Strong",IF(LEFT(P452,1)="B","Acceptable",IF(LEFT(P452,1)="C","Below Avg","-"))))))</f>
        <v>Top Tier</v>
      </c>
      <c r="AC452" s="8"/>
      <c r="AD452" s="8" t="n">
        <v>66</v>
      </c>
      <c r="AE452" s="8"/>
      <c r="AF452" s="8" t="n">
        <v>71</v>
      </c>
      <c r="AG452" s="8"/>
      <c r="AH452" s="8" t="n">
        <v>22</v>
      </c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</row>
    <row r="453" customFormat="false" ht="15" hidden="false" customHeight="true" outlineLevel="0" collapsed="false">
      <c r="A453" s="8" t="n">
        <v>452</v>
      </c>
      <c r="B453" s="8" t="n">
        <v>68</v>
      </c>
      <c r="C453" s="8" t="s">
        <v>543</v>
      </c>
      <c r="D453" s="8" t="s">
        <v>315</v>
      </c>
      <c r="E453" s="9" t="s">
        <v>548</v>
      </c>
      <c r="F453" s="9" t="s">
        <v>347</v>
      </c>
      <c r="G453" s="8" t="s">
        <v>301</v>
      </c>
      <c r="H453" s="8" t="s">
        <v>302</v>
      </c>
      <c r="I453" s="8" t="s">
        <v>291</v>
      </c>
      <c r="J453" s="8" t="s">
        <v>292</v>
      </c>
      <c r="K453" s="8" t="s">
        <v>293</v>
      </c>
      <c r="L453" s="9" t="s">
        <v>294</v>
      </c>
      <c r="M453" s="8"/>
      <c r="N453" s="8" t="str">
        <f aca="true">IF(M453="","Active (per Notice 1)",IF(M453&lt;TODAY(),"Expired",IF(M453&lt;TODAY()+180,"Expiring Soon","Active")))</f>
        <v>Active (per Notice 1)</v>
      </c>
      <c r="O453" s="10" t="s">
        <v>295</v>
      </c>
      <c r="P453" s="8" t="s">
        <v>296</v>
      </c>
      <c r="Q453" s="8" t="n">
        <v>3.63</v>
      </c>
      <c r="R453" s="8" t="n">
        <v>3</v>
      </c>
      <c r="S453" s="11" t="n">
        <v>43901</v>
      </c>
      <c r="T453" s="8" t="str">
        <f aca="true">IF(S453="","",IF(EDATE(S453,60)&lt;TODAY(),"Expired",IF(EDATE(S453,60)&lt;TODAY()+180,"Expiring Soon","Valid")))</f>
        <v>Expired</v>
      </c>
      <c r="U453" s="8" t="str">
        <f aca="false">IF(P453="","",IF(P453="A++","Top Tier",IF(P453="A+","High",IF(P453="A","Strong",IF(LEFT(P453,1)="B","Acceptable",IF(LEFT(P453,1)="C","Below Avg","-"))))))</f>
        <v>Top Tier</v>
      </c>
      <c r="AC453" s="8"/>
      <c r="AD453" s="8" t="n">
        <v>66</v>
      </c>
      <c r="AE453" s="8"/>
      <c r="AF453" s="8" t="n">
        <v>71</v>
      </c>
      <c r="AG453" s="8"/>
      <c r="AH453" s="8" t="n">
        <v>22</v>
      </c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</row>
    <row r="454" customFormat="false" ht="15" hidden="false" customHeight="true" outlineLevel="0" collapsed="false">
      <c r="A454" s="8" t="n">
        <v>453</v>
      </c>
      <c r="B454" s="8" t="n">
        <v>68</v>
      </c>
      <c r="C454" s="8" t="s">
        <v>543</v>
      </c>
      <c r="D454" s="8" t="s">
        <v>315</v>
      </c>
      <c r="E454" s="9" t="s">
        <v>548</v>
      </c>
      <c r="F454" s="9" t="s">
        <v>310</v>
      </c>
      <c r="G454" s="8" t="s">
        <v>301</v>
      </c>
      <c r="H454" s="8" t="s">
        <v>302</v>
      </c>
      <c r="I454" s="8" t="s">
        <v>291</v>
      </c>
      <c r="J454" s="8" t="s">
        <v>292</v>
      </c>
      <c r="K454" s="8" t="s">
        <v>293</v>
      </c>
      <c r="L454" s="9" t="s">
        <v>294</v>
      </c>
      <c r="M454" s="8"/>
      <c r="N454" s="8" t="str">
        <f aca="true">IF(M454="","Active (per Notice 1)",IF(M454&lt;TODAY(),"Expired",IF(M454&lt;TODAY()+180,"Expiring Soon","Active")))</f>
        <v>Active (per Notice 1)</v>
      </c>
      <c r="O454" s="10" t="s">
        <v>295</v>
      </c>
      <c r="P454" s="8" t="s">
        <v>296</v>
      </c>
      <c r="Q454" s="8" t="n">
        <v>3.63</v>
      </c>
      <c r="R454" s="8" t="n">
        <v>3</v>
      </c>
      <c r="S454" s="11" t="n">
        <v>43901</v>
      </c>
      <c r="T454" s="8" t="str">
        <f aca="true">IF(S454="","",IF(EDATE(S454,60)&lt;TODAY(),"Expired",IF(EDATE(S454,60)&lt;TODAY()+180,"Expiring Soon","Valid")))</f>
        <v>Expired</v>
      </c>
      <c r="U454" s="8" t="str">
        <f aca="false">IF(P454="","",IF(P454="A++","Top Tier",IF(P454="A+","High",IF(P454="A","Strong",IF(LEFT(P454,1)="B","Acceptable",IF(LEFT(P454,1)="C","Below Avg","-"))))))</f>
        <v>Top Tier</v>
      </c>
      <c r="AC454" s="8"/>
      <c r="AD454" s="8" t="n">
        <v>66</v>
      </c>
      <c r="AE454" s="8"/>
      <c r="AF454" s="8" t="n">
        <v>71</v>
      </c>
      <c r="AG454" s="8"/>
      <c r="AH454" s="8" t="n">
        <v>22</v>
      </c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</row>
    <row r="455" customFormat="false" ht="15" hidden="false" customHeight="true" outlineLevel="0" collapsed="false">
      <c r="A455" s="8" t="n">
        <v>454</v>
      </c>
      <c r="B455" s="8" t="n">
        <v>68</v>
      </c>
      <c r="C455" s="8" t="s">
        <v>543</v>
      </c>
      <c r="D455" s="8" t="s">
        <v>315</v>
      </c>
      <c r="E455" s="9" t="s">
        <v>548</v>
      </c>
      <c r="F455" s="9" t="s">
        <v>303</v>
      </c>
      <c r="G455" s="8" t="s">
        <v>304</v>
      </c>
      <c r="H455" s="8" t="s">
        <v>302</v>
      </c>
      <c r="I455" s="8" t="s">
        <v>291</v>
      </c>
      <c r="J455" s="8" t="s">
        <v>292</v>
      </c>
      <c r="K455" s="8" t="s">
        <v>293</v>
      </c>
      <c r="L455" s="9" t="s">
        <v>294</v>
      </c>
      <c r="M455" s="8"/>
      <c r="N455" s="8" t="str">
        <f aca="true">IF(M455="","Active (per Notice 1)",IF(M455&lt;TODAY(),"Expired",IF(M455&lt;TODAY()+180,"Expiring Soon","Active")))</f>
        <v>Active (per Notice 1)</v>
      </c>
      <c r="O455" s="13" t="s">
        <v>292</v>
      </c>
      <c r="P455" s="8" t="s">
        <v>296</v>
      </c>
      <c r="Q455" s="8" t="n">
        <v>3.63</v>
      </c>
      <c r="R455" s="8" t="n">
        <v>3</v>
      </c>
      <c r="S455" s="11" t="n">
        <v>43901</v>
      </c>
      <c r="T455" s="8" t="str">
        <f aca="true">IF(S455="","",IF(EDATE(S455,60)&lt;TODAY(),"Expired",IF(EDATE(S455,60)&lt;TODAY()+180,"Expiring Soon","Valid")))</f>
        <v>Expired</v>
      </c>
      <c r="U455" s="8" t="str">
        <f aca="false">IF(P455="","",IF(P455="A++","Top Tier",IF(P455="A+","High",IF(P455="A","Strong",IF(LEFT(P455,1)="B","Acceptable",IF(LEFT(P455,1)="C","Below Avg","-"))))))</f>
        <v>Top Tier</v>
      </c>
      <c r="AC455" s="8"/>
      <c r="AD455" s="8" t="n">
        <v>66</v>
      </c>
      <c r="AE455" s="8"/>
      <c r="AF455" s="8" t="n">
        <v>71</v>
      </c>
      <c r="AG455" s="8"/>
      <c r="AH455" s="8" t="n">
        <v>22</v>
      </c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</row>
    <row r="456" customFormat="false" ht="15" hidden="false" customHeight="true" outlineLevel="0" collapsed="false">
      <c r="A456" s="8" t="n">
        <v>455</v>
      </c>
      <c r="B456" s="8" t="n">
        <v>68</v>
      </c>
      <c r="C456" s="8" t="s">
        <v>543</v>
      </c>
      <c r="D456" s="8" t="s">
        <v>315</v>
      </c>
      <c r="E456" s="9" t="s">
        <v>548</v>
      </c>
      <c r="F456" s="9" t="s">
        <v>300</v>
      </c>
      <c r="G456" s="8" t="s">
        <v>301</v>
      </c>
      <c r="H456" s="8" t="s">
        <v>302</v>
      </c>
      <c r="I456" s="8" t="s">
        <v>291</v>
      </c>
      <c r="J456" s="8" t="s">
        <v>292</v>
      </c>
      <c r="K456" s="8" t="s">
        <v>293</v>
      </c>
      <c r="L456" s="9" t="s">
        <v>294</v>
      </c>
      <c r="M456" s="8"/>
      <c r="N456" s="8" t="str">
        <f aca="true">IF(M456="","Active (per Notice 1)",IF(M456&lt;TODAY(),"Expired",IF(M456&lt;TODAY()+180,"Expiring Soon","Active")))</f>
        <v>Active (per Notice 1)</v>
      </c>
      <c r="O456" s="10" t="s">
        <v>295</v>
      </c>
      <c r="P456" s="8" t="s">
        <v>296</v>
      </c>
      <c r="Q456" s="8" t="n">
        <v>3.63</v>
      </c>
      <c r="R456" s="8" t="n">
        <v>3</v>
      </c>
      <c r="S456" s="11" t="n">
        <v>43901</v>
      </c>
      <c r="T456" s="8" t="str">
        <f aca="true">IF(S456="","",IF(EDATE(S456,60)&lt;TODAY(),"Expired",IF(EDATE(S456,60)&lt;TODAY()+180,"Expiring Soon","Valid")))</f>
        <v>Expired</v>
      </c>
      <c r="U456" s="8" t="str">
        <f aca="false">IF(P456="","",IF(P456="A++","Top Tier",IF(P456="A+","High",IF(P456="A","Strong",IF(LEFT(P456,1)="B","Acceptable",IF(LEFT(P456,1)="C","Below Avg","-"))))))</f>
        <v>Top Tier</v>
      </c>
      <c r="AC456" s="8"/>
      <c r="AD456" s="8" t="n">
        <v>66</v>
      </c>
      <c r="AE456" s="8"/>
      <c r="AF456" s="8" t="n">
        <v>71</v>
      </c>
      <c r="AG456" s="8"/>
      <c r="AH456" s="8" t="n">
        <v>22</v>
      </c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</row>
    <row r="457" customFormat="false" ht="15" hidden="false" customHeight="true" outlineLevel="0" collapsed="false">
      <c r="A457" s="8" t="n">
        <v>456</v>
      </c>
      <c r="B457" s="8" t="n">
        <v>68</v>
      </c>
      <c r="C457" s="8" t="s">
        <v>543</v>
      </c>
      <c r="D457" s="8" t="s">
        <v>315</v>
      </c>
      <c r="E457" s="9" t="s">
        <v>548</v>
      </c>
      <c r="F457" s="9" t="s">
        <v>311</v>
      </c>
      <c r="G457" s="8" t="s">
        <v>301</v>
      </c>
      <c r="H457" s="8" t="s">
        <v>302</v>
      </c>
      <c r="I457" s="8" t="s">
        <v>291</v>
      </c>
      <c r="J457" s="8" t="s">
        <v>292</v>
      </c>
      <c r="K457" s="8" t="s">
        <v>293</v>
      </c>
      <c r="L457" s="9" t="s">
        <v>294</v>
      </c>
      <c r="M457" s="8"/>
      <c r="N457" s="8" t="str">
        <f aca="true">IF(M457="","Active (per Notice 1)",IF(M457&lt;TODAY(),"Expired",IF(M457&lt;TODAY()+180,"Expiring Soon","Active")))</f>
        <v>Active (per Notice 1)</v>
      </c>
      <c r="O457" s="10" t="s">
        <v>295</v>
      </c>
      <c r="P457" s="8" t="s">
        <v>296</v>
      </c>
      <c r="Q457" s="8" t="n">
        <v>3.63</v>
      </c>
      <c r="R457" s="8" t="n">
        <v>3</v>
      </c>
      <c r="S457" s="11" t="n">
        <v>43901</v>
      </c>
      <c r="T457" s="8" t="str">
        <f aca="true">IF(S457="","",IF(EDATE(S457,60)&lt;TODAY(),"Expired",IF(EDATE(S457,60)&lt;TODAY()+180,"Expiring Soon","Valid")))</f>
        <v>Expired</v>
      </c>
      <c r="U457" s="8" t="str">
        <f aca="false">IF(P457="","",IF(P457="A++","Top Tier",IF(P457="A+","High",IF(P457="A","Strong",IF(LEFT(P457,1)="B","Acceptable",IF(LEFT(P457,1)="C","Below Avg","-"))))))</f>
        <v>Top Tier</v>
      </c>
      <c r="AC457" s="8"/>
      <c r="AD457" s="8" t="n">
        <v>66</v>
      </c>
      <c r="AE457" s="8"/>
      <c r="AF457" s="8" t="n">
        <v>71</v>
      </c>
      <c r="AG457" s="8"/>
      <c r="AH457" s="8" t="n">
        <v>22</v>
      </c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</row>
    <row r="458" customFormat="false" ht="15" hidden="false" customHeight="true" outlineLevel="0" collapsed="false">
      <c r="A458" s="8" t="n">
        <v>457</v>
      </c>
      <c r="B458" s="8" t="n">
        <v>69</v>
      </c>
      <c r="C458" s="8" t="s">
        <v>543</v>
      </c>
      <c r="D458" s="8" t="s">
        <v>333</v>
      </c>
      <c r="E458" s="9" t="s">
        <v>549</v>
      </c>
      <c r="F458" s="9" t="s">
        <v>359</v>
      </c>
      <c r="G458" s="8" t="s">
        <v>289</v>
      </c>
      <c r="H458" s="8" t="s">
        <v>290</v>
      </c>
      <c r="I458" s="8" t="s">
        <v>291</v>
      </c>
      <c r="J458" s="8" t="s">
        <v>292</v>
      </c>
      <c r="K458" s="8" t="s">
        <v>293</v>
      </c>
      <c r="L458" s="9" t="s">
        <v>294</v>
      </c>
      <c r="M458" s="8"/>
      <c r="N458" s="8" t="str">
        <f aca="true">IF(M458="","Active (per Notice 1)",IF(M458&lt;TODAY(),"Expired",IF(M458&lt;TODAY()+180,"Expiring Soon","Active")))</f>
        <v>Active (per Notice 1)</v>
      </c>
      <c r="O458" s="10" t="s">
        <v>295</v>
      </c>
      <c r="P458" s="8" t="s">
        <v>327</v>
      </c>
      <c r="Q458" s="8" t="n">
        <v>3.43</v>
      </c>
      <c r="R458" s="8" t="n">
        <v>1</v>
      </c>
      <c r="S458" s="11" t="n">
        <v>44726</v>
      </c>
      <c r="T458" s="8" t="str">
        <f aca="true">IF(S458="","",IF(EDATE(S458,60)&lt;TODAY(),"Expired",IF(EDATE(S458,60)&lt;TODAY()+180,"Expiring Soon","Valid")))</f>
        <v>Valid</v>
      </c>
      <c r="U458" s="8" t="str">
        <f aca="false">IF(P458="","",IF(P458="A++","Top Tier",IF(P458="A+","High",IF(P458="A","Strong",IF(LEFT(P458,1)="B","Acceptable",IF(LEFT(P458,1)="C","Below Avg","-"))))))</f>
        <v>High</v>
      </c>
      <c r="AT458" s="8"/>
      <c r="AU458" s="8"/>
    </row>
    <row r="459" customFormat="false" ht="15" hidden="false" customHeight="true" outlineLevel="0" collapsed="false">
      <c r="A459" s="8" t="n">
        <v>458</v>
      </c>
      <c r="B459" s="8" t="n">
        <v>69</v>
      </c>
      <c r="C459" s="8" t="s">
        <v>543</v>
      </c>
      <c r="D459" s="8" t="s">
        <v>333</v>
      </c>
      <c r="E459" s="9" t="s">
        <v>549</v>
      </c>
      <c r="F459" s="9" t="s">
        <v>358</v>
      </c>
      <c r="G459" s="8" t="s">
        <v>298</v>
      </c>
      <c r="H459" s="8" t="s">
        <v>290</v>
      </c>
      <c r="I459" s="8" t="s">
        <v>291</v>
      </c>
      <c r="J459" s="8" t="s">
        <v>292</v>
      </c>
      <c r="K459" s="8" t="s">
        <v>293</v>
      </c>
      <c r="L459" s="9" t="s">
        <v>294</v>
      </c>
      <c r="M459" s="8"/>
      <c r="N459" s="8" t="str">
        <f aca="true">IF(M459="","Active (per Notice 1)",IF(M459&lt;TODAY(),"Expired",IF(M459&lt;TODAY()+180,"Expiring Soon","Active")))</f>
        <v>Active (per Notice 1)</v>
      </c>
      <c r="O459" s="10" t="s">
        <v>295</v>
      </c>
      <c r="P459" s="8" t="s">
        <v>327</v>
      </c>
      <c r="Q459" s="8" t="n">
        <v>3.43</v>
      </c>
      <c r="R459" s="8" t="n">
        <v>1</v>
      </c>
      <c r="S459" s="11" t="n">
        <v>44726</v>
      </c>
      <c r="T459" s="8" t="str">
        <f aca="true">IF(S459="","",IF(EDATE(S459,60)&lt;TODAY(),"Expired",IF(EDATE(S459,60)&lt;TODAY()+180,"Expiring Soon","Valid")))</f>
        <v>Valid</v>
      </c>
      <c r="U459" s="8" t="str">
        <f aca="false">IF(P459="","",IF(P459="A++","Top Tier",IF(P459="A+","High",IF(P459="A","Strong",IF(LEFT(P459,1)="B","Acceptable",IF(LEFT(P459,1)="C","Below Avg","-"))))))</f>
        <v>High</v>
      </c>
      <c r="AT459" s="8"/>
      <c r="AU459" s="8"/>
    </row>
    <row r="460" customFormat="false" ht="15" hidden="false" customHeight="true" outlineLevel="0" collapsed="false">
      <c r="A460" s="8" t="n">
        <v>459</v>
      </c>
      <c r="B460" s="8" t="n">
        <v>69</v>
      </c>
      <c r="C460" s="8" t="s">
        <v>543</v>
      </c>
      <c r="D460" s="8" t="s">
        <v>333</v>
      </c>
      <c r="E460" s="9" t="s">
        <v>549</v>
      </c>
      <c r="F460" s="9" t="s">
        <v>319</v>
      </c>
      <c r="G460" s="8" t="s">
        <v>320</v>
      </c>
      <c r="H460" s="8" t="s">
        <v>290</v>
      </c>
      <c r="I460" s="8" t="s">
        <v>291</v>
      </c>
      <c r="J460" s="8" t="s">
        <v>292</v>
      </c>
      <c r="K460" s="8" t="s">
        <v>293</v>
      </c>
      <c r="L460" s="9" t="s">
        <v>294</v>
      </c>
      <c r="M460" s="8"/>
      <c r="N460" s="8" t="str">
        <f aca="true">IF(M460="","Active (per Notice 1)",IF(M460&lt;TODAY(),"Expired",IF(M460&lt;TODAY()+180,"Expiring Soon","Active")))</f>
        <v>Active (per Notice 1)</v>
      </c>
      <c r="O460" s="12" t="s">
        <v>305</v>
      </c>
      <c r="P460" s="8" t="s">
        <v>327</v>
      </c>
      <c r="Q460" s="8" t="n">
        <v>3.43</v>
      </c>
      <c r="R460" s="8" t="n">
        <v>1</v>
      </c>
      <c r="S460" s="11" t="n">
        <v>44726</v>
      </c>
      <c r="T460" s="8" t="str">
        <f aca="true">IF(S460="","",IF(EDATE(S460,60)&lt;TODAY(),"Expired",IF(EDATE(S460,60)&lt;TODAY()+180,"Expiring Soon","Valid")))</f>
        <v>Valid</v>
      </c>
      <c r="U460" s="8" t="str">
        <f aca="false">IF(P460="","",IF(P460="A++","Top Tier",IF(P460="A+","High",IF(P460="A","Strong",IF(LEFT(P460,1)="B","Acceptable",IF(LEFT(P460,1)="C","Below Avg","-"))))))</f>
        <v>High</v>
      </c>
      <c r="AT460" s="8"/>
      <c r="AU460" s="8"/>
    </row>
    <row r="461" customFormat="false" ht="15" hidden="false" customHeight="true" outlineLevel="0" collapsed="false">
      <c r="A461" s="8" t="n">
        <v>460</v>
      </c>
      <c r="B461" s="8" t="n">
        <v>69</v>
      </c>
      <c r="C461" s="8" t="s">
        <v>543</v>
      </c>
      <c r="D461" s="8" t="s">
        <v>333</v>
      </c>
      <c r="E461" s="9" t="s">
        <v>549</v>
      </c>
      <c r="F461" s="9" t="s">
        <v>364</v>
      </c>
      <c r="G461" s="8" t="s">
        <v>309</v>
      </c>
      <c r="H461" s="8" t="s">
        <v>302</v>
      </c>
      <c r="I461" s="8" t="s">
        <v>291</v>
      </c>
      <c r="J461" s="8" t="s">
        <v>292</v>
      </c>
      <c r="K461" s="8" t="s">
        <v>293</v>
      </c>
      <c r="L461" s="9" t="s">
        <v>294</v>
      </c>
      <c r="M461" s="8"/>
      <c r="N461" s="8" t="str">
        <f aca="true">IF(M461="","Active (per Notice 1)",IF(M461&lt;TODAY(),"Expired",IF(M461&lt;TODAY()+180,"Expiring Soon","Active")))</f>
        <v>Active (per Notice 1)</v>
      </c>
      <c r="O461" s="10" t="s">
        <v>295</v>
      </c>
      <c r="P461" s="8" t="s">
        <v>327</v>
      </c>
      <c r="Q461" s="8" t="n">
        <v>3.43</v>
      </c>
      <c r="R461" s="8" t="n">
        <v>1</v>
      </c>
      <c r="S461" s="11" t="n">
        <v>44726</v>
      </c>
      <c r="T461" s="8" t="str">
        <f aca="true">IF(S461="","",IF(EDATE(S461,60)&lt;TODAY(),"Expired",IF(EDATE(S461,60)&lt;TODAY()+180,"Expiring Soon","Valid")))</f>
        <v>Valid</v>
      </c>
      <c r="U461" s="8" t="str">
        <f aca="false">IF(P461="","",IF(P461="A++","Top Tier",IF(P461="A+","High",IF(P461="A","Strong",IF(LEFT(P461,1)="B","Acceptable",IF(LEFT(P461,1)="C","Below Avg","-"))))))</f>
        <v>High</v>
      </c>
      <c r="AT461" s="8"/>
      <c r="AU461" s="8"/>
    </row>
    <row r="462" customFormat="false" ht="15" hidden="false" customHeight="true" outlineLevel="0" collapsed="false">
      <c r="A462" s="8" t="n">
        <v>461</v>
      </c>
      <c r="B462" s="8" t="n">
        <v>69</v>
      </c>
      <c r="C462" s="8" t="s">
        <v>543</v>
      </c>
      <c r="D462" s="8" t="s">
        <v>333</v>
      </c>
      <c r="E462" s="9" t="s">
        <v>549</v>
      </c>
      <c r="F462" s="9" t="s">
        <v>550</v>
      </c>
      <c r="G462" s="8" t="s">
        <v>301</v>
      </c>
      <c r="H462" s="8" t="s">
        <v>302</v>
      </c>
      <c r="I462" s="8" t="s">
        <v>291</v>
      </c>
      <c r="J462" s="8" t="s">
        <v>292</v>
      </c>
      <c r="K462" s="8" t="s">
        <v>293</v>
      </c>
      <c r="L462" s="9" t="s">
        <v>294</v>
      </c>
      <c r="M462" s="8"/>
      <c r="N462" s="8" t="str">
        <f aca="true">IF(M462="","Active (per Notice 1)",IF(M462&lt;TODAY(),"Expired",IF(M462&lt;TODAY()+180,"Expiring Soon","Active")))</f>
        <v>Active (per Notice 1)</v>
      </c>
      <c r="O462" s="10" t="s">
        <v>295</v>
      </c>
      <c r="P462" s="8" t="s">
        <v>327</v>
      </c>
      <c r="Q462" s="8" t="n">
        <v>3.43</v>
      </c>
      <c r="R462" s="8" t="n">
        <v>1</v>
      </c>
      <c r="S462" s="11" t="n">
        <v>44726</v>
      </c>
      <c r="T462" s="8" t="str">
        <f aca="true">IF(S462="","",IF(EDATE(S462,60)&lt;TODAY(),"Expired",IF(EDATE(S462,60)&lt;TODAY()+180,"Expiring Soon","Valid")))</f>
        <v>Valid</v>
      </c>
      <c r="U462" s="8" t="str">
        <f aca="false">IF(P462="","",IF(P462="A++","Top Tier",IF(P462="A+","High",IF(P462="A","Strong",IF(LEFT(P462,1)="B","Acceptable",IF(LEFT(P462,1)="C","Below Avg","-"))))))</f>
        <v>High</v>
      </c>
      <c r="AT462" s="8"/>
      <c r="AU462" s="8"/>
    </row>
    <row r="463" customFormat="false" ht="15" hidden="false" customHeight="true" outlineLevel="0" collapsed="false">
      <c r="A463" s="8" t="n">
        <v>462</v>
      </c>
      <c r="B463" s="8" t="n">
        <v>69</v>
      </c>
      <c r="C463" s="8" t="s">
        <v>543</v>
      </c>
      <c r="D463" s="8" t="s">
        <v>333</v>
      </c>
      <c r="E463" s="9" t="s">
        <v>549</v>
      </c>
      <c r="F463" s="9" t="s">
        <v>303</v>
      </c>
      <c r="G463" s="8" t="s">
        <v>304</v>
      </c>
      <c r="H463" s="8" t="s">
        <v>302</v>
      </c>
      <c r="I463" s="8" t="s">
        <v>291</v>
      </c>
      <c r="J463" s="8" t="s">
        <v>292</v>
      </c>
      <c r="K463" s="8" t="s">
        <v>293</v>
      </c>
      <c r="L463" s="9" t="s">
        <v>294</v>
      </c>
      <c r="M463" s="8"/>
      <c r="N463" s="8" t="str">
        <f aca="true">IF(M463="","Active (per Notice 1)",IF(M463&lt;TODAY(),"Expired",IF(M463&lt;TODAY()+180,"Expiring Soon","Active")))</f>
        <v>Active (per Notice 1)</v>
      </c>
      <c r="O463" s="12" t="s">
        <v>305</v>
      </c>
      <c r="P463" s="8" t="s">
        <v>327</v>
      </c>
      <c r="Q463" s="8" t="n">
        <v>3.43</v>
      </c>
      <c r="R463" s="8" t="n">
        <v>1</v>
      </c>
      <c r="S463" s="11" t="n">
        <v>44726</v>
      </c>
      <c r="T463" s="8" t="str">
        <f aca="true">IF(S463="","",IF(EDATE(S463,60)&lt;TODAY(),"Expired",IF(EDATE(S463,60)&lt;TODAY()+180,"Expiring Soon","Valid")))</f>
        <v>Valid</v>
      </c>
      <c r="U463" s="8" t="str">
        <f aca="false">IF(P463="","",IF(P463="A++","Top Tier",IF(P463="A+","High",IF(P463="A","Strong",IF(LEFT(P463,1)="B","Acceptable",IF(LEFT(P463,1)="C","Below Avg","-"))))))</f>
        <v>High</v>
      </c>
      <c r="AT463" s="8"/>
      <c r="AU463" s="8"/>
    </row>
    <row r="464" customFormat="false" ht="15" hidden="false" customHeight="true" outlineLevel="0" collapsed="false">
      <c r="A464" s="8" t="n">
        <v>463</v>
      </c>
      <c r="B464" s="8" t="n">
        <v>69</v>
      </c>
      <c r="C464" s="8" t="s">
        <v>543</v>
      </c>
      <c r="D464" s="8" t="s">
        <v>333</v>
      </c>
      <c r="E464" s="9" t="s">
        <v>549</v>
      </c>
      <c r="F464" s="9" t="s">
        <v>306</v>
      </c>
      <c r="G464" s="8" t="s">
        <v>307</v>
      </c>
      <c r="H464" s="8" t="s">
        <v>302</v>
      </c>
      <c r="I464" s="8" t="s">
        <v>291</v>
      </c>
      <c r="J464" s="8" t="s">
        <v>292</v>
      </c>
      <c r="K464" s="8" t="s">
        <v>293</v>
      </c>
      <c r="L464" s="9" t="s">
        <v>294</v>
      </c>
      <c r="M464" s="8"/>
      <c r="N464" s="8" t="str">
        <f aca="true">IF(M464="","Active (per Notice 1)",IF(M464&lt;TODAY(),"Expired",IF(M464&lt;TODAY()+180,"Expiring Soon","Active")))</f>
        <v>Active (per Notice 1)</v>
      </c>
      <c r="O464" s="12" t="s">
        <v>305</v>
      </c>
      <c r="P464" s="8" t="s">
        <v>327</v>
      </c>
      <c r="Q464" s="8" t="n">
        <v>3.43</v>
      </c>
      <c r="R464" s="8" t="n">
        <v>1</v>
      </c>
      <c r="S464" s="11" t="n">
        <v>44726</v>
      </c>
      <c r="T464" s="8" t="str">
        <f aca="true">IF(S464="","",IF(EDATE(S464,60)&lt;TODAY(),"Expired",IF(EDATE(S464,60)&lt;TODAY()+180,"Expiring Soon","Valid")))</f>
        <v>Valid</v>
      </c>
      <c r="U464" s="8" t="str">
        <f aca="false">IF(P464="","",IF(P464="A++","Top Tier",IF(P464="A+","High",IF(P464="A","Strong",IF(LEFT(P464,1)="B","Acceptable",IF(LEFT(P464,1)="C","Below Avg","-"))))))</f>
        <v>High</v>
      </c>
      <c r="AT464" s="8"/>
      <c r="AU464" s="8"/>
    </row>
    <row r="465" customFormat="false" ht="15" hidden="false" customHeight="true" outlineLevel="0" collapsed="false">
      <c r="A465" s="8" t="n">
        <v>464</v>
      </c>
      <c r="B465" s="8" t="n">
        <v>70</v>
      </c>
      <c r="C465" s="8" t="s">
        <v>543</v>
      </c>
      <c r="D465" s="8" t="s">
        <v>333</v>
      </c>
      <c r="E465" s="9" t="s">
        <v>551</v>
      </c>
      <c r="F465" s="9" t="s">
        <v>340</v>
      </c>
      <c r="G465" s="8" t="s">
        <v>289</v>
      </c>
      <c r="H465" s="8" t="s">
        <v>290</v>
      </c>
      <c r="I465" s="8" t="s">
        <v>291</v>
      </c>
      <c r="J465" s="8" t="s">
        <v>292</v>
      </c>
      <c r="K465" s="8" t="s">
        <v>293</v>
      </c>
      <c r="L465" s="9" t="s">
        <v>294</v>
      </c>
      <c r="M465" s="8"/>
      <c r="N465" s="8" t="str">
        <f aca="true">IF(M465="","Active (per Notice 1)",IF(M465&lt;TODAY(),"Expired",IF(M465&lt;TODAY()+180,"Expiring Soon","Active")))</f>
        <v>Active (per Notice 1)</v>
      </c>
      <c r="O465" s="10" t="s">
        <v>295</v>
      </c>
      <c r="P465" s="8" t="s">
        <v>327</v>
      </c>
      <c r="Q465" s="8" t="n">
        <v>3.31</v>
      </c>
      <c r="R465" s="8" t="n">
        <v>2</v>
      </c>
      <c r="S465" s="11" t="n">
        <v>45191</v>
      </c>
      <c r="T465" s="8" t="str">
        <f aca="true">IF(S465="","",IF(EDATE(S465,60)&lt;TODAY(),"Expired",IF(EDATE(S465,60)&lt;TODAY()+180,"Expiring Soon","Valid")))</f>
        <v>Valid</v>
      </c>
      <c r="U465" s="8" t="str">
        <f aca="false">IF(P465="","",IF(P465="A++","Top Tier",IF(P465="A+","High",IF(P465="A","Strong",IF(LEFT(P465,1)="B","Acceptable",IF(LEFT(P465,1)="C","Below Avg","-"))))))</f>
        <v>High</v>
      </c>
      <c r="AT465" s="8"/>
      <c r="AU465" s="8"/>
    </row>
    <row r="466" customFormat="false" ht="15" hidden="false" customHeight="true" outlineLevel="0" collapsed="false">
      <c r="A466" s="8" t="n">
        <v>465</v>
      </c>
      <c r="B466" s="8" t="n">
        <v>70</v>
      </c>
      <c r="C466" s="8" t="s">
        <v>543</v>
      </c>
      <c r="D466" s="8" t="s">
        <v>333</v>
      </c>
      <c r="E466" s="9" t="s">
        <v>551</v>
      </c>
      <c r="F466" s="9" t="s">
        <v>317</v>
      </c>
      <c r="G466" s="8" t="s">
        <v>318</v>
      </c>
      <c r="H466" s="8" t="s">
        <v>290</v>
      </c>
      <c r="I466" s="8" t="s">
        <v>291</v>
      </c>
      <c r="J466" s="8" t="s">
        <v>292</v>
      </c>
      <c r="K466" s="8" t="s">
        <v>293</v>
      </c>
      <c r="L466" s="9" t="s">
        <v>294</v>
      </c>
      <c r="M466" s="8"/>
      <c r="N466" s="8" t="str">
        <f aca="true">IF(M466="","Active (per Notice 1)",IF(M466&lt;TODAY(),"Expired",IF(M466&lt;TODAY()+180,"Expiring Soon","Active")))</f>
        <v>Active (per Notice 1)</v>
      </c>
      <c r="O466" s="12" t="s">
        <v>305</v>
      </c>
      <c r="P466" s="8" t="s">
        <v>327</v>
      </c>
      <c r="Q466" s="8" t="n">
        <v>3.31</v>
      </c>
      <c r="R466" s="8" t="n">
        <v>2</v>
      </c>
      <c r="S466" s="11" t="n">
        <v>45191</v>
      </c>
      <c r="T466" s="8" t="str">
        <f aca="true">IF(S466="","",IF(EDATE(S466,60)&lt;TODAY(),"Expired",IF(EDATE(S466,60)&lt;TODAY()+180,"Expiring Soon","Valid")))</f>
        <v>Valid</v>
      </c>
      <c r="U466" s="8" t="str">
        <f aca="false">IF(P466="","",IF(P466="A++","Top Tier",IF(P466="A+","High",IF(P466="A","Strong",IF(LEFT(P466,1)="B","Acceptable",IF(LEFT(P466,1)="C","Below Avg","-"))))))</f>
        <v>High</v>
      </c>
      <c r="AT466" s="8"/>
      <c r="AU466" s="8"/>
    </row>
    <row r="467" customFormat="false" ht="15" hidden="false" customHeight="true" outlineLevel="0" collapsed="false">
      <c r="A467" s="8" t="n">
        <v>466</v>
      </c>
      <c r="B467" s="8" t="n">
        <v>70</v>
      </c>
      <c r="C467" s="8" t="s">
        <v>543</v>
      </c>
      <c r="D467" s="8" t="s">
        <v>333</v>
      </c>
      <c r="E467" s="9" t="s">
        <v>551</v>
      </c>
      <c r="F467" s="9" t="s">
        <v>538</v>
      </c>
      <c r="G467" s="8" t="s">
        <v>320</v>
      </c>
      <c r="H467" s="8" t="s">
        <v>290</v>
      </c>
      <c r="I467" s="8" t="s">
        <v>291</v>
      </c>
      <c r="J467" s="8" t="s">
        <v>292</v>
      </c>
      <c r="K467" s="8" t="s">
        <v>293</v>
      </c>
      <c r="L467" s="9" t="s">
        <v>294</v>
      </c>
      <c r="M467" s="8"/>
      <c r="N467" s="8" t="str">
        <f aca="true">IF(M467="","Active (per Notice 1)",IF(M467&lt;TODAY(),"Expired",IF(M467&lt;TODAY()+180,"Expiring Soon","Active")))</f>
        <v>Active (per Notice 1)</v>
      </c>
      <c r="O467" s="12" t="s">
        <v>305</v>
      </c>
      <c r="P467" s="8" t="s">
        <v>327</v>
      </c>
      <c r="Q467" s="8" t="n">
        <v>3.31</v>
      </c>
      <c r="R467" s="8" t="n">
        <v>2</v>
      </c>
      <c r="S467" s="11" t="n">
        <v>45191</v>
      </c>
      <c r="T467" s="8" t="str">
        <f aca="true">IF(S467="","",IF(EDATE(S467,60)&lt;TODAY(),"Expired",IF(EDATE(S467,60)&lt;TODAY()+180,"Expiring Soon","Valid")))</f>
        <v>Valid</v>
      </c>
      <c r="U467" s="8" t="str">
        <f aca="false">IF(P467="","",IF(P467="A++","Top Tier",IF(P467="A+","High",IF(P467="A","Strong",IF(LEFT(P467,1)="B","Acceptable",IF(LEFT(P467,1)="C","Below Avg","-"))))))</f>
        <v>High</v>
      </c>
      <c r="AT467" s="8"/>
      <c r="AU467" s="8"/>
    </row>
    <row r="468" customFormat="false" ht="15" hidden="false" customHeight="true" outlineLevel="0" collapsed="false">
      <c r="A468" s="8" t="n">
        <v>467</v>
      </c>
      <c r="B468" s="8" t="n">
        <v>70</v>
      </c>
      <c r="C468" s="8" t="s">
        <v>543</v>
      </c>
      <c r="D468" s="8" t="s">
        <v>333</v>
      </c>
      <c r="E468" s="9" t="s">
        <v>551</v>
      </c>
      <c r="F468" s="9" t="s">
        <v>385</v>
      </c>
      <c r="G468" s="8" t="s">
        <v>386</v>
      </c>
      <c r="H468" s="8" t="s">
        <v>302</v>
      </c>
      <c r="I468" s="8" t="s">
        <v>291</v>
      </c>
      <c r="J468" s="8" t="s">
        <v>292</v>
      </c>
      <c r="K468" s="8" t="s">
        <v>293</v>
      </c>
      <c r="L468" s="9" t="s">
        <v>294</v>
      </c>
      <c r="M468" s="8"/>
      <c r="N468" s="8" t="str">
        <f aca="true">IF(M468="","Active (per Notice 1)",IF(M468&lt;TODAY(),"Expired",IF(M468&lt;TODAY()+180,"Expiring Soon","Active")))</f>
        <v>Active (per Notice 1)</v>
      </c>
      <c r="O468" s="10" t="s">
        <v>295</v>
      </c>
      <c r="P468" s="8" t="s">
        <v>327</v>
      </c>
      <c r="Q468" s="8" t="n">
        <v>3.31</v>
      </c>
      <c r="R468" s="8" t="n">
        <v>2</v>
      </c>
      <c r="S468" s="11" t="n">
        <v>45191</v>
      </c>
      <c r="T468" s="8" t="str">
        <f aca="true">IF(S468="","",IF(EDATE(S468,60)&lt;TODAY(),"Expired",IF(EDATE(S468,60)&lt;TODAY()+180,"Expiring Soon","Valid")))</f>
        <v>Valid</v>
      </c>
      <c r="U468" s="8" t="str">
        <f aca="false">IF(P468="","",IF(P468="A++","Top Tier",IF(P468="A+","High",IF(P468="A","Strong",IF(LEFT(P468,1)="B","Acceptable",IF(LEFT(P468,1)="C","Below Avg","-"))))))</f>
        <v>High</v>
      </c>
      <c r="AT468" s="8"/>
      <c r="AU468" s="8"/>
    </row>
    <row r="469" customFormat="false" ht="15" hidden="false" customHeight="true" outlineLevel="0" collapsed="false">
      <c r="A469" s="8" t="n">
        <v>468</v>
      </c>
      <c r="B469" s="8" t="n">
        <v>70</v>
      </c>
      <c r="C469" s="8" t="s">
        <v>543</v>
      </c>
      <c r="D469" s="8" t="s">
        <v>333</v>
      </c>
      <c r="E469" s="9" t="s">
        <v>551</v>
      </c>
      <c r="F469" s="9" t="s">
        <v>314</v>
      </c>
      <c r="G469" s="8" t="s">
        <v>301</v>
      </c>
      <c r="H469" s="8" t="s">
        <v>302</v>
      </c>
      <c r="I469" s="8" t="s">
        <v>291</v>
      </c>
      <c r="J469" s="8" t="s">
        <v>292</v>
      </c>
      <c r="K469" s="8" t="s">
        <v>293</v>
      </c>
      <c r="L469" s="9" t="s">
        <v>294</v>
      </c>
      <c r="M469" s="8"/>
      <c r="N469" s="8" t="str">
        <f aca="true">IF(M469="","Active (per Notice 1)",IF(M469&lt;TODAY(),"Expired",IF(M469&lt;TODAY()+180,"Expiring Soon","Active")))</f>
        <v>Active (per Notice 1)</v>
      </c>
      <c r="O469" s="10" t="s">
        <v>295</v>
      </c>
      <c r="P469" s="8" t="s">
        <v>327</v>
      </c>
      <c r="Q469" s="8" t="n">
        <v>3.31</v>
      </c>
      <c r="R469" s="8" t="n">
        <v>2</v>
      </c>
      <c r="S469" s="11" t="n">
        <v>45191</v>
      </c>
      <c r="T469" s="8" t="str">
        <f aca="true">IF(S469="","",IF(EDATE(S469,60)&lt;TODAY(),"Expired",IF(EDATE(S469,60)&lt;TODAY()+180,"Expiring Soon","Valid")))</f>
        <v>Valid</v>
      </c>
      <c r="U469" s="8" t="str">
        <f aca="false">IF(P469="","",IF(P469="A++","Top Tier",IF(P469="A+","High",IF(P469="A","Strong",IF(LEFT(P469,1)="B","Acceptable",IF(LEFT(P469,1)="C","Below Avg","-"))))))</f>
        <v>High</v>
      </c>
      <c r="AT469" s="8"/>
      <c r="AU469" s="8"/>
    </row>
    <row r="470" customFormat="false" ht="15" hidden="false" customHeight="true" outlineLevel="0" collapsed="false">
      <c r="A470" s="8" t="n">
        <v>469</v>
      </c>
      <c r="B470" s="8" t="n">
        <v>70</v>
      </c>
      <c r="C470" s="8" t="s">
        <v>543</v>
      </c>
      <c r="D470" s="8" t="s">
        <v>333</v>
      </c>
      <c r="E470" s="9" t="s">
        <v>551</v>
      </c>
      <c r="F470" s="9" t="s">
        <v>312</v>
      </c>
      <c r="G470" s="8" t="s">
        <v>301</v>
      </c>
      <c r="H470" s="8" t="s">
        <v>302</v>
      </c>
      <c r="I470" s="8" t="s">
        <v>291</v>
      </c>
      <c r="J470" s="8" t="s">
        <v>292</v>
      </c>
      <c r="K470" s="8" t="s">
        <v>293</v>
      </c>
      <c r="L470" s="9" t="s">
        <v>294</v>
      </c>
      <c r="M470" s="8"/>
      <c r="N470" s="8" t="str">
        <f aca="true">IF(M470="","Active (per Notice 1)",IF(M470&lt;TODAY(),"Expired",IF(M470&lt;TODAY()+180,"Expiring Soon","Active")))</f>
        <v>Active (per Notice 1)</v>
      </c>
      <c r="O470" s="10" t="s">
        <v>295</v>
      </c>
      <c r="P470" s="8" t="s">
        <v>327</v>
      </c>
      <c r="Q470" s="8" t="n">
        <v>3.31</v>
      </c>
      <c r="R470" s="8" t="n">
        <v>2</v>
      </c>
      <c r="S470" s="11" t="n">
        <v>45191</v>
      </c>
      <c r="T470" s="8" t="str">
        <f aca="true">IF(S470="","",IF(EDATE(S470,60)&lt;TODAY(),"Expired",IF(EDATE(S470,60)&lt;TODAY()+180,"Expiring Soon","Valid")))</f>
        <v>Valid</v>
      </c>
      <c r="U470" s="8" t="str">
        <f aca="false">IF(P470="","",IF(P470="A++","Top Tier",IF(P470="A+","High",IF(P470="A","Strong",IF(LEFT(P470,1)="B","Acceptable",IF(LEFT(P470,1)="C","Below Avg","-"))))))</f>
        <v>High</v>
      </c>
      <c r="AT470" s="8"/>
      <c r="AU470" s="8"/>
    </row>
    <row r="471" customFormat="false" ht="15" hidden="false" customHeight="true" outlineLevel="0" collapsed="false">
      <c r="A471" s="8" t="n">
        <v>470</v>
      </c>
      <c r="B471" s="8" t="n">
        <v>70</v>
      </c>
      <c r="C471" s="8" t="s">
        <v>543</v>
      </c>
      <c r="D471" s="8" t="s">
        <v>333</v>
      </c>
      <c r="E471" s="9" t="s">
        <v>551</v>
      </c>
      <c r="F471" s="9" t="s">
        <v>401</v>
      </c>
      <c r="G471" s="8" t="s">
        <v>386</v>
      </c>
      <c r="H471" s="8" t="s">
        <v>302</v>
      </c>
      <c r="I471" s="8" t="s">
        <v>291</v>
      </c>
      <c r="J471" s="8" t="s">
        <v>292</v>
      </c>
      <c r="K471" s="8" t="s">
        <v>293</v>
      </c>
      <c r="L471" s="9" t="s">
        <v>294</v>
      </c>
      <c r="M471" s="8"/>
      <c r="N471" s="8" t="str">
        <f aca="true">IF(M471="","Active (per Notice 1)",IF(M471&lt;TODAY(),"Expired",IF(M471&lt;TODAY()+180,"Expiring Soon","Active")))</f>
        <v>Active (per Notice 1)</v>
      </c>
      <c r="O471" s="10" t="s">
        <v>295</v>
      </c>
      <c r="P471" s="8" t="s">
        <v>327</v>
      </c>
      <c r="Q471" s="8" t="n">
        <v>3.31</v>
      </c>
      <c r="R471" s="8" t="n">
        <v>2</v>
      </c>
      <c r="S471" s="11" t="n">
        <v>45191</v>
      </c>
      <c r="T471" s="8" t="str">
        <f aca="true">IF(S471="","",IF(EDATE(S471,60)&lt;TODAY(),"Expired",IF(EDATE(S471,60)&lt;TODAY()+180,"Expiring Soon","Valid")))</f>
        <v>Valid</v>
      </c>
      <c r="U471" s="8" t="str">
        <f aca="false">IF(P471="","",IF(P471="A++","Top Tier",IF(P471="A+","High",IF(P471="A","Strong",IF(LEFT(P471,1)="B","Acceptable",IF(LEFT(P471,1)="C","Below Avg","-"))))))</f>
        <v>High</v>
      </c>
      <c r="AT471" s="8"/>
      <c r="AU471" s="8"/>
    </row>
    <row r="472" customFormat="false" ht="15" hidden="false" customHeight="true" outlineLevel="0" collapsed="false">
      <c r="A472" s="8" t="n">
        <v>471</v>
      </c>
      <c r="B472" s="8" t="n">
        <v>70</v>
      </c>
      <c r="C472" s="8" t="s">
        <v>543</v>
      </c>
      <c r="D472" s="8" t="s">
        <v>333</v>
      </c>
      <c r="E472" s="9" t="s">
        <v>551</v>
      </c>
      <c r="F472" s="9" t="s">
        <v>303</v>
      </c>
      <c r="G472" s="8" t="s">
        <v>304</v>
      </c>
      <c r="H472" s="8" t="s">
        <v>302</v>
      </c>
      <c r="I472" s="8" t="s">
        <v>291</v>
      </c>
      <c r="J472" s="8" t="s">
        <v>292</v>
      </c>
      <c r="K472" s="8" t="s">
        <v>293</v>
      </c>
      <c r="L472" s="9" t="s">
        <v>294</v>
      </c>
      <c r="M472" s="8"/>
      <c r="N472" s="8" t="str">
        <f aca="true">IF(M472="","Active (per Notice 1)",IF(M472&lt;TODAY(),"Expired",IF(M472&lt;TODAY()+180,"Expiring Soon","Active")))</f>
        <v>Active (per Notice 1)</v>
      </c>
      <c r="O472" s="12" t="s">
        <v>305</v>
      </c>
      <c r="P472" s="8" t="s">
        <v>327</v>
      </c>
      <c r="Q472" s="8" t="n">
        <v>3.31</v>
      </c>
      <c r="R472" s="8" t="n">
        <v>2</v>
      </c>
      <c r="S472" s="11" t="n">
        <v>45191</v>
      </c>
      <c r="T472" s="8" t="str">
        <f aca="true">IF(S472="","",IF(EDATE(S472,60)&lt;TODAY(),"Expired",IF(EDATE(S472,60)&lt;TODAY()+180,"Expiring Soon","Valid")))</f>
        <v>Valid</v>
      </c>
      <c r="U472" s="8" t="str">
        <f aca="false">IF(P472="","",IF(P472="A++","Top Tier",IF(P472="A+","High",IF(P472="A","Strong",IF(LEFT(P472,1)="B","Acceptable",IF(LEFT(P472,1)="C","Below Avg","-"))))))</f>
        <v>High</v>
      </c>
      <c r="AT472" s="8"/>
      <c r="AU472" s="8"/>
    </row>
    <row r="473" customFormat="false" ht="15" hidden="false" customHeight="true" outlineLevel="0" collapsed="false">
      <c r="A473" s="8" t="n">
        <v>472</v>
      </c>
      <c r="B473" s="8" t="n">
        <v>70</v>
      </c>
      <c r="C473" s="8" t="s">
        <v>543</v>
      </c>
      <c r="D473" s="8" t="s">
        <v>333</v>
      </c>
      <c r="E473" s="9" t="s">
        <v>551</v>
      </c>
      <c r="F473" s="9" t="s">
        <v>306</v>
      </c>
      <c r="G473" s="8" t="s">
        <v>307</v>
      </c>
      <c r="H473" s="8" t="s">
        <v>302</v>
      </c>
      <c r="I473" s="8" t="s">
        <v>291</v>
      </c>
      <c r="J473" s="8" t="s">
        <v>292</v>
      </c>
      <c r="K473" s="8" t="s">
        <v>293</v>
      </c>
      <c r="L473" s="9" t="s">
        <v>294</v>
      </c>
      <c r="M473" s="8"/>
      <c r="N473" s="8" t="str">
        <f aca="true">IF(M473="","Active (per Notice 1)",IF(M473&lt;TODAY(),"Expired",IF(M473&lt;TODAY()+180,"Expiring Soon","Active")))</f>
        <v>Active (per Notice 1)</v>
      </c>
      <c r="O473" s="12" t="s">
        <v>305</v>
      </c>
      <c r="P473" s="8" t="s">
        <v>327</v>
      </c>
      <c r="Q473" s="8" t="n">
        <v>3.31</v>
      </c>
      <c r="R473" s="8" t="n">
        <v>2</v>
      </c>
      <c r="S473" s="11" t="n">
        <v>45191</v>
      </c>
      <c r="T473" s="8" t="str">
        <f aca="true">IF(S473="","",IF(EDATE(S473,60)&lt;TODAY(),"Expired",IF(EDATE(S473,60)&lt;TODAY()+180,"Expiring Soon","Valid")))</f>
        <v>Valid</v>
      </c>
      <c r="U473" s="8" t="str">
        <f aca="false">IF(P473="","",IF(P473="A++","Top Tier",IF(P473="A+","High",IF(P473="A","Strong",IF(LEFT(P473,1)="B","Acceptable",IF(LEFT(P473,1)="C","Below Avg","-"))))))</f>
        <v>High</v>
      </c>
      <c r="AT473" s="8"/>
      <c r="AU473" s="8"/>
    </row>
    <row r="474" customFormat="false" ht="15" hidden="false" customHeight="true" outlineLevel="0" collapsed="false">
      <c r="A474" s="8" t="n">
        <v>473</v>
      </c>
      <c r="B474" s="8" t="n">
        <v>71</v>
      </c>
      <c r="C474" s="8" t="s">
        <v>543</v>
      </c>
      <c r="D474" s="8" t="s">
        <v>333</v>
      </c>
      <c r="E474" s="9" t="s">
        <v>552</v>
      </c>
      <c r="F474" s="9" t="s">
        <v>317</v>
      </c>
      <c r="G474" s="8" t="s">
        <v>318</v>
      </c>
      <c r="H474" s="8" t="s">
        <v>290</v>
      </c>
      <c r="I474" s="8" t="s">
        <v>291</v>
      </c>
      <c r="J474" s="8" t="s">
        <v>292</v>
      </c>
      <c r="K474" s="8" t="s">
        <v>293</v>
      </c>
      <c r="L474" s="9" t="s">
        <v>294</v>
      </c>
      <c r="M474" s="8"/>
      <c r="N474" s="8" t="str">
        <f aca="true">IF(M474="","Active (per Notice 1)",IF(M474&lt;TODAY(),"Expired",IF(M474&lt;TODAY()+180,"Expiring Soon","Active")))</f>
        <v>Active (per Notice 1)</v>
      </c>
      <c r="O474" s="12" t="s">
        <v>305</v>
      </c>
      <c r="P474" s="8" t="s">
        <v>327</v>
      </c>
      <c r="Q474" s="8" t="n">
        <v>3.3</v>
      </c>
      <c r="R474" s="8" t="n">
        <v>2</v>
      </c>
      <c r="S474" s="11" t="n">
        <v>45407</v>
      </c>
      <c r="T474" s="8" t="str">
        <f aca="true">IF(S474="","",IF(EDATE(S474,60)&lt;TODAY(),"Expired",IF(EDATE(S474,60)&lt;TODAY()+180,"Expiring Soon","Valid")))</f>
        <v>Valid</v>
      </c>
      <c r="U474" s="8" t="str">
        <f aca="false">IF(P474="","",IF(P474="A++","Top Tier",IF(P474="A+","High",IF(P474="A","Strong",IF(LEFT(P474,1)="B","Acceptable",IF(LEFT(P474,1)="C","Below Avg","-"))))))</f>
        <v>High</v>
      </c>
      <c r="AT474" s="8"/>
      <c r="AU474" s="8"/>
    </row>
    <row r="475" customFormat="false" ht="15" hidden="false" customHeight="true" outlineLevel="0" collapsed="false">
      <c r="A475" s="8" t="n">
        <v>474</v>
      </c>
      <c r="B475" s="8" t="n">
        <v>71</v>
      </c>
      <c r="C475" s="8" t="s">
        <v>543</v>
      </c>
      <c r="D475" s="8" t="s">
        <v>333</v>
      </c>
      <c r="E475" s="9" t="s">
        <v>552</v>
      </c>
      <c r="F475" s="9" t="s">
        <v>319</v>
      </c>
      <c r="G475" s="8" t="s">
        <v>320</v>
      </c>
      <c r="H475" s="8" t="s">
        <v>290</v>
      </c>
      <c r="I475" s="8" t="s">
        <v>291</v>
      </c>
      <c r="J475" s="8" t="s">
        <v>292</v>
      </c>
      <c r="K475" s="8" t="s">
        <v>293</v>
      </c>
      <c r="L475" s="9" t="s">
        <v>294</v>
      </c>
      <c r="M475" s="8"/>
      <c r="N475" s="8" t="str">
        <f aca="true">IF(M475="","Active (per Notice 1)",IF(M475&lt;TODAY(),"Expired",IF(M475&lt;TODAY()+180,"Expiring Soon","Active")))</f>
        <v>Active (per Notice 1)</v>
      </c>
      <c r="O475" s="12" t="s">
        <v>305</v>
      </c>
      <c r="P475" s="8" t="s">
        <v>327</v>
      </c>
      <c r="Q475" s="8" t="n">
        <v>3.3</v>
      </c>
      <c r="R475" s="8" t="n">
        <v>2</v>
      </c>
      <c r="S475" s="11" t="n">
        <v>45407</v>
      </c>
      <c r="T475" s="8" t="str">
        <f aca="true">IF(S475="","",IF(EDATE(S475,60)&lt;TODAY(),"Expired",IF(EDATE(S475,60)&lt;TODAY()+180,"Expiring Soon","Valid")))</f>
        <v>Valid</v>
      </c>
      <c r="U475" s="8" t="str">
        <f aca="false">IF(P475="","",IF(P475="A++","Top Tier",IF(P475="A+","High",IF(P475="A","Strong",IF(LEFT(P475,1)="B","Acceptable",IF(LEFT(P475,1)="C","Below Avg","-"))))))</f>
        <v>High</v>
      </c>
      <c r="AT475" s="8"/>
      <c r="AU475" s="8"/>
    </row>
    <row r="476" customFormat="false" ht="15" hidden="false" customHeight="true" outlineLevel="0" collapsed="false">
      <c r="A476" s="8" t="n">
        <v>475</v>
      </c>
      <c r="B476" s="8" t="n">
        <v>71</v>
      </c>
      <c r="C476" s="8" t="s">
        <v>543</v>
      </c>
      <c r="D476" s="8" t="s">
        <v>333</v>
      </c>
      <c r="E476" s="9" t="s">
        <v>552</v>
      </c>
      <c r="F476" s="9" t="s">
        <v>299</v>
      </c>
      <c r="G476" s="8" t="s">
        <v>289</v>
      </c>
      <c r="H476" s="8" t="s">
        <v>290</v>
      </c>
      <c r="I476" s="8" t="s">
        <v>291</v>
      </c>
      <c r="J476" s="8" t="s">
        <v>292</v>
      </c>
      <c r="K476" s="8" t="s">
        <v>293</v>
      </c>
      <c r="L476" s="9" t="s">
        <v>294</v>
      </c>
      <c r="M476" s="8"/>
      <c r="N476" s="8" t="str">
        <f aca="true">IF(M476="","Active (per Notice 1)",IF(M476&lt;TODAY(),"Expired",IF(M476&lt;TODAY()+180,"Expiring Soon","Active")))</f>
        <v>Active (per Notice 1)</v>
      </c>
      <c r="O476" s="10" t="s">
        <v>295</v>
      </c>
      <c r="P476" s="8" t="s">
        <v>327</v>
      </c>
      <c r="Q476" s="8" t="n">
        <v>3.3</v>
      </c>
      <c r="R476" s="8" t="n">
        <v>2</v>
      </c>
      <c r="S476" s="11" t="n">
        <v>45407</v>
      </c>
      <c r="T476" s="8" t="str">
        <f aca="true">IF(S476="","",IF(EDATE(S476,60)&lt;TODAY(),"Expired",IF(EDATE(S476,60)&lt;TODAY()+180,"Expiring Soon","Valid")))</f>
        <v>Valid</v>
      </c>
      <c r="U476" s="8" t="str">
        <f aca="false">IF(P476="","",IF(P476="A++","Top Tier",IF(P476="A+","High",IF(P476="A","Strong",IF(LEFT(P476,1)="B","Acceptable",IF(LEFT(P476,1)="C","Below Avg","-"))))))</f>
        <v>High</v>
      </c>
      <c r="AT476" s="8"/>
      <c r="AU476" s="8"/>
    </row>
    <row r="477" customFormat="false" ht="15" hidden="false" customHeight="true" outlineLevel="0" collapsed="false">
      <c r="A477" s="8" t="n">
        <v>476</v>
      </c>
      <c r="B477" s="8" t="n">
        <v>71</v>
      </c>
      <c r="C477" s="8" t="s">
        <v>543</v>
      </c>
      <c r="D477" s="8" t="s">
        <v>333</v>
      </c>
      <c r="E477" s="9" t="s">
        <v>552</v>
      </c>
      <c r="F477" s="9" t="s">
        <v>312</v>
      </c>
      <c r="G477" s="8" t="s">
        <v>301</v>
      </c>
      <c r="H477" s="8" t="s">
        <v>302</v>
      </c>
      <c r="I477" s="8" t="s">
        <v>291</v>
      </c>
      <c r="J477" s="8" t="s">
        <v>292</v>
      </c>
      <c r="K477" s="8" t="s">
        <v>293</v>
      </c>
      <c r="L477" s="9" t="s">
        <v>294</v>
      </c>
      <c r="M477" s="8"/>
      <c r="N477" s="8" t="str">
        <f aca="true">IF(M477="","Active (per Notice 1)",IF(M477&lt;TODAY(),"Expired",IF(M477&lt;TODAY()+180,"Expiring Soon","Active")))</f>
        <v>Active (per Notice 1)</v>
      </c>
      <c r="O477" s="10" t="s">
        <v>295</v>
      </c>
      <c r="P477" s="8" t="s">
        <v>327</v>
      </c>
      <c r="Q477" s="8" t="n">
        <v>3.3</v>
      </c>
      <c r="R477" s="8" t="n">
        <v>2</v>
      </c>
      <c r="S477" s="11" t="n">
        <v>45407</v>
      </c>
      <c r="T477" s="8" t="str">
        <f aca="true">IF(S477="","",IF(EDATE(S477,60)&lt;TODAY(),"Expired",IF(EDATE(S477,60)&lt;TODAY()+180,"Expiring Soon","Valid")))</f>
        <v>Valid</v>
      </c>
      <c r="U477" s="8" t="str">
        <f aca="false">IF(P477="","",IF(P477="A++","Top Tier",IF(P477="A+","High",IF(P477="A","Strong",IF(LEFT(P477,1)="B","Acceptable",IF(LEFT(P477,1)="C","Below Avg","-"))))))</f>
        <v>High</v>
      </c>
      <c r="AT477" s="8"/>
      <c r="AU477" s="8"/>
    </row>
    <row r="478" customFormat="false" ht="15" hidden="false" customHeight="true" outlineLevel="0" collapsed="false">
      <c r="A478" s="8" t="n">
        <v>477</v>
      </c>
      <c r="B478" s="8" t="n">
        <v>71</v>
      </c>
      <c r="C478" s="8" t="s">
        <v>543</v>
      </c>
      <c r="D478" s="8" t="s">
        <v>333</v>
      </c>
      <c r="E478" s="9" t="s">
        <v>552</v>
      </c>
      <c r="F478" s="9" t="s">
        <v>314</v>
      </c>
      <c r="G478" s="8" t="s">
        <v>301</v>
      </c>
      <c r="H478" s="8" t="s">
        <v>302</v>
      </c>
      <c r="I478" s="8" t="s">
        <v>291</v>
      </c>
      <c r="J478" s="8" t="s">
        <v>292</v>
      </c>
      <c r="K478" s="8" t="s">
        <v>293</v>
      </c>
      <c r="L478" s="9" t="s">
        <v>294</v>
      </c>
      <c r="M478" s="8"/>
      <c r="N478" s="8" t="str">
        <f aca="true">IF(M478="","Active (per Notice 1)",IF(M478&lt;TODAY(),"Expired",IF(M478&lt;TODAY()+180,"Expiring Soon","Active")))</f>
        <v>Active (per Notice 1)</v>
      </c>
      <c r="O478" s="10" t="s">
        <v>295</v>
      </c>
      <c r="P478" s="8" t="s">
        <v>327</v>
      </c>
      <c r="Q478" s="8" t="n">
        <v>3.3</v>
      </c>
      <c r="R478" s="8" t="n">
        <v>2</v>
      </c>
      <c r="S478" s="11" t="n">
        <v>45407</v>
      </c>
      <c r="T478" s="8" t="str">
        <f aca="true">IF(S478="","",IF(EDATE(S478,60)&lt;TODAY(),"Expired",IF(EDATE(S478,60)&lt;TODAY()+180,"Expiring Soon","Valid")))</f>
        <v>Valid</v>
      </c>
      <c r="U478" s="8" t="str">
        <f aca="false">IF(P478="","",IF(P478="A++","Top Tier",IF(P478="A+","High",IF(P478="A","Strong",IF(LEFT(P478,1)="B","Acceptable",IF(LEFT(P478,1)="C","Below Avg","-"))))))</f>
        <v>High</v>
      </c>
      <c r="AT478" s="8"/>
      <c r="AU478" s="8"/>
    </row>
    <row r="479" customFormat="false" ht="15" hidden="false" customHeight="true" outlineLevel="0" collapsed="false">
      <c r="A479" s="8" t="n">
        <v>478</v>
      </c>
      <c r="B479" s="8" t="n">
        <v>71</v>
      </c>
      <c r="C479" s="8" t="s">
        <v>543</v>
      </c>
      <c r="D479" s="8" t="s">
        <v>333</v>
      </c>
      <c r="E479" s="9" t="s">
        <v>552</v>
      </c>
      <c r="F479" s="9" t="s">
        <v>385</v>
      </c>
      <c r="G479" s="8" t="s">
        <v>386</v>
      </c>
      <c r="H479" s="8" t="s">
        <v>302</v>
      </c>
      <c r="I479" s="8" t="s">
        <v>291</v>
      </c>
      <c r="J479" s="8" t="s">
        <v>292</v>
      </c>
      <c r="K479" s="8" t="s">
        <v>293</v>
      </c>
      <c r="L479" s="9" t="s">
        <v>294</v>
      </c>
      <c r="M479" s="8"/>
      <c r="N479" s="8" t="str">
        <f aca="true">IF(M479="","Active (per Notice 1)",IF(M479&lt;TODAY(),"Expired",IF(M479&lt;TODAY()+180,"Expiring Soon","Active")))</f>
        <v>Active (per Notice 1)</v>
      </c>
      <c r="O479" s="10" t="s">
        <v>295</v>
      </c>
      <c r="P479" s="8" t="s">
        <v>327</v>
      </c>
      <c r="Q479" s="8" t="n">
        <v>3.3</v>
      </c>
      <c r="R479" s="8" t="n">
        <v>2</v>
      </c>
      <c r="S479" s="11" t="n">
        <v>45407</v>
      </c>
      <c r="T479" s="8" t="str">
        <f aca="true">IF(S479="","",IF(EDATE(S479,60)&lt;TODAY(),"Expired",IF(EDATE(S479,60)&lt;TODAY()+180,"Expiring Soon","Valid")))</f>
        <v>Valid</v>
      </c>
      <c r="U479" s="8" t="str">
        <f aca="false">IF(P479="","",IF(P479="A++","Top Tier",IF(P479="A+","High",IF(P479="A","Strong",IF(LEFT(P479,1)="B","Acceptable",IF(LEFT(P479,1)="C","Below Avg","-"))))))</f>
        <v>High</v>
      </c>
      <c r="AT479" s="8"/>
      <c r="AU479" s="8"/>
    </row>
    <row r="480" customFormat="false" ht="15" hidden="false" customHeight="true" outlineLevel="0" collapsed="false">
      <c r="A480" s="8" t="n">
        <v>479</v>
      </c>
      <c r="B480" s="8" t="n">
        <v>71</v>
      </c>
      <c r="C480" s="8" t="s">
        <v>543</v>
      </c>
      <c r="D480" s="8" t="s">
        <v>333</v>
      </c>
      <c r="E480" s="9" t="s">
        <v>552</v>
      </c>
      <c r="F480" s="9" t="s">
        <v>303</v>
      </c>
      <c r="G480" s="8" t="s">
        <v>304</v>
      </c>
      <c r="H480" s="8" t="s">
        <v>302</v>
      </c>
      <c r="I480" s="8" t="s">
        <v>291</v>
      </c>
      <c r="J480" s="8" t="s">
        <v>292</v>
      </c>
      <c r="K480" s="8" t="s">
        <v>293</v>
      </c>
      <c r="L480" s="9" t="s">
        <v>294</v>
      </c>
      <c r="M480" s="8"/>
      <c r="N480" s="8" t="str">
        <f aca="true">IF(M480="","Active (per Notice 1)",IF(M480&lt;TODAY(),"Expired",IF(M480&lt;TODAY()+180,"Expiring Soon","Active")))</f>
        <v>Active (per Notice 1)</v>
      </c>
      <c r="O480" s="12" t="s">
        <v>305</v>
      </c>
      <c r="P480" s="8" t="s">
        <v>327</v>
      </c>
      <c r="Q480" s="8" t="n">
        <v>3.3</v>
      </c>
      <c r="R480" s="8" t="n">
        <v>2</v>
      </c>
      <c r="S480" s="11" t="n">
        <v>45407</v>
      </c>
      <c r="T480" s="8" t="str">
        <f aca="true">IF(S480="","",IF(EDATE(S480,60)&lt;TODAY(),"Expired",IF(EDATE(S480,60)&lt;TODAY()+180,"Expiring Soon","Valid")))</f>
        <v>Valid</v>
      </c>
      <c r="U480" s="8" t="str">
        <f aca="false">IF(P480="","",IF(P480="A++","Top Tier",IF(P480="A+","High",IF(P480="A","Strong",IF(LEFT(P480,1)="B","Acceptable",IF(LEFT(P480,1)="C","Below Avg","-"))))))</f>
        <v>High</v>
      </c>
      <c r="AT480" s="8"/>
      <c r="AU480" s="8"/>
    </row>
    <row r="481" customFormat="false" ht="15" hidden="false" customHeight="true" outlineLevel="0" collapsed="false">
      <c r="A481" s="8" t="n">
        <v>480</v>
      </c>
      <c r="B481" s="8" t="n">
        <v>71</v>
      </c>
      <c r="C481" s="8" t="s">
        <v>543</v>
      </c>
      <c r="D481" s="8" t="s">
        <v>333</v>
      </c>
      <c r="E481" s="9" t="s">
        <v>552</v>
      </c>
      <c r="F481" s="9" t="s">
        <v>306</v>
      </c>
      <c r="G481" s="8" t="s">
        <v>307</v>
      </c>
      <c r="H481" s="8" t="s">
        <v>302</v>
      </c>
      <c r="I481" s="8" t="s">
        <v>291</v>
      </c>
      <c r="J481" s="8" t="s">
        <v>292</v>
      </c>
      <c r="K481" s="8" t="s">
        <v>293</v>
      </c>
      <c r="L481" s="9" t="s">
        <v>294</v>
      </c>
      <c r="M481" s="8"/>
      <c r="N481" s="8" t="str">
        <f aca="true">IF(M481="","Active (per Notice 1)",IF(M481&lt;TODAY(),"Expired",IF(M481&lt;TODAY()+180,"Expiring Soon","Active")))</f>
        <v>Active (per Notice 1)</v>
      </c>
      <c r="O481" s="12" t="s">
        <v>305</v>
      </c>
      <c r="P481" s="8" t="s">
        <v>327</v>
      </c>
      <c r="Q481" s="8" t="n">
        <v>3.3</v>
      </c>
      <c r="R481" s="8" t="n">
        <v>2</v>
      </c>
      <c r="S481" s="11" t="n">
        <v>45407</v>
      </c>
      <c r="T481" s="8" t="str">
        <f aca="true">IF(S481="","",IF(EDATE(S481,60)&lt;TODAY(),"Expired",IF(EDATE(S481,60)&lt;TODAY()+180,"Expiring Soon","Valid")))</f>
        <v>Valid</v>
      </c>
      <c r="U481" s="8" t="str">
        <f aca="false">IF(P481="","",IF(P481="A++","Top Tier",IF(P481="A+","High",IF(P481="A","Strong",IF(LEFT(P481,1)="B","Acceptable",IF(LEFT(P481,1)="C","Below Avg","-"))))))</f>
        <v>High</v>
      </c>
      <c r="AT481" s="8"/>
      <c r="AU481" s="8"/>
    </row>
    <row r="482" customFormat="false" ht="15" hidden="false" customHeight="true" outlineLevel="0" collapsed="false">
      <c r="A482" s="8" t="n">
        <v>481</v>
      </c>
      <c r="B482" s="8" t="n">
        <v>72</v>
      </c>
      <c r="C482" s="8" t="s">
        <v>553</v>
      </c>
      <c r="D482" s="8" t="s">
        <v>333</v>
      </c>
      <c r="E482" s="9" t="s">
        <v>554</v>
      </c>
      <c r="F482" s="9" t="s">
        <v>555</v>
      </c>
      <c r="G482" s="8" t="s">
        <v>298</v>
      </c>
      <c r="H482" s="8" t="s">
        <v>290</v>
      </c>
      <c r="I482" s="8" t="s">
        <v>291</v>
      </c>
      <c r="J482" s="8" t="s">
        <v>292</v>
      </c>
      <c r="K482" s="8" t="s">
        <v>293</v>
      </c>
      <c r="L482" s="9" t="s">
        <v>294</v>
      </c>
      <c r="M482" s="8"/>
      <c r="N482" s="8" t="str">
        <f aca="true">IF(M482="","Active (per Notice 1)",IF(M482&lt;TODAY(),"Expired",IF(M482&lt;TODAY()+180,"Expiring Soon","Active")))</f>
        <v>Active (per Notice 1)</v>
      </c>
      <c r="O482" s="10" t="s">
        <v>295</v>
      </c>
      <c r="P482" s="8" t="s">
        <v>327</v>
      </c>
      <c r="Q482" s="8" t="n">
        <v>3.28</v>
      </c>
      <c r="R482" s="8" t="n">
        <v>1</v>
      </c>
      <c r="S482" s="11" t="n">
        <v>44796</v>
      </c>
      <c r="T482" s="8" t="str">
        <f aca="true">IF(S482="","",IF(EDATE(S482,60)&lt;TODAY(),"Expired",IF(EDATE(S482,60)&lt;TODAY()+180,"Expiring Soon","Valid")))</f>
        <v>Valid</v>
      </c>
      <c r="U482" s="8" t="str">
        <f aca="false">IF(P482="","",IF(P482="A++","Top Tier",IF(P482="A+","High",IF(P482="A","Strong",IF(LEFT(P482,1)="B","Acceptable",IF(LEFT(P482,1)="C","Below Avg","-"))))))</f>
        <v>High</v>
      </c>
      <c r="Y482" s="8" t="n">
        <v>2</v>
      </c>
      <c r="Z482" s="11" t="n">
        <v>45838</v>
      </c>
      <c r="AA482" s="8" t="s">
        <v>404</v>
      </c>
      <c r="AB482" s="8" t="s">
        <v>329</v>
      </c>
      <c r="AT482" s="8"/>
      <c r="AU482" s="8"/>
    </row>
    <row r="483" customFormat="false" ht="15" hidden="false" customHeight="true" outlineLevel="0" collapsed="false">
      <c r="A483" s="8" t="n">
        <v>482</v>
      </c>
      <c r="B483" s="8" t="n">
        <v>72</v>
      </c>
      <c r="C483" s="8" t="s">
        <v>553</v>
      </c>
      <c r="D483" s="8" t="s">
        <v>333</v>
      </c>
      <c r="E483" s="9" t="s">
        <v>554</v>
      </c>
      <c r="F483" s="9" t="s">
        <v>359</v>
      </c>
      <c r="G483" s="8" t="s">
        <v>289</v>
      </c>
      <c r="H483" s="8" t="s">
        <v>290</v>
      </c>
      <c r="I483" s="8" t="s">
        <v>291</v>
      </c>
      <c r="J483" s="8" t="s">
        <v>292</v>
      </c>
      <c r="K483" s="8" t="s">
        <v>293</v>
      </c>
      <c r="L483" s="9" t="s">
        <v>294</v>
      </c>
      <c r="M483" s="8"/>
      <c r="N483" s="8" t="str">
        <f aca="true">IF(M483="","Active (per Notice 1)",IF(M483&lt;TODAY(),"Expired",IF(M483&lt;TODAY()+180,"Expiring Soon","Active")))</f>
        <v>Active (per Notice 1)</v>
      </c>
      <c r="O483" s="10" t="s">
        <v>295</v>
      </c>
      <c r="P483" s="8" t="s">
        <v>327</v>
      </c>
      <c r="Q483" s="8" t="n">
        <v>3.28</v>
      </c>
      <c r="R483" s="8" t="n">
        <v>1</v>
      </c>
      <c r="S483" s="11" t="n">
        <v>44796</v>
      </c>
      <c r="T483" s="8" t="str">
        <f aca="true">IF(S483="","",IF(EDATE(S483,60)&lt;TODAY(),"Expired",IF(EDATE(S483,60)&lt;TODAY()+180,"Expiring Soon","Valid")))</f>
        <v>Valid</v>
      </c>
      <c r="U483" s="8" t="str">
        <f aca="false">IF(P483="","",IF(P483="A++","Top Tier",IF(P483="A+","High",IF(P483="A","Strong",IF(LEFT(P483,1)="B","Acceptable",IF(LEFT(P483,1)="C","Below Avg","-"))))))</f>
        <v>High</v>
      </c>
      <c r="Y483" s="8" t="n">
        <v>2</v>
      </c>
      <c r="Z483" s="11" t="n">
        <v>45838</v>
      </c>
      <c r="AA483" s="8" t="s">
        <v>404</v>
      </c>
      <c r="AB483" s="8" t="s">
        <v>329</v>
      </c>
      <c r="AT483" s="8"/>
      <c r="AU483" s="8"/>
    </row>
    <row r="484" customFormat="false" ht="15" hidden="false" customHeight="true" outlineLevel="0" collapsed="false">
      <c r="A484" s="8" t="n">
        <v>483</v>
      </c>
      <c r="B484" s="8" t="n">
        <v>72</v>
      </c>
      <c r="C484" s="8" t="s">
        <v>553</v>
      </c>
      <c r="D484" s="8" t="s">
        <v>333</v>
      </c>
      <c r="E484" s="9" t="s">
        <v>554</v>
      </c>
      <c r="F484" s="9" t="s">
        <v>317</v>
      </c>
      <c r="G484" s="8" t="s">
        <v>318</v>
      </c>
      <c r="H484" s="8" t="s">
        <v>290</v>
      </c>
      <c r="I484" s="8" t="s">
        <v>291</v>
      </c>
      <c r="J484" s="8" t="s">
        <v>292</v>
      </c>
      <c r="K484" s="8" t="s">
        <v>293</v>
      </c>
      <c r="L484" s="9" t="s">
        <v>294</v>
      </c>
      <c r="M484" s="8"/>
      <c r="N484" s="8" t="str">
        <f aca="true">IF(M484="","Active (per Notice 1)",IF(M484&lt;TODAY(),"Expired",IF(M484&lt;TODAY()+180,"Expiring Soon","Active")))</f>
        <v>Active (per Notice 1)</v>
      </c>
      <c r="O484" s="12" t="s">
        <v>305</v>
      </c>
      <c r="P484" s="8" t="s">
        <v>327</v>
      </c>
      <c r="Q484" s="8" t="n">
        <v>3.28</v>
      </c>
      <c r="R484" s="8" t="n">
        <v>1</v>
      </c>
      <c r="S484" s="11" t="n">
        <v>44796</v>
      </c>
      <c r="T484" s="8" t="str">
        <f aca="true">IF(S484="","",IF(EDATE(S484,60)&lt;TODAY(),"Expired",IF(EDATE(S484,60)&lt;TODAY()+180,"Expiring Soon","Valid")))</f>
        <v>Valid</v>
      </c>
      <c r="U484" s="8" t="str">
        <f aca="false">IF(P484="","",IF(P484="A++","Top Tier",IF(P484="A+","High",IF(P484="A","Strong",IF(LEFT(P484,1)="B","Acceptable",IF(LEFT(P484,1)="C","Below Avg","-"))))))</f>
        <v>High</v>
      </c>
      <c r="Y484" s="8" t="n">
        <v>2</v>
      </c>
      <c r="Z484" s="11" t="n">
        <v>45838</v>
      </c>
      <c r="AA484" s="8" t="s">
        <v>404</v>
      </c>
      <c r="AB484" s="8" t="s">
        <v>329</v>
      </c>
      <c r="AT484" s="8"/>
      <c r="AU484" s="8"/>
    </row>
    <row r="485" customFormat="false" ht="15" hidden="false" customHeight="true" outlineLevel="0" collapsed="false">
      <c r="A485" s="8" t="n">
        <v>484</v>
      </c>
      <c r="B485" s="8" t="n">
        <v>72</v>
      </c>
      <c r="C485" s="8" t="s">
        <v>553</v>
      </c>
      <c r="D485" s="8" t="s">
        <v>333</v>
      </c>
      <c r="E485" s="9" t="s">
        <v>554</v>
      </c>
      <c r="F485" s="9" t="s">
        <v>306</v>
      </c>
      <c r="G485" s="8" t="s">
        <v>307</v>
      </c>
      <c r="H485" s="8" t="s">
        <v>302</v>
      </c>
      <c r="I485" s="8" t="s">
        <v>291</v>
      </c>
      <c r="J485" s="8" t="s">
        <v>292</v>
      </c>
      <c r="K485" s="8" t="s">
        <v>293</v>
      </c>
      <c r="L485" s="9" t="s">
        <v>294</v>
      </c>
      <c r="M485" s="8"/>
      <c r="N485" s="8" t="str">
        <f aca="true">IF(M485="","Active (per Notice 1)",IF(M485&lt;TODAY(),"Expired",IF(M485&lt;TODAY()+180,"Expiring Soon","Active")))</f>
        <v>Active (per Notice 1)</v>
      </c>
      <c r="O485" s="12" t="s">
        <v>305</v>
      </c>
      <c r="P485" s="8" t="s">
        <v>327</v>
      </c>
      <c r="Q485" s="8" t="n">
        <v>3.28</v>
      </c>
      <c r="R485" s="8" t="n">
        <v>1</v>
      </c>
      <c r="S485" s="11" t="n">
        <v>44796</v>
      </c>
      <c r="T485" s="8" t="str">
        <f aca="true">IF(S485="","",IF(EDATE(S485,60)&lt;TODAY(),"Expired",IF(EDATE(S485,60)&lt;TODAY()+180,"Expiring Soon","Valid")))</f>
        <v>Valid</v>
      </c>
      <c r="U485" s="8" t="str">
        <f aca="false">IF(P485="","",IF(P485="A++","Top Tier",IF(P485="A+","High",IF(P485="A","Strong",IF(LEFT(P485,1)="B","Acceptable",IF(LEFT(P485,1)="C","Below Avg","-"))))))</f>
        <v>High</v>
      </c>
      <c r="Y485" s="8" t="n">
        <v>2</v>
      </c>
      <c r="Z485" s="11" t="n">
        <v>45838</v>
      </c>
      <c r="AA485" s="8" t="s">
        <v>404</v>
      </c>
      <c r="AB485" s="8" t="s">
        <v>329</v>
      </c>
      <c r="AT485" s="8"/>
      <c r="AU485" s="8"/>
    </row>
    <row r="486" customFormat="false" ht="15" hidden="false" customHeight="true" outlineLevel="0" collapsed="false">
      <c r="A486" s="8" t="n">
        <v>485</v>
      </c>
      <c r="B486" s="8" t="n">
        <v>72</v>
      </c>
      <c r="C486" s="8" t="s">
        <v>553</v>
      </c>
      <c r="D486" s="8" t="s">
        <v>333</v>
      </c>
      <c r="E486" s="9" t="s">
        <v>554</v>
      </c>
      <c r="F486" s="9" t="s">
        <v>303</v>
      </c>
      <c r="G486" s="8" t="s">
        <v>304</v>
      </c>
      <c r="H486" s="8" t="s">
        <v>302</v>
      </c>
      <c r="I486" s="8" t="s">
        <v>291</v>
      </c>
      <c r="J486" s="8" t="s">
        <v>292</v>
      </c>
      <c r="K486" s="8" t="s">
        <v>293</v>
      </c>
      <c r="L486" s="9" t="s">
        <v>294</v>
      </c>
      <c r="M486" s="8"/>
      <c r="N486" s="8" t="str">
        <f aca="true">IF(M486="","Active (per Notice 1)",IF(M486&lt;TODAY(),"Expired",IF(M486&lt;TODAY()+180,"Expiring Soon","Active")))</f>
        <v>Active (per Notice 1)</v>
      </c>
      <c r="O486" s="12" t="s">
        <v>305</v>
      </c>
      <c r="P486" s="8" t="s">
        <v>327</v>
      </c>
      <c r="Q486" s="8" t="n">
        <v>3.28</v>
      </c>
      <c r="R486" s="8" t="n">
        <v>1</v>
      </c>
      <c r="S486" s="11" t="n">
        <v>44796</v>
      </c>
      <c r="T486" s="8" t="str">
        <f aca="true">IF(S486="","",IF(EDATE(S486,60)&lt;TODAY(),"Expired",IF(EDATE(S486,60)&lt;TODAY()+180,"Expiring Soon","Valid")))</f>
        <v>Valid</v>
      </c>
      <c r="U486" s="8" t="str">
        <f aca="false">IF(P486="","",IF(P486="A++","Top Tier",IF(P486="A+","High",IF(P486="A","Strong",IF(LEFT(P486,1)="B","Acceptable",IF(LEFT(P486,1)="C","Below Avg","-"))))))</f>
        <v>High</v>
      </c>
      <c r="Y486" s="8" t="n">
        <v>2</v>
      </c>
      <c r="Z486" s="11" t="n">
        <v>45838</v>
      </c>
      <c r="AA486" s="8" t="s">
        <v>404</v>
      </c>
      <c r="AB486" s="8" t="s">
        <v>329</v>
      </c>
      <c r="AT486" s="8"/>
      <c r="AU486" s="8"/>
    </row>
    <row r="487" customFormat="false" ht="15" hidden="false" customHeight="true" outlineLevel="0" collapsed="false">
      <c r="A487" s="8" t="n">
        <v>486</v>
      </c>
      <c r="B487" s="8" t="n">
        <v>72</v>
      </c>
      <c r="C487" s="8" t="s">
        <v>553</v>
      </c>
      <c r="D487" s="8" t="s">
        <v>333</v>
      </c>
      <c r="E487" s="9" t="s">
        <v>554</v>
      </c>
      <c r="F487" s="9" t="s">
        <v>310</v>
      </c>
      <c r="G487" s="8" t="s">
        <v>301</v>
      </c>
      <c r="H487" s="8" t="s">
        <v>302</v>
      </c>
      <c r="I487" s="8" t="s">
        <v>291</v>
      </c>
      <c r="J487" s="8" t="s">
        <v>292</v>
      </c>
      <c r="K487" s="8" t="s">
        <v>293</v>
      </c>
      <c r="L487" s="9" t="s">
        <v>294</v>
      </c>
      <c r="M487" s="8"/>
      <c r="N487" s="8" t="str">
        <f aca="true">IF(M487="","Active (per Notice 1)",IF(M487&lt;TODAY(),"Expired",IF(M487&lt;TODAY()+180,"Expiring Soon","Active")))</f>
        <v>Active (per Notice 1)</v>
      </c>
      <c r="O487" s="10" t="s">
        <v>295</v>
      </c>
      <c r="P487" s="8" t="s">
        <v>327</v>
      </c>
      <c r="Q487" s="8" t="n">
        <v>3.28</v>
      </c>
      <c r="R487" s="8" t="n">
        <v>1</v>
      </c>
      <c r="S487" s="11" t="n">
        <v>44796</v>
      </c>
      <c r="T487" s="8" t="str">
        <f aca="true">IF(S487="","",IF(EDATE(S487,60)&lt;TODAY(),"Expired",IF(EDATE(S487,60)&lt;TODAY()+180,"Expiring Soon","Valid")))</f>
        <v>Valid</v>
      </c>
      <c r="U487" s="8" t="str">
        <f aca="false">IF(P487="","",IF(P487="A++","Top Tier",IF(P487="A+","High",IF(P487="A","Strong",IF(LEFT(P487,1)="B","Acceptable",IF(LEFT(P487,1)="C","Below Avg","-"))))))</f>
        <v>High</v>
      </c>
      <c r="Y487" s="8" t="n">
        <v>2</v>
      </c>
      <c r="Z487" s="11" t="n">
        <v>45838</v>
      </c>
      <c r="AA487" s="8" t="s">
        <v>404</v>
      </c>
      <c r="AB487" s="8" t="s">
        <v>329</v>
      </c>
      <c r="AT487" s="8"/>
      <c r="AU487" s="8"/>
    </row>
    <row r="488" customFormat="false" ht="15" hidden="false" customHeight="true" outlineLevel="0" collapsed="false">
      <c r="A488" s="8" t="n">
        <v>487</v>
      </c>
      <c r="B488" s="8" t="n">
        <v>72</v>
      </c>
      <c r="C488" s="8" t="s">
        <v>553</v>
      </c>
      <c r="D488" s="8" t="s">
        <v>333</v>
      </c>
      <c r="E488" s="9" t="s">
        <v>554</v>
      </c>
      <c r="F488" s="9" t="s">
        <v>364</v>
      </c>
      <c r="G488" s="8" t="s">
        <v>309</v>
      </c>
      <c r="H488" s="8" t="s">
        <v>302</v>
      </c>
      <c r="I488" s="8" t="s">
        <v>291</v>
      </c>
      <c r="J488" s="8" t="s">
        <v>292</v>
      </c>
      <c r="K488" s="8" t="s">
        <v>293</v>
      </c>
      <c r="L488" s="9" t="s">
        <v>294</v>
      </c>
      <c r="M488" s="8"/>
      <c r="N488" s="8" t="str">
        <f aca="true">IF(M488="","Active (per Notice 1)",IF(M488&lt;TODAY(),"Expired",IF(M488&lt;TODAY()+180,"Expiring Soon","Active")))</f>
        <v>Active (per Notice 1)</v>
      </c>
      <c r="O488" s="10" t="s">
        <v>295</v>
      </c>
      <c r="P488" s="8" t="s">
        <v>327</v>
      </c>
      <c r="Q488" s="8" t="n">
        <v>3.28</v>
      </c>
      <c r="R488" s="8" t="n">
        <v>1</v>
      </c>
      <c r="S488" s="11" t="n">
        <v>44796</v>
      </c>
      <c r="T488" s="8" t="str">
        <f aca="true">IF(S488="","",IF(EDATE(S488,60)&lt;TODAY(),"Expired",IF(EDATE(S488,60)&lt;TODAY()+180,"Expiring Soon","Valid")))</f>
        <v>Valid</v>
      </c>
      <c r="U488" s="8" t="str">
        <f aca="false">IF(P488="","",IF(P488="A++","Top Tier",IF(P488="A+","High",IF(P488="A","Strong",IF(LEFT(P488,1)="B","Acceptable",IF(LEFT(P488,1)="C","Below Avg","-"))))))</f>
        <v>High</v>
      </c>
      <c r="Y488" s="8" t="n">
        <v>2</v>
      </c>
      <c r="Z488" s="11" t="n">
        <v>45838</v>
      </c>
      <c r="AA488" s="8" t="s">
        <v>404</v>
      </c>
      <c r="AB488" s="8" t="s">
        <v>329</v>
      </c>
      <c r="AT488" s="8"/>
      <c r="AU488" s="8"/>
    </row>
    <row r="489" customFormat="false" ht="15" hidden="false" customHeight="true" outlineLevel="0" collapsed="false">
      <c r="A489" s="8" t="n">
        <v>488</v>
      </c>
      <c r="B489" s="8" t="n">
        <v>72</v>
      </c>
      <c r="C489" s="8" t="s">
        <v>553</v>
      </c>
      <c r="D489" s="8" t="s">
        <v>333</v>
      </c>
      <c r="E489" s="9" t="s">
        <v>554</v>
      </c>
      <c r="F489" s="9" t="s">
        <v>312</v>
      </c>
      <c r="G489" s="8" t="s">
        <v>301</v>
      </c>
      <c r="H489" s="8" t="s">
        <v>302</v>
      </c>
      <c r="I489" s="8" t="s">
        <v>291</v>
      </c>
      <c r="J489" s="8" t="s">
        <v>292</v>
      </c>
      <c r="K489" s="8" t="s">
        <v>293</v>
      </c>
      <c r="L489" s="9" t="s">
        <v>294</v>
      </c>
      <c r="M489" s="8"/>
      <c r="N489" s="8" t="str">
        <f aca="true">IF(M489="","Active (per Notice 1)",IF(M489&lt;TODAY(),"Expired",IF(M489&lt;TODAY()+180,"Expiring Soon","Active")))</f>
        <v>Active (per Notice 1)</v>
      </c>
      <c r="O489" s="10" t="s">
        <v>295</v>
      </c>
      <c r="P489" s="8" t="s">
        <v>327</v>
      </c>
      <c r="Q489" s="8" t="n">
        <v>3.28</v>
      </c>
      <c r="R489" s="8" t="n">
        <v>1</v>
      </c>
      <c r="S489" s="11" t="n">
        <v>44796</v>
      </c>
      <c r="T489" s="8" t="str">
        <f aca="true">IF(S489="","",IF(EDATE(S489,60)&lt;TODAY(),"Expired",IF(EDATE(S489,60)&lt;TODAY()+180,"Expiring Soon","Valid")))</f>
        <v>Valid</v>
      </c>
      <c r="U489" s="8" t="str">
        <f aca="false">IF(P489="","",IF(P489="A++","Top Tier",IF(P489="A+","High",IF(P489="A","Strong",IF(LEFT(P489,1)="B","Acceptable",IF(LEFT(P489,1)="C","Below Avg","-"))))))</f>
        <v>High</v>
      </c>
      <c r="Y489" s="8" t="n">
        <v>2</v>
      </c>
      <c r="Z489" s="11" t="n">
        <v>45838</v>
      </c>
      <c r="AA489" s="8" t="s">
        <v>404</v>
      </c>
      <c r="AB489" s="8" t="s">
        <v>329</v>
      </c>
      <c r="AT489" s="8"/>
      <c r="AU489" s="8"/>
    </row>
    <row r="490" customFormat="false" ht="15" hidden="false" customHeight="true" outlineLevel="0" collapsed="false">
      <c r="A490" s="8" t="n">
        <v>489</v>
      </c>
      <c r="B490" s="8" t="n">
        <v>72</v>
      </c>
      <c r="C490" s="8" t="s">
        <v>553</v>
      </c>
      <c r="D490" s="8" t="s">
        <v>333</v>
      </c>
      <c r="E490" s="9" t="s">
        <v>554</v>
      </c>
      <c r="F490" s="9" t="s">
        <v>300</v>
      </c>
      <c r="G490" s="8" t="s">
        <v>301</v>
      </c>
      <c r="H490" s="8" t="s">
        <v>302</v>
      </c>
      <c r="I490" s="8" t="s">
        <v>291</v>
      </c>
      <c r="J490" s="8" t="s">
        <v>292</v>
      </c>
      <c r="K490" s="8" t="s">
        <v>293</v>
      </c>
      <c r="L490" s="9" t="s">
        <v>294</v>
      </c>
      <c r="M490" s="8"/>
      <c r="N490" s="8" t="str">
        <f aca="true">IF(M490="","Active (per Notice 1)",IF(M490&lt;TODAY(),"Expired",IF(M490&lt;TODAY()+180,"Expiring Soon","Active")))</f>
        <v>Active (per Notice 1)</v>
      </c>
      <c r="O490" s="10" t="s">
        <v>295</v>
      </c>
      <c r="P490" s="8" t="s">
        <v>327</v>
      </c>
      <c r="Q490" s="8" t="n">
        <v>3.28</v>
      </c>
      <c r="R490" s="8" t="n">
        <v>1</v>
      </c>
      <c r="S490" s="11" t="n">
        <v>44796</v>
      </c>
      <c r="T490" s="8" t="str">
        <f aca="true">IF(S490="","",IF(EDATE(S490,60)&lt;TODAY(),"Expired",IF(EDATE(S490,60)&lt;TODAY()+180,"Expiring Soon","Valid")))</f>
        <v>Valid</v>
      </c>
      <c r="U490" s="8" t="str">
        <f aca="false">IF(P490="","",IF(P490="A++","Top Tier",IF(P490="A+","High",IF(P490="A","Strong",IF(LEFT(P490,1)="B","Acceptable",IF(LEFT(P490,1)="C","Below Avg","-"))))))</f>
        <v>High</v>
      </c>
      <c r="Y490" s="8" t="n">
        <v>2</v>
      </c>
      <c r="Z490" s="11" t="n">
        <v>45838</v>
      </c>
      <c r="AA490" s="8" t="s">
        <v>404</v>
      </c>
      <c r="AB490" s="8" t="s">
        <v>329</v>
      </c>
      <c r="AT490" s="8"/>
      <c r="AU490" s="8"/>
    </row>
    <row r="491" customFormat="false" ht="15" hidden="false" customHeight="true" outlineLevel="0" collapsed="false">
      <c r="A491" s="8" t="n">
        <v>490</v>
      </c>
      <c r="B491" s="8" t="n">
        <v>73</v>
      </c>
      <c r="C491" s="8" t="s">
        <v>553</v>
      </c>
      <c r="D491" s="8" t="s">
        <v>333</v>
      </c>
      <c r="E491" s="9" t="s">
        <v>556</v>
      </c>
      <c r="F491" s="9" t="s">
        <v>326</v>
      </c>
      <c r="G491" s="8" t="s">
        <v>318</v>
      </c>
      <c r="H491" s="8" t="s">
        <v>290</v>
      </c>
      <c r="I491" s="8" t="s">
        <v>291</v>
      </c>
      <c r="J491" s="8" t="s">
        <v>292</v>
      </c>
      <c r="K491" s="8" t="s">
        <v>293</v>
      </c>
      <c r="L491" s="9" t="s">
        <v>294</v>
      </c>
      <c r="M491" s="8"/>
      <c r="N491" s="8" t="str">
        <f aca="true">IF(M491="","Active (per Notice 1)",IF(M491&lt;TODAY(),"Expired",IF(M491&lt;TODAY()+180,"Expiring Soon","Active")))</f>
        <v>Active (per Notice 1)</v>
      </c>
      <c r="O491" s="12" t="s">
        <v>305</v>
      </c>
      <c r="P491" s="8" t="s">
        <v>327</v>
      </c>
      <c r="Q491" s="8" t="n">
        <v>3.4</v>
      </c>
      <c r="R491" s="8" t="n">
        <v>1</v>
      </c>
      <c r="S491" s="11" t="n">
        <v>45183</v>
      </c>
      <c r="T491" s="8" t="str">
        <f aca="true">IF(S491="","",IF(EDATE(S491,60)&lt;TODAY(),"Expired",IF(EDATE(S491,60)&lt;TODAY()+180,"Expiring Soon","Valid")))</f>
        <v>Valid</v>
      </c>
      <c r="U491" s="8" t="str">
        <f aca="false">IF(P491="","",IF(P491="A++","Top Tier",IF(P491="A+","High",IF(P491="A","Strong",IF(LEFT(P491,1)="B","Acceptable",IF(LEFT(P491,1)="C","Below Avg","-"))))))</f>
        <v>High</v>
      </c>
      <c r="AT491" s="8"/>
      <c r="AU491" s="8"/>
    </row>
    <row r="492" customFormat="false" ht="15" hidden="false" customHeight="true" outlineLevel="0" collapsed="false">
      <c r="A492" s="8" t="n">
        <v>491</v>
      </c>
      <c r="B492" s="8" t="n">
        <v>73</v>
      </c>
      <c r="C492" s="8" t="s">
        <v>553</v>
      </c>
      <c r="D492" s="8" t="s">
        <v>333</v>
      </c>
      <c r="E492" s="9" t="s">
        <v>556</v>
      </c>
      <c r="F492" s="9" t="s">
        <v>397</v>
      </c>
      <c r="G492" s="8" t="s">
        <v>320</v>
      </c>
      <c r="H492" s="8" t="s">
        <v>290</v>
      </c>
      <c r="I492" s="8" t="s">
        <v>291</v>
      </c>
      <c r="J492" s="8" t="s">
        <v>292</v>
      </c>
      <c r="K492" s="8" t="s">
        <v>293</v>
      </c>
      <c r="L492" s="9" t="s">
        <v>294</v>
      </c>
      <c r="M492" s="8"/>
      <c r="N492" s="8" t="str">
        <f aca="true">IF(M492="","Active (per Notice 1)",IF(M492&lt;TODAY(),"Expired",IF(M492&lt;TODAY()+180,"Expiring Soon","Active")))</f>
        <v>Active (per Notice 1)</v>
      </c>
      <c r="O492" s="12" t="s">
        <v>305</v>
      </c>
      <c r="P492" s="8" t="s">
        <v>327</v>
      </c>
      <c r="Q492" s="8" t="n">
        <v>3.4</v>
      </c>
      <c r="R492" s="8" t="n">
        <v>1</v>
      </c>
      <c r="S492" s="11" t="n">
        <v>45183</v>
      </c>
      <c r="T492" s="8" t="str">
        <f aca="true">IF(S492="","",IF(EDATE(S492,60)&lt;TODAY(),"Expired",IF(EDATE(S492,60)&lt;TODAY()+180,"Expiring Soon","Valid")))</f>
        <v>Valid</v>
      </c>
      <c r="U492" s="8" t="str">
        <f aca="false">IF(P492="","",IF(P492="A++","Top Tier",IF(P492="A+","High",IF(P492="A","Strong",IF(LEFT(P492,1)="B","Acceptable",IF(LEFT(P492,1)="C","Below Avg","-"))))))</f>
        <v>High</v>
      </c>
      <c r="AT492" s="8"/>
      <c r="AU492" s="8"/>
    </row>
    <row r="493" customFormat="false" ht="15" hidden="false" customHeight="true" outlineLevel="0" collapsed="false">
      <c r="A493" s="8" t="n">
        <v>492</v>
      </c>
      <c r="B493" s="8" t="n">
        <v>73</v>
      </c>
      <c r="C493" s="8" t="s">
        <v>553</v>
      </c>
      <c r="D493" s="8" t="s">
        <v>333</v>
      </c>
      <c r="E493" s="9" t="s">
        <v>556</v>
      </c>
      <c r="F493" s="9" t="s">
        <v>359</v>
      </c>
      <c r="G493" s="8" t="s">
        <v>289</v>
      </c>
      <c r="H493" s="8" t="s">
        <v>290</v>
      </c>
      <c r="I493" s="8" t="s">
        <v>291</v>
      </c>
      <c r="J493" s="8" t="s">
        <v>292</v>
      </c>
      <c r="K493" s="8" t="s">
        <v>293</v>
      </c>
      <c r="L493" s="9" t="s">
        <v>294</v>
      </c>
      <c r="M493" s="8"/>
      <c r="N493" s="8" t="str">
        <f aca="true">IF(M493="","Active (per Notice 1)",IF(M493&lt;TODAY(),"Expired",IF(M493&lt;TODAY()+180,"Expiring Soon","Active")))</f>
        <v>Active (per Notice 1)</v>
      </c>
      <c r="O493" s="10" t="s">
        <v>295</v>
      </c>
      <c r="P493" s="8" t="s">
        <v>327</v>
      </c>
      <c r="Q493" s="8" t="n">
        <v>3.4</v>
      </c>
      <c r="R493" s="8" t="n">
        <v>1</v>
      </c>
      <c r="S493" s="11" t="n">
        <v>45183</v>
      </c>
      <c r="T493" s="8" t="str">
        <f aca="true">IF(S493="","",IF(EDATE(S493,60)&lt;TODAY(),"Expired",IF(EDATE(S493,60)&lt;TODAY()+180,"Expiring Soon","Valid")))</f>
        <v>Valid</v>
      </c>
      <c r="U493" s="8" t="str">
        <f aca="false">IF(P493="","",IF(P493="A++","Top Tier",IF(P493="A+","High",IF(P493="A","Strong",IF(LEFT(P493,1)="B","Acceptable",IF(LEFT(P493,1)="C","Below Avg","-"))))))</f>
        <v>High</v>
      </c>
      <c r="AT493" s="8"/>
      <c r="AU493" s="8"/>
    </row>
    <row r="494" customFormat="false" ht="15" hidden="false" customHeight="true" outlineLevel="0" collapsed="false">
      <c r="A494" s="8" t="n">
        <v>493</v>
      </c>
      <c r="B494" s="8" t="n">
        <v>73</v>
      </c>
      <c r="C494" s="8" t="s">
        <v>553</v>
      </c>
      <c r="D494" s="8" t="s">
        <v>333</v>
      </c>
      <c r="E494" s="9" t="s">
        <v>556</v>
      </c>
      <c r="F494" s="9" t="s">
        <v>364</v>
      </c>
      <c r="G494" s="8" t="s">
        <v>309</v>
      </c>
      <c r="H494" s="8" t="s">
        <v>302</v>
      </c>
      <c r="I494" s="8" t="s">
        <v>291</v>
      </c>
      <c r="J494" s="8" t="s">
        <v>292</v>
      </c>
      <c r="K494" s="8" t="s">
        <v>293</v>
      </c>
      <c r="L494" s="9" t="s">
        <v>294</v>
      </c>
      <c r="M494" s="8"/>
      <c r="N494" s="8" t="str">
        <f aca="true">IF(M494="","Active (per Notice 1)",IF(M494&lt;TODAY(),"Expired",IF(M494&lt;TODAY()+180,"Expiring Soon","Active")))</f>
        <v>Active (per Notice 1)</v>
      </c>
      <c r="O494" s="10" t="s">
        <v>295</v>
      </c>
      <c r="P494" s="8" t="s">
        <v>327</v>
      </c>
      <c r="Q494" s="8" t="n">
        <v>3.4</v>
      </c>
      <c r="R494" s="8" t="n">
        <v>1</v>
      </c>
      <c r="S494" s="11" t="n">
        <v>45183</v>
      </c>
      <c r="T494" s="8" t="str">
        <f aca="true">IF(S494="","",IF(EDATE(S494,60)&lt;TODAY(),"Expired",IF(EDATE(S494,60)&lt;TODAY()+180,"Expiring Soon","Valid")))</f>
        <v>Valid</v>
      </c>
      <c r="U494" s="8" t="str">
        <f aca="false">IF(P494="","",IF(P494="A++","Top Tier",IF(P494="A+","High",IF(P494="A","Strong",IF(LEFT(P494,1)="B","Acceptable",IF(LEFT(P494,1)="C","Below Avg","-"))))))</f>
        <v>High</v>
      </c>
      <c r="AT494" s="8"/>
      <c r="AU494" s="8"/>
    </row>
    <row r="495" customFormat="false" ht="15" hidden="false" customHeight="true" outlineLevel="0" collapsed="false">
      <c r="A495" s="8" t="n">
        <v>494</v>
      </c>
      <c r="B495" s="8" t="n">
        <v>73</v>
      </c>
      <c r="C495" s="8" t="s">
        <v>553</v>
      </c>
      <c r="D495" s="8" t="s">
        <v>333</v>
      </c>
      <c r="E495" s="9" t="s">
        <v>556</v>
      </c>
      <c r="F495" s="9" t="s">
        <v>303</v>
      </c>
      <c r="G495" s="8" t="s">
        <v>304</v>
      </c>
      <c r="H495" s="8" t="s">
        <v>302</v>
      </c>
      <c r="I495" s="8" t="s">
        <v>291</v>
      </c>
      <c r="J495" s="8" t="s">
        <v>292</v>
      </c>
      <c r="K495" s="8" t="s">
        <v>293</v>
      </c>
      <c r="L495" s="9" t="s">
        <v>294</v>
      </c>
      <c r="M495" s="8"/>
      <c r="N495" s="8" t="str">
        <f aca="true">IF(M495="","Active (per Notice 1)",IF(M495&lt;TODAY(),"Expired",IF(M495&lt;TODAY()+180,"Expiring Soon","Active")))</f>
        <v>Active (per Notice 1)</v>
      </c>
      <c r="O495" s="12" t="s">
        <v>305</v>
      </c>
      <c r="P495" s="8" t="s">
        <v>327</v>
      </c>
      <c r="Q495" s="8" t="n">
        <v>3.4</v>
      </c>
      <c r="R495" s="8" t="n">
        <v>1</v>
      </c>
      <c r="S495" s="11" t="n">
        <v>45183</v>
      </c>
      <c r="T495" s="8" t="str">
        <f aca="true">IF(S495="","",IF(EDATE(S495,60)&lt;TODAY(),"Expired",IF(EDATE(S495,60)&lt;TODAY()+180,"Expiring Soon","Valid")))</f>
        <v>Valid</v>
      </c>
      <c r="U495" s="8" t="str">
        <f aca="false">IF(P495="","",IF(P495="A++","Top Tier",IF(P495="A+","High",IF(P495="A","Strong",IF(LEFT(P495,1)="B","Acceptable",IF(LEFT(P495,1)="C","Below Avg","-"))))))</f>
        <v>High</v>
      </c>
      <c r="AT495" s="8"/>
      <c r="AU495" s="8"/>
    </row>
    <row r="496" customFormat="false" ht="15" hidden="false" customHeight="true" outlineLevel="0" collapsed="false">
      <c r="A496" s="8" t="n">
        <v>495</v>
      </c>
      <c r="B496" s="8" t="n">
        <v>73</v>
      </c>
      <c r="C496" s="8" t="s">
        <v>553</v>
      </c>
      <c r="D496" s="8" t="s">
        <v>333</v>
      </c>
      <c r="E496" s="9" t="s">
        <v>556</v>
      </c>
      <c r="F496" s="9" t="s">
        <v>306</v>
      </c>
      <c r="G496" s="8" t="s">
        <v>307</v>
      </c>
      <c r="H496" s="8" t="s">
        <v>302</v>
      </c>
      <c r="I496" s="8" t="s">
        <v>291</v>
      </c>
      <c r="J496" s="8" t="s">
        <v>292</v>
      </c>
      <c r="K496" s="8" t="s">
        <v>293</v>
      </c>
      <c r="L496" s="9" t="s">
        <v>294</v>
      </c>
      <c r="M496" s="8"/>
      <c r="N496" s="8" t="str">
        <f aca="true">IF(M496="","Active (per Notice 1)",IF(M496&lt;TODAY(),"Expired",IF(M496&lt;TODAY()+180,"Expiring Soon","Active")))</f>
        <v>Active (per Notice 1)</v>
      </c>
      <c r="O496" s="12" t="s">
        <v>305</v>
      </c>
      <c r="P496" s="8" t="s">
        <v>327</v>
      </c>
      <c r="Q496" s="8" t="n">
        <v>3.4</v>
      </c>
      <c r="R496" s="8" t="n">
        <v>1</v>
      </c>
      <c r="S496" s="11" t="n">
        <v>45183</v>
      </c>
      <c r="T496" s="8" t="str">
        <f aca="true">IF(S496="","",IF(EDATE(S496,60)&lt;TODAY(),"Expired",IF(EDATE(S496,60)&lt;TODAY()+180,"Expiring Soon","Valid")))</f>
        <v>Valid</v>
      </c>
      <c r="U496" s="8" t="str">
        <f aca="false">IF(P496="","",IF(P496="A++","Top Tier",IF(P496="A+","High",IF(P496="A","Strong",IF(LEFT(P496,1)="B","Acceptable",IF(LEFT(P496,1)="C","Below Avg","-"))))))</f>
        <v>High</v>
      </c>
      <c r="AT496" s="8"/>
      <c r="AU496" s="8"/>
    </row>
    <row r="497" customFormat="false" ht="15" hidden="false" customHeight="true" outlineLevel="0" collapsed="false">
      <c r="A497" s="8" t="n">
        <v>496</v>
      </c>
      <c r="B497" s="8" t="n">
        <v>74</v>
      </c>
      <c r="C497" s="8" t="s">
        <v>557</v>
      </c>
      <c r="D497" s="8" t="s">
        <v>286</v>
      </c>
      <c r="E497" s="9" t="s">
        <v>558</v>
      </c>
      <c r="F497" s="9" t="s">
        <v>559</v>
      </c>
      <c r="G497" s="8" t="s">
        <v>298</v>
      </c>
      <c r="H497" s="8" t="s">
        <v>290</v>
      </c>
      <c r="I497" s="8" t="s">
        <v>291</v>
      </c>
      <c r="J497" s="8" t="s">
        <v>292</v>
      </c>
      <c r="K497" s="8" t="s">
        <v>293</v>
      </c>
      <c r="L497" s="9" t="s">
        <v>294</v>
      </c>
      <c r="M497" s="8"/>
      <c r="N497" s="8" t="str">
        <f aca="true">IF(M497="","Active (per Notice 1)",IF(M497&lt;TODAY(),"Expired",IF(M497&lt;TODAY()+180,"Expiring Soon","Active")))</f>
        <v>Active (per Notice 1)</v>
      </c>
      <c r="O497" s="10" t="s">
        <v>295</v>
      </c>
      <c r="P497" s="8"/>
      <c r="Q497" s="8"/>
      <c r="AC497" s="8" t="n">
        <v>61</v>
      </c>
      <c r="AD497" s="8" t="n">
        <v>36</v>
      </c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 t="n">
        <v>16</v>
      </c>
      <c r="AP497" s="8"/>
      <c r="AQ497" s="8"/>
      <c r="AR497" s="8"/>
      <c r="AS497" s="8"/>
      <c r="AT497" s="8"/>
      <c r="AU497" s="8"/>
    </row>
    <row r="498" customFormat="false" ht="15" hidden="false" customHeight="true" outlineLevel="0" collapsed="false">
      <c r="A498" s="8" t="n">
        <v>497</v>
      </c>
      <c r="B498" s="8" t="n">
        <v>74</v>
      </c>
      <c r="C498" s="8" t="s">
        <v>557</v>
      </c>
      <c r="D498" s="8" t="s">
        <v>286</v>
      </c>
      <c r="E498" s="9" t="s">
        <v>558</v>
      </c>
      <c r="F498" s="9" t="s">
        <v>384</v>
      </c>
      <c r="G498" s="8" t="s">
        <v>298</v>
      </c>
      <c r="H498" s="8" t="s">
        <v>290</v>
      </c>
      <c r="I498" s="8" t="s">
        <v>291</v>
      </c>
      <c r="J498" s="8" t="s">
        <v>292</v>
      </c>
      <c r="K498" s="8" t="s">
        <v>293</v>
      </c>
      <c r="L498" s="9" t="s">
        <v>294</v>
      </c>
      <c r="M498" s="8"/>
      <c r="N498" s="8" t="str">
        <f aca="true">IF(M498="","Active (per Notice 1)",IF(M498&lt;TODAY(),"Expired",IF(M498&lt;TODAY()+180,"Expiring Soon","Active")))</f>
        <v>Active (per Notice 1)</v>
      </c>
      <c r="O498" s="10" t="s">
        <v>295</v>
      </c>
      <c r="P498" s="8"/>
      <c r="Q498" s="8"/>
      <c r="AC498" s="8" t="n">
        <v>61</v>
      </c>
      <c r="AD498" s="8" t="n">
        <v>36</v>
      </c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 t="n">
        <v>16</v>
      </c>
      <c r="AP498" s="8"/>
      <c r="AQ498" s="8"/>
      <c r="AR498" s="8"/>
      <c r="AS498" s="8"/>
      <c r="AT498" s="8"/>
      <c r="AU498" s="8"/>
    </row>
    <row r="499" customFormat="false" ht="15" hidden="false" customHeight="true" outlineLevel="0" collapsed="false">
      <c r="A499" s="8" t="n">
        <v>498</v>
      </c>
      <c r="B499" s="8" t="n">
        <v>74</v>
      </c>
      <c r="C499" s="8" t="s">
        <v>557</v>
      </c>
      <c r="D499" s="8" t="s">
        <v>286</v>
      </c>
      <c r="E499" s="9" t="s">
        <v>558</v>
      </c>
      <c r="F499" s="9" t="s">
        <v>317</v>
      </c>
      <c r="G499" s="8" t="s">
        <v>318</v>
      </c>
      <c r="H499" s="8" t="s">
        <v>290</v>
      </c>
      <c r="I499" s="8" t="s">
        <v>291</v>
      </c>
      <c r="J499" s="8" t="s">
        <v>292</v>
      </c>
      <c r="K499" s="8" t="s">
        <v>293</v>
      </c>
      <c r="L499" s="9" t="s">
        <v>294</v>
      </c>
      <c r="M499" s="8"/>
      <c r="N499" s="8" t="str">
        <f aca="true">IF(M499="","Active (per Notice 1)",IF(M499&lt;TODAY(),"Expired",IF(M499&lt;TODAY()+180,"Expiring Soon","Active")))</f>
        <v>Active (per Notice 1)</v>
      </c>
      <c r="O499" s="12" t="s">
        <v>305</v>
      </c>
      <c r="P499" s="8"/>
      <c r="Q499" s="8"/>
      <c r="AC499" s="8" t="n">
        <v>61</v>
      </c>
      <c r="AD499" s="8" t="n">
        <v>36</v>
      </c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 t="n">
        <v>16</v>
      </c>
      <c r="AP499" s="8"/>
      <c r="AQ499" s="8"/>
      <c r="AR499" s="8"/>
      <c r="AS499" s="8"/>
      <c r="AT499" s="8"/>
      <c r="AU499" s="8"/>
    </row>
    <row r="500" customFormat="false" ht="15" hidden="false" customHeight="true" outlineLevel="0" collapsed="false">
      <c r="A500" s="8" t="n">
        <v>499</v>
      </c>
      <c r="B500" s="8" t="n">
        <v>74</v>
      </c>
      <c r="C500" s="8" t="s">
        <v>557</v>
      </c>
      <c r="D500" s="8" t="s">
        <v>286</v>
      </c>
      <c r="E500" s="9" t="s">
        <v>558</v>
      </c>
      <c r="F500" s="9" t="s">
        <v>311</v>
      </c>
      <c r="G500" s="8" t="s">
        <v>301</v>
      </c>
      <c r="H500" s="8" t="s">
        <v>302</v>
      </c>
      <c r="I500" s="8" t="s">
        <v>291</v>
      </c>
      <c r="J500" s="8" t="s">
        <v>292</v>
      </c>
      <c r="K500" s="8" t="s">
        <v>293</v>
      </c>
      <c r="L500" s="9" t="s">
        <v>294</v>
      </c>
      <c r="M500" s="8"/>
      <c r="N500" s="8" t="str">
        <f aca="true">IF(M500="","Active (per Notice 1)",IF(M500&lt;TODAY(),"Expired",IF(M500&lt;TODAY()+180,"Expiring Soon","Active")))</f>
        <v>Active (per Notice 1)</v>
      </c>
      <c r="O500" s="10" t="s">
        <v>295</v>
      </c>
      <c r="P500" s="8"/>
      <c r="Q500" s="8"/>
      <c r="AC500" s="8" t="n">
        <v>61</v>
      </c>
      <c r="AD500" s="8" t="n">
        <v>36</v>
      </c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 t="n">
        <v>16</v>
      </c>
      <c r="AP500" s="8"/>
      <c r="AQ500" s="8"/>
      <c r="AR500" s="8"/>
      <c r="AS500" s="8"/>
      <c r="AT500" s="8"/>
      <c r="AU500" s="8"/>
    </row>
    <row r="501" customFormat="false" ht="15" hidden="false" customHeight="true" outlineLevel="0" collapsed="false">
      <c r="A501" s="8" t="n">
        <v>500</v>
      </c>
      <c r="B501" s="8" t="n">
        <v>74</v>
      </c>
      <c r="C501" s="8" t="s">
        <v>557</v>
      </c>
      <c r="D501" s="8" t="s">
        <v>286</v>
      </c>
      <c r="E501" s="9" t="s">
        <v>558</v>
      </c>
      <c r="F501" s="9" t="s">
        <v>312</v>
      </c>
      <c r="G501" s="8" t="s">
        <v>301</v>
      </c>
      <c r="H501" s="8" t="s">
        <v>302</v>
      </c>
      <c r="I501" s="8" t="s">
        <v>291</v>
      </c>
      <c r="J501" s="8" t="s">
        <v>292</v>
      </c>
      <c r="K501" s="8" t="s">
        <v>293</v>
      </c>
      <c r="L501" s="9" t="s">
        <v>294</v>
      </c>
      <c r="M501" s="8"/>
      <c r="N501" s="8" t="str">
        <f aca="true">IF(M501="","Active (per Notice 1)",IF(M501&lt;TODAY(),"Expired",IF(M501&lt;TODAY()+180,"Expiring Soon","Active")))</f>
        <v>Active (per Notice 1)</v>
      </c>
      <c r="O501" s="10" t="s">
        <v>295</v>
      </c>
      <c r="P501" s="8"/>
      <c r="Q501" s="8"/>
      <c r="AC501" s="8" t="n">
        <v>61</v>
      </c>
      <c r="AD501" s="8" t="n">
        <v>36</v>
      </c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 t="n">
        <v>16</v>
      </c>
      <c r="AP501" s="8"/>
      <c r="AQ501" s="8"/>
      <c r="AR501" s="8"/>
      <c r="AS501" s="8"/>
      <c r="AT501" s="8"/>
      <c r="AU501" s="8"/>
    </row>
    <row r="502" customFormat="false" ht="15" hidden="false" customHeight="true" outlineLevel="0" collapsed="false">
      <c r="A502" s="8" t="n">
        <v>501</v>
      </c>
      <c r="B502" s="8" t="n">
        <v>74</v>
      </c>
      <c r="C502" s="8" t="s">
        <v>557</v>
      </c>
      <c r="D502" s="8" t="s">
        <v>286</v>
      </c>
      <c r="E502" s="9" t="s">
        <v>558</v>
      </c>
      <c r="F502" s="9" t="s">
        <v>347</v>
      </c>
      <c r="G502" s="8" t="s">
        <v>301</v>
      </c>
      <c r="H502" s="8" t="s">
        <v>302</v>
      </c>
      <c r="I502" s="8" t="s">
        <v>291</v>
      </c>
      <c r="J502" s="8" t="s">
        <v>292</v>
      </c>
      <c r="K502" s="8" t="s">
        <v>293</v>
      </c>
      <c r="L502" s="9" t="s">
        <v>294</v>
      </c>
      <c r="M502" s="8"/>
      <c r="N502" s="8" t="str">
        <f aca="true">IF(M502="","Active (per Notice 1)",IF(M502&lt;TODAY(),"Expired",IF(M502&lt;TODAY()+180,"Expiring Soon","Active")))</f>
        <v>Active (per Notice 1)</v>
      </c>
      <c r="O502" s="10" t="s">
        <v>295</v>
      </c>
      <c r="P502" s="8"/>
      <c r="Q502" s="8"/>
      <c r="AC502" s="8" t="n">
        <v>61</v>
      </c>
      <c r="AD502" s="8" t="n">
        <v>36</v>
      </c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 t="n">
        <v>16</v>
      </c>
      <c r="AP502" s="8"/>
      <c r="AQ502" s="8"/>
      <c r="AR502" s="8"/>
      <c r="AS502" s="8"/>
      <c r="AT502" s="8"/>
      <c r="AU502" s="8"/>
    </row>
    <row r="503" customFormat="false" ht="15" hidden="false" customHeight="true" outlineLevel="0" collapsed="false">
      <c r="A503" s="8" t="n">
        <v>502</v>
      </c>
      <c r="B503" s="8" t="n">
        <v>74</v>
      </c>
      <c r="C503" s="8" t="s">
        <v>557</v>
      </c>
      <c r="D503" s="8" t="s">
        <v>286</v>
      </c>
      <c r="E503" s="9" t="s">
        <v>558</v>
      </c>
      <c r="F503" s="9" t="s">
        <v>310</v>
      </c>
      <c r="G503" s="8" t="s">
        <v>301</v>
      </c>
      <c r="H503" s="8" t="s">
        <v>302</v>
      </c>
      <c r="I503" s="8" t="s">
        <v>291</v>
      </c>
      <c r="J503" s="8" t="s">
        <v>292</v>
      </c>
      <c r="K503" s="8" t="s">
        <v>293</v>
      </c>
      <c r="L503" s="9" t="s">
        <v>294</v>
      </c>
      <c r="M503" s="8"/>
      <c r="N503" s="8" t="str">
        <f aca="true">IF(M503="","Active (per Notice 1)",IF(M503&lt;TODAY(),"Expired",IF(M503&lt;TODAY()+180,"Expiring Soon","Active")))</f>
        <v>Active (per Notice 1)</v>
      </c>
      <c r="O503" s="10" t="s">
        <v>295</v>
      </c>
      <c r="P503" s="8"/>
      <c r="Q503" s="8"/>
      <c r="AC503" s="8" t="n">
        <v>61</v>
      </c>
      <c r="AD503" s="8" t="n">
        <v>36</v>
      </c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 t="n">
        <v>16</v>
      </c>
      <c r="AP503" s="8"/>
      <c r="AQ503" s="8"/>
      <c r="AR503" s="8"/>
      <c r="AS503" s="8"/>
      <c r="AT503" s="8"/>
      <c r="AU503" s="8"/>
    </row>
    <row r="504" customFormat="false" ht="15" hidden="false" customHeight="true" outlineLevel="0" collapsed="false">
      <c r="A504" s="8" t="n">
        <v>503</v>
      </c>
      <c r="B504" s="8" t="n">
        <v>74</v>
      </c>
      <c r="C504" s="8" t="s">
        <v>557</v>
      </c>
      <c r="D504" s="8" t="s">
        <v>286</v>
      </c>
      <c r="E504" s="9" t="s">
        <v>558</v>
      </c>
      <c r="F504" s="9" t="s">
        <v>361</v>
      </c>
      <c r="G504" s="8" t="s">
        <v>301</v>
      </c>
      <c r="H504" s="8" t="s">
        <v>302</v>
      </c>
      <c r="I504" s="8" t="s">
        <v>291</v>
      </c>
      <c r="J504" s="8" t="s">
        <v>292</v>
      </c>
      <c r="K504" s="8" t="s">
        <v>293</v>
      </c>
      <c r="L504" s="9" t="s">
        <v>294</v>
      </c>
      <c r="M504" s="8"/>
      <c r="N504" s="8" t="str">
        <f aca="true">IF(M504="","Active (per Notice 1)",IF(M504&lt;TODAY(),"Expired",IF(M504&lt;TODAY()+180,"Expiring Soon","Active")))</f>
        <v>Active (per Notice 1)</v>
      </c>
      <c r="O504" s="10" t="s">
        <v>295</v>
      </c>
      <c r="P504" s="8"/>
      <c r="Q504" s="8"/>
      <c r="AC504" s="8" t="n">
        <v>61</v>
      </c>
      <c r="AD504" s="8" t="n">
        <v>36</v>
      </c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 t="n">
        <v>16</v>
      </c>
      <c r="AP504" s="8"/>
      <c r="AQ504" s="8"/>
      <c r="AR504" s="8"/>
      <c r="AS504" s="8"/>
      <c r="AT504" s="8"/>
      <c r="AU504" s="8"/>
    </row>
    <row r="505" customFormat="false" ht="15" hidden="false" customHeight="true" outlineLevel="0" collapsed="false">
      <c r="A505" s="8" t="n">
        <v>504</v>
      </c>
      <c r="B505" s="8" t="n">
        <v>74</v>
      </c>
      <c r="C505" s="8" t="s">
        <v>557</v>
      </c>
      <c r="D505" s="8" t="s">
        <v>286</v>
      </c>
      <c r="E505" s="9" t="s">
        <v>558</v>
      </c>
      <c r="F505" s="9" t="s">
        <v>560</v>
      </c>
      <c r="G505" s="8" t="s">
        <v>301</v>
      </c>
      <c r="H505" s="8" t="s">
        <v>302</v>
      </c>
      <c r="I505" s="8" t="s">
        <v>291</v>
      </c>
      <c r="J505" s="8" t="s">
        <v>292</v>
      </c>
      <c r="K505" s="8" t="s">
        <v>293</v>
      </c>
      <c r="L505" s="9" t="s">
        <v>294</v>
      </c>
      <c r="M505" s="8"/>
      <c r="N505" s="8" t="str">
        <f aca="true">IF(M505="","Active (per Notice 1)",IF(M505&lt;TODAY(),"Expired",IF(M505&lt;TODAY()+180,"Expiring Soon","Active")))</f>
        <v>Active (per Notice 1)</v>
      </c>
      <c r="O505" s="10" t="s">
        <v>295</v>
      </c>
      <c r="P505" s="8"/>
      <c r="Q505" s="8"/>
      <c r="AC505" s="8" t="n">
        <v>61</v>
      </c>
      <c r="AD505" s="8" t="n">
        <v>36</v>
      </c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 t="n">
        <v>16</v>
      </c>
      <c r="AP505" s="8"/>
      <c r="AQ505" s="8"/>
      <c r="AR505" s="8"/>
      <c r="AS505" s="8"/>
      <c r="AT505" s="8"/>
      <c r="AU505" s="8"/>
    </row>
    <row r="506" customFormat="false" ht="15" hidden="false" customHeight="true" outlineLevel="0" collapsed="false">
      <c r="A506" s="8" t="n">
        <v>505</v>
      </c>
      <c r="B506" s="8" t="n">
        <v>74</v>
      </c>
      <c r="C506" s="8" t="s">
        <v>557</v>
      </c>
      <c r="D506" s="8" t="s">
        <v>286</v>
      </c>
      <c r="E506" s="9" t="s">
        <v>558</v>
      </c>
      <c r="F506" s="9" t="s">
        <v>303</v>
      </c>
      <c r="G506" s="8" t="s">
        <v>304</v>
      </c>
      <c r="H506" s="8" t="s">
        <v>302</v>
      </c>
      <c r="I506" s="8" t="s">
        <v>291</v>
      </c>
      <c r="J506" s="8" t="s">
        <v>292</v>
      </c>
      <c r="K506" s="8" t="s">
        <v>293</v>
      </c>
      <c r="L506" s="9" t="s">
        <v>294</v>
      </c>
      <c r="M506" s="8"/>
      <c r="N506" s="8" t="str">
        <f aca="true">IF(M506="","Active (per Notice 1)",IF(M506&lt;TODAY(),"Expired",IF(M506&lt;TODAY()+180,"Expiring Soon","Active")))</f>
        <v>Active (per Notice 1)</v>
      </c>
      <c r="O506" s="12" t="s">
        <v>305</v>
      </c>
      <c r="P506" s="8"/>
      <c r="Q506" s="8"/>
      <c r="AC506" s="8" t="n">
        <v>61</v>
      </c>
      <c r="AD506" s="8" t="n">
        <v>36</v>
      </c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 t="n">
        <v>16</v>
      </c>
      <c r="AP506" s="8"/>
      <c r="AQ506" s="8"/>
      <c r="AR506" s="8"/>
      <c r="AS506" s="8"/>
      <c r="AT506" s="8"/>
      <c r="AU506" s="8"/>
    </row>
    <row r="507" customFormat="false" ht="23.25" hidden="false" customHeight="true" outlineLevel="0" collapsed="false">
      <c r="A507" s="8" t="n">
        <v>506</v>
      </c>
      <c r="B507" s="8" t="n">
        <v>75</v>
      </c>
      <c r="C507" s="8" t="s">
        <v>557</v>
      </c>
      <c r="D507" s="8" t="s">
        <v>315</v>
      </c>
      <c r="E507" s="9" t="s">
        <v>561</v>
      </c>
      <c r="F507" s="9" t="s">
        <v>384</v>
      </c>
      <c r="G507" s="8" t="s">
        <v>298</v>
      </c>
      <c r="H507" s="8" t="s">
        <v>290</v>
      </c>
      <c r="I507" s="8" t="s">
        <v>291</v>
      </c>
      <c r="J507" s="8" t="s">
        <v>292</v>
      </c>
      <c r="K507" s="8" t="s">
        <v>293</v>
      </c>
      <c r="L507" s="9" t="s">
        <v>294</v>
      </c>
      <c r="M507" s="8"/>
      <c r="N507" s="8" t="str">
        <f aca="true">IF(M507="","Active (per Notice 1)",IF(M507&lt;TODAY(),"Expired",IF(M507&lt;TODAY()+180,"Expiring Soon","Active")))</f>
        <v>Active (per Notice 1)</v>
      </c>
      <c r="O507" s="10" t="s">
        <v>295</v>
      </c>
      <c r="P507" s="8"/>
      <c r="Q507" s="8"/>
      <c r="AC507" s="8" t="n">
        <v>90</v>
      </c>
      <c r="AD507" s="8" t="n">
        <v>76</v>
      </c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</row>
    <row r="508" customFormat="false" ht="23.25" hidden="false" customHeight="true" outlineLevel="0" collapsed="false">
      <c r="A508" s="8" t="n">
        <v>507</v>
      </c>
      <c r="B508" s="8" t="n">
        <v>75</v>
      </c>
      <c r="C508" s="8" t="s">
        <v>557</v>
      </c>
      <c r="D508" s="8" t="s">
        <v>315</v>
      </c>
      <c r="E508" s="9" t="s">
        <v>561</v>
      </c>
      <c r="F508" s="9" t="s">
        <v>359</v>
      </c>
      <c r="G508" s="8" t="s">
        <v>289</v>
      </c>
      <c r="H508" s="8" t="s">
        <v>290</v>
      </c>
      <c r="I508" s="8" t="s">
        <v>291</v>
      </c>
      <c r="J508" s="8" t="s">
        <v>292</v>
      </c>
      <c r="K508" s="8" t="s">
        <v>293</v>
      </c>
      <c r="L508" s="9" t="s">
        <v>294</v>
      </c>
      <c r="M508" s="8"/>
      <c r="N508" s="8" t="str">
        <f aca="true">IF(M508="","Active (per Notice 1)",IF(M508&lt;TODAY(),"Expired",IF(M508&lt;TODAY()+180,"Expiring Soon","Active")))</f>
        <v>Active (per Notice 1)</v>
      </c>
      <c r="O508" s="10" t="s">
        <v>295</v>
      </c>
      <c r="P508" s="8"/>
      <c r="Q508" s="8"/>
      <c r="AC508" s="8" t="n">
        <v>90</v>
      </c>
      <c r="AD508" s="8" t="n">
        <v>76</v>
      </c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</row>
    <row r="509" customFormat="false" ht="23.25" hidden="false" customHeight="true" outlineLevel="0" collapsed="false">
      <c r="A509" s="8" t="n">
        <v>508</v>
      </c>
      <c r="B509" s="8" t="n">
        <v>75</v>
      </c>
      <c r="C509" s="8" t="s">
        <v>557</v>
      </c>
      <c r="D509" s="8" t="s">
        <v>315</v>
      </c>
      <c r="E509" s="9" t="s">
        <v>561</v>
      </c>
      <c r="F509" s="9" t="s">
        <v>364</v>
      </c>
      <c r="G509" s="8" t="s">
        <v>309</v>
      </c>
      <c r="H509" s="8" t="s">
        <v>302</v>
      </c>
      <c r="I509" s="8" t="s">
        <v>291</v>
      </c>
      <c r="J509" s="8" t="s">
        <v>292</v>
      </c>
      <c r="K509" s="8" t="s">
        <v>293</v>
      </c>
      <c r="L509" s="9" t="s">
        <v>294</v>
      </c>
      <c r="M509" s="8"/>
      <c r="N509" s="8" t="str">
        <f aca="true">IF(M509="","Active (per Notice 1)",IF(M509&lt;TODAY(),"Expired",IF(M509&lt;TODAY()+180,"Expiring Soon","Active")))</f>
        <v>Active (per Notice 1)</v>
      </c>
      <c r="O509" s="10" t="s">
        <v>295</v>
      </c>
      <c r="P509" s="8"/>
      <c r="Q509" s="8"/>
      <c r="AC509" s="8" t="n">
        <v>90</v>
      </c>
      <c r="AD509" s="8" t="n">
        <v>76</v>
      </c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</row>
    <row r="510" customFormat="false" ht="23.25" hidden="false" customHeight="true" outlineLevel="0" collapsed="false">
      <c r="A510" s="8" t="n">
        <v>509</v>
      </c>
      <c r="B510" s="8" t="n">
        <v>76</v>
      </c>
      <c r="C510" s="8" t="s">
        <v>557</v>
      </c>
      <c r="D510" s="8" t="s">
        <v>315</v>
      </c>
      <c r="E510" s="9" t="s">
        <v>562</v>
      </c>
      <c r="F510" s="9" t="s">
        <v>563</v>
      </c>
      <c r="G510" s="8" t="s">
        <v>298</v>
      </c>
      <c r="H510" s="8" t="s">
        <v>290</v>
      </c>
      <c r="I510" s="8" t="s">
        <v>291</v>
      </c>
      <c r="J510" s="8" t="s">
        <v>292</v>
      </c>
      <c r="K510" s="8" t="s">
        <v>293</v>
      </c>
      <c r="L510" s="9" t="s">
        <v>294</v>
      </c>
      <c r="M510" s="8"/>
      <c r="N510" s="8" t="str">
        <f aca="true">IF(M510="","Active (per Notice 1)",IF(M510&lt;TODAY(),"Expired",IF(M510&lt;TODAY()+180,"Expiring Soon","Active")))</f>
        <v>Active (per Notice 1)</v>
      </c>
      <c r="O510" s="10" t="s">
        <v>295</v>
      </c>
      <c r="P510" s="8" t="s">
        <v>327</v>
      </c>
      <c r="Q510" s="8" t="n">
        <v>3.33</v>
      </c>
      <c r="R510" s="8" t="n">
        <v>2</v>
      </c>
      <c r="S510" s="11" t="n">
        <v>44235</v>
      </c>
      <c r="T510" s="8" t="str">
        <f aca="true">IF(S510="","",IF(EDATE(S510,60)&lt;TODAY(),"Expired",IF(EDATE(S510,60)&lt;TODAY()+180,"Expiring Soon","Valid")))</f>
        <v>Expired</v>
      </c>
      <c r="U510" s="8" t="str">
        <f aca="false">IF(P510="","",IF(P510="A++","Top Tier",IF(P510="A+","High",IF(P510="A","Strong",IF(LEFT(P510,1)="B","Acceptable",IF(LEFT(P510,1)="C","Below Avg","-"))))))</f>
        <v>High</v>
      </c>
      <c r="AT510" s="8"/>
      <c r="AU510" s="8"/>
    </row>
    <row r="511" customFormat="false" ht="23.25" hidden="false" customHeight="true" outlineLevel="0" collapsed="false">
      <c r="A511" s="8" t="n">
        <v>510</v>
      </c>
      <c r="B511" s="8" t="n">
        <v>76</v>
      </c>
      <c r="C511" s="8" t="s">
        <v>557</v>
      </c>
      <c r="D511" s="8" t="s">
        <v>315</v>
      </c>
      <c r="E511" s="9" t="s">
        <v>562</v>
      </c>
      <c r="F511" s="9" t="s">
        <v>303</v>
      </c>
      <c r="G511" s="8" t="s">
        <v>304</v>
      </c>
      <c r="H511" s="8" t="s">
        <v>302</v>
      </c>
      <c r="I511" s="8" t="s">
        <v>291</v>
      </c>
      <c r="J511" s="8" t="s">
        <v>292</v>
      </c>
      <c r="K511" s="8" t="s">
        <v>293</v>
      </c>
      <c r="L511" s="9" t="s">
        <v>294</v>
      </c>
      <c r="M511" s="8"/>
      <c r="N511" s="8" t="str">
        <f aca="true">IF(M511="","Active (per Notice 1)",IF(M511&lt;TODAY(),"Expired",IF(M511&lt;TODAY()+180,"Expiring Soon","Active")))</f>
        <v>Active (per Notice 1)</v>
      </c>
      <c r="O511" s="13" t="s">
        <v>292</v>
      </c>
      <c r="P511" s="8" t="s">
        <v>327</v>
      </c>
      <c r="Q511" s="8" t="n">
        <v>3.33</v>
      </c>
      <c r="R511" s="8" t="n">
        <v>2</v>
      </c>
      <c r="S511" s="11" t="n">
        <v>44235</v>
      </c>
      <c r="T511" s="8" t="str">
        <f aca="true">IF(S511="","",IF(EDATE(S511,60)&lt;TODAY(),"Expired",IF(EDATE(S511,60)&lt;TODAY()+180,"Expiring Soon","Valid")))</f>
        <v>Expired</v>
      </c>
      <c r="U511" s="8" t="str">
        <f aca="false">IF(P511="","",IF(P511="A++","Top Tier",IF(P511="A+","High",IF(P511="A","Strong",IF(LEFT(P511,1)="B","Acceptable",IF(LEFT(P511,1)="C","Below Avg","-"))))))</f>
        <v>High</v>
      </c>
      <c r="AT511" s="8"/>
      <c r="AU511" s="8"/>
    </row>
    <row r="512" customFormat="false" ht="23.25" hidden="false" customHeight="true" outlineLevel="0" collapsed="false">
      <c r="A512" s="8" t="n">
        <v>511</v>
      </c>
      <c r="B512" s="8" t="n">
        <v>76</v>
      </c>
      <c r="C512" s="8" t="s">
        <v>557</v>
      </c>
      <c r="D512" s="8" t="s">
        <v>315</v>
      </c>
      <c r="E512" s="9" t="s">
        <v>562</v>
      </c>
      <c r="F512" s="9" t="s">
        <v>306</v>
      </c>
      <c r="G512" s="8" t="s">
        <v>307</v>
      </c>
      <c r="H512" s="8" t="s">
        <v>302</v>
      </c>
      <c r="I512" s="8" t="s">
        <v>291</v>
      </c>
      <c r="J512" s="8" t="s">
        <v>292</v>
      </c>
      <c r="K512" s="8" t="s">
        <v>293</v>
      </c>
      <c r="L512" s="9" t="s">
        <v>294</v>
      </c>
      <c r="M512" s="8"/>
      <c r="N512" s="8" t="str">
        <f aca="true">IF(M512="","Active (per Notice 1)",IF(M512&lt;TODAY(),"Expired",IF(M512&lt;TODAY()+180,"Expiring Soon","Active")))</f>
        <v>Active (per Notice 1)</v>
      </c>
      <c r="O512" s="13" t="s">
        <v>292</v>
      </c>
      <c r="P512" s="8" t="s">
        <v>327</v>
      </c>
      <c r="Q512" s="8" t="n">
        <v>3.33</v>
      </c>
      <c r="R512" s="8" t="n">
        <v>2</v>
      </c>
      <c r="S512" s="11" t="n">
        <v>44235</v>
      </c>
      <c r="T512" s="8" t="str">
        <f aca="true">IF(S512="","",IF(EDATE(S512,60)&lt;TODAY(),"Expired",IF(EDATE(S512,60)&lt;TODAY()+180,"Expiring Soon","Valid")))</f>
        <v>Expired</v>
      </c>
      <c r="U512" s="8" t="str">
        <f aca="false">IF(P512="","",IF(P512="A++","Top Tier",IF(P512="A+","High",IF(P512="A","Strong",IF(LEFT(P512,1)="B","Acceptable",IF(LEFT(P512,1)="C","Below Avg","-"))))))</f>
        <v>High</v>
      </c>
      <c r="AT512" s="8"/>
      <c r="AU512" s="8"/>
    </row>
    <row r="513" customFormat="false" ht="15" hidden="false" customHeight="true" outlineLevel="0" collapsed="false">
      <c r="A513" s="8" t="n">
        <v>512</v>
      </c>
      <c r="B513" s="8" t="n">
        <v>77</v>
      </c>
      <c r="C513" s="8" t="s">
        <v>557</v>
      </c>
      <c r="D513" s="8" t="s">
        <v>286</v>
      </c>
      <c r="E513" s="9" t="s">
        <v>564</v>
      </c>
      <c r="F513" s="9" t="s">
        <v>565</v>
      </c>
      <c r="G513" s="8" t="s">
        <v>298</v>
      </c>
      <c r="H513" s="8" t="s">
        <v>290</v>
      </c>
      <c r="I513" s="8" t="s">
        <v>291</v>
      </c>
      <c r="J513" s="8" t="s">
        <v>292</v>
      </c>
      <c r="K513" s="8" t="s">
        <v>293</v>
      </c>
      <c r="L513" s="9" t="s">
        <v>294</v>
      </c>
      <c r="M513" s="8"/>
      <c r="N513" s="8" t="str">
        <f aca="true">IF(M513="","Active (per Notice 1)",IF(M513&lt;TODAY(),"Expired",IF(M513&lt;TODAY()+180,"Expiring Soon","Active")))</f>
        <v>Active (per Notice 1)</v>
      </c>
      <c r="O513" s="10" t="s">
        <v>295</v>
      </c>
      <c r="P513" s="8" t="s">
        <v>296</v>
      </c>
      <c r="Q513" s="8" t="n">
        <v>3.54</v>
      </c>
      <c r="R513" s="8" t="n">
        <v>4</v>
      </c>
      <c r="S513" s="11" t="n">
        <v>44271</v>
      </c>
      <c r="T513" s="8" t="str">
        <f aca="true">IF(S513="","",IF(EDATE(S513,60)&lt;TODAY(),"Expired",IF(EDATE(S513,60)&lt;TODAY()+180,"Expiring Soon","Valid")))</f>
        <v>Expired</v>
      </c>
      <c r="U513" s="8" t="str">
        <f aca="false">IF(P513="","",IF(P513="A++","Top Tier",IF(P513="A+","High",IF(P513="A","Strong",IF(LEFT(P513,1)="B","Acceptable",IF(LEFT(P513,1)="C","Below Avg","-"))))))</f>
        <v>Top Tier</v>
      </c>
      <c r="AC513" s="8"/>
      <c r="AD513" s="8" t="n">
        <v>85</v>
      </c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 t="n">
        <v>31</v>
      </c>
      <c r="AP513" s="8"/>
      <c r="AQ513" s="8"/>
      <c r="AR513" s="8"/>
      <c r="AS513" s="8"/>
      <c r="AT513" s="8"/>
      <c r="AU513" s="8"/>
    </row>
    <row r="514" customFormat="false" ht="15" hidden="false" customHeight="true" outlineLevel="0" collapsed="false">
      <c r="A514" s="8" t="n">
        <v>513</v>
      </c>
      <c r="B514" s="8" t="n">
        <v>77</v>
      </c>
      <c r="C514" s="8" t="s">
        <v>557</v>
      </c>
      <c r="D514" s="8" t="s">
        <v>286</v>
      </c>
      <c r="E514" s="9" t="s">
        <v>564</v>
      </c>
      <c r="F514" s="9" t="s">
        <v>299</v>
      </c>
      <c r="G514" s="8" t="s">
        <v>289</v>
      </c>
      <c r="H514" s="8" t="s">
        <v>290</v>
      </c>
      <c r="I514" s="8" t="s">
        <v>291</v>
      </c>
      <c r="J514" s="8" t="s">
        <v>292</v>
      </c>
      <c r="K514" s="8" t="s">
        <v>293</v>
      </c>
      <c r="L514" s="9" t="s">
        <v>294</v>
      </c>
      <c r="M514" s="8"/>
      <c r="N514" s="8" t="str">
        <f aca="true">IF(M514="","Active (per Notice 1)",IF(M514&lt;TODAY(),"Expired",IF(M514&lt;TODAY()+180,"Expiring Soon","Active")))</f>
        <v>Active (per Notice 1)</v>
      </c>
      <c r="O514" s="10" t="s">
        <v>295</v>
      </c>
      <c r="P514" s="8" t="s">
        <v>296</v>
      </c>
      <c r="Q514" s="8" t="n">
        <v>3.54</v>
      </c>
      <c r="R514" s="8" t="n">
        <v>4</v>
      </c>
      <c r="S514" s="11" t="n">
        <v>44271</v>
      </c>
      <c r="T514" s="8" t="str">
        <f aca="true">IF(S514="","",IF(EDATE(S514,60)&lt;TODAY(),"Expired",IF(EDATE(S514,60)&lt;TODAY()+180,"Expiring Soon","Valid")))</f>
        <v>Expired</v>
      </c>
      <c r="U514" s="8" t="str">
        <f aca="false">IF(P514="","",IF(P514="A++","Top Tier",IF(P514="A+","High",IF(P514="A","Strong",IF(LEFT(P514,1)="B","Acceptable",IF(LEFT(P514,1)="C","Below Avg","-"))))))</f>
        <v>Top Tier</v>
      </c>
      <c r="AC514" s="8"/>
      <c r="AD514" s="8" t="n">
        <v>85</v>
      </c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 t="n">
        <v>31</v>
      </c>
      <c r="AP514" s="8"/>
      <c r="AQ514" s="8"/>
      <c r="AR514" s="8"/>
      <c r="AS514" s="8"/>
      <c r="AT514" s="8"/>
      <c r="AU514" s="8"/>
    </row>
    <row r="515" customFormat="false" ht="15" hidden="false" customHeight="true" outlineLevel="0" collapsed="false">
      <c r="A515" s="8" t="n">
        <v>514</v>
      </c>
      <c r="B515" s="8" t="n">
        <v>77</v>
      </c>
      <c r="C515" s="8" t="s">
        <v>557</v>
      </c>
      <c r="D515" s="8" t="s">
        <v>286</v>
      </c>
      <c r="E515" s="9" t="s">
        <v>564</v>
      </c>
      <c r="F515" s="9" t="s">
        <v>317</v>
      </c>
      <c r="G515" s="8" t="s">
        <v>318</v>
      </c>
      <c r="H515" s="8" t="s">
        <v>290</v>
      </c>
      <c r="I515" s="8" t="s">
        <v>291</v>
      </c>
      <c r="J515" s="8" t="s">
        <v>292</v>
      </c>
      <c r="K515" s="8" t="s">
        <v>293</v>
      </c>
      <c r="L515" s="9" t="s">
        <v>294</v>
      </c>
      <c r="M515" s="8"/>
      <c r="N515" s="8" t="str">
        <f aca="true">IF(M515="","Active (per Notice 1)",IF(M515&lt;TODAY(),"Expired",IF(M515&lt;TODAY()+180,"Expiring Soon","Active")))</f>
        <v>Active (per Notice 1)</v>
      </c>
      <c r="O515" s="12" t="s">
        <v>305</v>
      </c>
      <c r="P515" s="8" t="s">
        <v>296</v>
      </c>
      <c r="Q515" s="8" t="n">
        <v>3.54</v>
      </c>
      <c r="R515" s="8" t="n">
        <v>4</v>
      </c>
      <c r="S515" s="11" t="n">
        <v>44271</v>
      </c>
      <c r="T515" s="8" t="str">
        <f aca="true">IF(S515="","",IF(EDATE(S515,60)&lt;TODAY(),"Expired",IF(EDATE(S515,60)&lt;TODAY()+180,"Expiring Soon","Valid")))</f>
        <v>Expired</v>
      </c>
      <c r="U515" s="8" t="str">
        <f aca="false">IF(P515="","",IF(P515="A++","Top Tier",IF(P515="A+","High",IF(P515="A","Strong",IF(LEFT(P515,1)="B","Acceptable",IF(LEFT(P515,1)="C","Below Avg","-"))))))</f>
        <v>Top Tier</v>
      </c>
      <c r="AC515" s="8"/>
      <c r="AD515" s="8" t="n">
        <v>85</v>
      </c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 t="n">
        <v>31</v>
      </c>
      <c r="AP515" s="8"/>
      <c r="AQ515" s="8"/>
      <c r="AR515" s="8"/>
      <c r="AS515" s="8"/>
      <c r="AT515" s="8"/>
      <c r="AU515" s="8"/>
    </row>
    <row r="516" customFormat="false" ht="15" hidden="false" customHeight="true" outlineLevel="0" collapsed="false">
      <c r="A516" s="8" t="n">
        <v>515</v>
      </c>
      <c r="B516" s="8" t="n">
        <v>77</v>
      </c>
      <c r="C516" s="8" t="s">
        <v>557</v>
      </c>
      <c r="D516" s="8" t="s">
        <v>286</v>
      </c>
      <c r="E516" s="9" t="s">
        <v>564</v>
      </c>
      <c r="F516" s="9" t="s">
        <v>312</v>
      </c>
      <c r="G516" s="8" t="s">
        <v>301</v>
      </c>
      <c r="H516" s="8" t="s">
        <v>302</v>
      </c>
      <c r="I516" s="8" t="s">
        <v>291</v>
      </c>
      <c r="J516" s="8" t="s">
        <v>292</v>
      </c>
      <c r="K516" s="8" t="s">
        <v>293</v>
      </c>
      <c r="L516" s="9" t="s">
        <v>294</v>
      </c>
      <c r="M516" s="8"/>
      <c r="N516" s="8" t="str">
        <f aca="true">IF(M516="","Active (per Notice 1)",IF(M516&lt;TODAY(),"Expired",IF(M516&lt;TODAY()+180,"Expiring Soon","Active")))</f>
        <v>Active (per Notice 1)</v>
      </c>
      <c r="O516" s="10" t="s">
        <v>295</v>
      </c>
      <c r="P516" s="8" t="s">
        <v>296</v>
      </c>
      <c r="Q516" s="8" t="n">
        <v>3.54</v>
      </c>
      <c r="R516" s="8" t="n">
        <v>4</v>
      </c>
      <c r="S516" s="11" t="n">
        <v>44271</v>
      </c>
      <c r="T516" s="8" t="str">
        <f aca="true">IF(S516="","",IF(EDATE(S516,60)&lt;TODAY(),"Expired",IF(EDATE(S516,60)&lt;TODAY()+180,"Expiring Soon","Valid")))</f>
        <v>Expired</v>
      </c>
      <c r="U516" s="8" t="str">
        <f aca="false">IF(P516="","",IF(P516="A++","Top Tier",IF(P516="A+","High",IF(P516="A","Strong",IF(LEFT(P516,1)="B","Acceptable",IF(LEFT(P516,1)="C","Below Avg","-"))))))</f>
        <v>Top Tier</v>
      </c>
      <c r="AC516" s="8"/>
      <c r="AD516" s="8" t="n">
        <v>85</v>
      </c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 t="n">
        <v>31</v>
      </c>
      <c r="AP516" s="8"/>
      <c r="AQ516" s="8"/>
      <c r="AR516" s="8"/>
      <c r="AS516" s="8"/>
      <c r="AT516" s="8"/>
      <c r="AU516" s="8"/>
    </row>
    <row r="517" customFormat="false" ht="15" hidden="false" customHeight="true" outlineLevel="0" collapsed="false">
      <c r="A517" s="8" t="n">
        <v>516</v>
      </c>
      <c r="B517" s="8" t="n">
        <v>77</v>
      </c>
      <c r="C517" s="8" t="s">
        <v>557</v>
      </c>
      <c r="D517" s="8" t="s">
        <v>286</v>
      </c>
      <c r="E517" s="9" t="s">
        <v>564</v>
      </c>
      <c r="F517" s="9" t="s">
        <v>566</v>
      </c>
      <c r="G517" s="8" t="s">
        <v>301</v>
      </c>
      <c r="H517" s="8" t="s">
        <v>302</v>
      </c>
      <c r="I517" s="8" t="s">
        <v>291</v>
      </c>
      <c r="J517" s="8" t="s">
        <v>292</v>
      </c>
      <c r="K517" s="8" t="s">
        <v>293</v>
      </c>
      <c r="L517" s="9" t="s">
        <v>294</v>
      </c>
      <c r="M517" s="8"/>
      <c r="N517" s="8" t="str">
        <f aca="true">IF(M517="","Active (per Notice 1)",IF(M517&lt;TODAY(),"Expired",IF(M517&lt;TODAY()+180,"Expiring Soon","Active")))</f>
        <v>Active (per Notice 1)</v>
      </c>
      <c r="O517" s="10" t="s">
        <v>295</v>
      </c>
      <c r="P517" s="8" t="s">
        <v>296</v>
      </c>
      <c r="Q517" s="8" t="n">
        <v>3.54</v>
      </c>
      <c r="R517" s="8" t="n">
        <v>4</v>
      </c>
      <c r="S517" s="11" t="n">
        <v>44271</v>
      </c>
      <c r="T517" s="8" t="str">
        <f aca="true">IF(S517="","",IF(EDATE(S517,60)&lt;TODAY(),"Expired",IF(EDATE(S517,60)&lt;TODAY()+180,"Expiring Soon","Valid")))</f>
        <v>Expired</v>
      </c>
      <c r="U517" s="8" t="str">
        <f aca="false">IF(P517="","",IF(P517="A++","Top Tier",IF(P517="A+","High",IF(P517="A","Strong",IF(LEFT(P517,1)="B","Acceptable",IF(LEFT(P517,1)="C","Below Avg","-"))))))</f>
        <v>Top Tier</v>
      </c>
      <c r="AC517" s="8"/>
      <c r="AD517" s="8" t="n">
        <v>85</v>
      </c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 t="n">
        <v>31</v>
      </c>
      <c r="AP517" s="8"/>
      <c r="AQ517" s="8"/>
      <c r="AR517" s="8"/>
      <c r="AS517" s="8"/>
      <c r="AT517" s="8"/>
      <c r="AU517" s="8"/>
    </row>
    <row r="518" customFormat="false" ht="15" hidden="false" customHeight="true" outlineLevel="0" collapsed="false">
      <c r="A518" s="8" t="n">
        <v>517</v>
      </c>
      <c r="B518" s="8" t="n">
        <v>77</v>
      </c>
      <c r="C518" s="8" t="s">
        <v>557</v>
      </c>
      <c r="D518" s="8" t="s">
        <v>286</v>
      </c>
      <c r="E518" s="9" t="s">
        <v>564</v>
      </c>
      <c r="F518" s="9" t="s">
        <v>385</v>
      </c>
      <c r="G518" s="8" t="s">
        <v>386</v>
      </c>
      <c r="H518" s="8" t="s">
        <v>302</v>
      </c>
      <c r="I518" s="8" t="s">
        <v>291</v>
      </c>
      <c r="J518" s="8" t="s">
        <v>292</v>
      </c>
      <c r="K518" s="8" t="s">
        <v>293</v>
      </c>
      <c r="L518" s="9" t="s">
        <v>294</v>
      </c>
      <c r="M518" s="8"/>
      <c r="N518" s="8" t="str">
        <f aca="true">IF(M518="","Active (per Notice 1)",IF(M518&lt;TODAY(),"Expired",IF(M518&lt;TODAY()+180,"Expiring Soon","Active")))</f>
        <v>Active (per Notice 1)</v>
      </c>
      <c r="O518" s="10" t="s">
        <v>295</v>
      </c>
      <c r="P518" s="8" t="s">
        <v>296</v>
      </c>
      <c r="Q518" s="8" t="n">
        <v>3.54</v>
      </c>
      <c r="R518" s="8" t="n">
        <v>4</v>
      </c>
      <c r="S518" s="11" t="n">
        <v>44271</v>
      </c>
      <c r="T518" s="8" t="str">
        <f aca="true">IF(S518="","",IF(EDATE(S518,60)&lt;TODAY(),"Expired",IF(EDATE(S518,60)&lt;TODAY()+180,"Expiring Soon","Valid")))</f>
        <v>Expired</v>
      </c>
      <c r="U518" s="8" t="str">
        <f aca="false">IF(P518="","",IF(P518="A++","Top Tier",IF(P518="A+","High",IF(P518="A","Strong",IF(LEFT(P518,1)="B","Acceptable",IF(LEFT(P518,1)="C","Below Avg","-"))))))</f>
        <v>Top Tier</v>
      </c>
      <c r="AC518" s="8"/>
      <c r="AD518" s="8" t="n">
        <v>85</v>
      </c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 t="n">
        <v>31</v>
      </c>
      <c r="AP518" s="8"/>
      <c r="AQ518" s="8"/>
      <c r="AR518" s="8"/>
      <c r="AS518" s="8"/>
      <c r="AT518" s="8"/>
      <c r="AU518" s="8"/>
    </row>
    <row r="519" customFormat="false" ht="15" hidden="false" customHeight="true" outlineLevel="0" collapsed="false">
      <c r="A519" s="8" t="n">
        <v>518</v>
      </c>
      <c r="B519" s="8" t="n">
        <v>77</v>
      </c>
      <c r="C519" s="8" t="s">
        <v>557</v>
      </c>
      <c r="D519" s="8" t="s">
        <v>286</v>
      </c>
      <c r="E519" s="9" t="s">
        <v>564</v>
      </c>
      <c r="F519" s="9" t="s">
        <v>310</v>
      </c>
      <c r="G519" s="8" t="s">
        <v>301</v>
      </c>
      <c r="H519" s="8" t="s">
        <v>302</v>
      </c>
      <c r="I519" s="8" t="s">
        <v>291</v>
      </c>
      <c r="J519" s="8" t="s">
        <v>292</v>
      </c>
      <c r="K519" s="8" t="s">
        <v>293</v>
      </c>
      <c r="L519" s="9" t="s">
        <v>294</v>
      </c>
      <c r="M519" s="8"/>
      <c r="N519" s="8" t="str">
        <f aca="true">IF(M519="","Active (per Notice 1)",IF(M519&lt;TODAY(),"Expired",IF(M519&lt;TODAY()+180,"Expiring Soon","Active")))</f>
        <v>Active (per Notice 1)</v>
      </c>
      <c r="O519" s="10" t="s">
        <v>295</v>
      </c>
      <c r="P519" s="8" t="s">
        <v>296</v>
      </c>
      <c r="Q519" s="8" t="n">
        <v>3.54</v>
      </c>
      <c r="R519" s="8" t="n">
        <v>4</v>
      </c>
      <c r="S519" s="11" t="n">
        <v>44271</v>
      </c>
      <c r="T519" s="8" t="str">
        <f aca="true">IF(S519="","",IF(EDATE(S519,60)&lt;TODAY(),"Expired",IF(EDATE(S519,60)&lt;TODAY()+180,"Expiring Soon","Valid")))</f>
        <v>Expired</v>
      </c>
      <c r="U519" s="8" t="str">
        <f aca="false">IF(P519="","",IF(P519="A++","Top Tier",IF(P519="A+","High",IF(P519="A","Strong",IF(LEFT(P519,1)="B","Acceptable",IF(LEFT(P519,1)="C","Below Avg","-"))))))</f>
        <v>Top Tier</v>
      </c>
      <c r="AC519" s="8"/>
      <c r="AD519" s="8" t="n">
        <v>85</v>
      </c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 t="n">
        <v>31</v>
      </c>
      <c r="AP519" s="8"/>
      <c r="AQ519" s="8"/>
      <c r="AR519" s="8"/>
      <c r="AS519" s="8"/>
      <c r="AT519" s="8"/>
      <c r="AU519" s="8"/>
    </row>
    <row r="520" customFormat="false" ht="15" hidden="false" customHeight="true" outlineLevel="0" collapsed="false">
      <c r="A520" s="8" t="n">
        <v>519</v>
      </c>
      <c r="B520" s="8" t="n">
        <v>77</v>
      </c>
      <c r="C520" s="8" t="s">
        <v>557</v>
      </c>
      <c r="D520" s="8" t="s">
        <v>286</v>
      </c>
      <c r="E520" s="9" t="s">
        <v>564</v>
      </c>
      <c r="F520" s="9" t="s">
        <v>484</v>
      </c>
      <c r="G520" s="8" t="s">
        <v>301</v>
      </c>
      <c r="H520" s="8" t="s">
        <v>302</v>
      </c>
      <c r="I520" s="8" t="s">
        <v>291</v>
      </c>
      <c r="J520" s="8" t="s">
        <v>292</v>
      </c>
      <c r="K520" s="8" t="s">
        <v>293</v>
      </c>
      <c r="L520" s="9" t="s">
        <v>294</v>
      </c>
      <c r="M520" s="8"/>
      <c r="N520" s="8" t="str">
        <f aca="true">IF(M520="","Active (per Notice 1)",IF(M520&lt;TODAY(),"Expired",IF(M520&lt;TODAY()+180,"Expiring Soon","Active")))</f>
        <v>Active (per Notice 1)</v>
      </c>
      <c r="O520" s="10" t="s">
        <v>295</v>
      </c>
      <c r="P520" s="8" t="s">
        <v>296</v>
      </c>
      <c r="Q520" s="8" t="n">
        <v>3.54</v>
      </c>
      <c r="R520" s="8" t="n">
        <v>4</v>
      </c>
      <c r="S520" s="11" t="n">
        <v>44271</v>
      </c>
      <c r="T520" s="8" t="str">
        <f aca="true">IF(S520="","",IF(EDATE(S520,60)&lt;TODAY(),"Expired",IF(EDATE(S520,60)&lt;TODAY()+180,"Expiring Soon","Valid")))</f>
        <v>Expired</v>
      </c>
      <c r="U520" s="8" t="str">
        <f aca="false">IF(P520="","",IF(P520="A++","Top Tier",IF(P520="A+","High",IF(P520="A","Strong",IF(LEFT(P520,1)="B","Acceptable",IF(LEFT(P520,1)="C","Below Avg","-"))))))</f>
        <v>Top Tier</v>
      </c>
      <c r="AC520" s="8"/>
      <c r="AD520" s="8" t="n">
        <v>85</v>
      </c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 t="n">
        <v>31</v>
      </c>
      <c r="AP520" s="8"/>
      <c r="AQ520" s="8"/>
      <c r="AR520" s="8"/>
      <c r="AS520" s="8"/>
      <c r="AT520" s="8"/>
      <c r="AU520" s="8"/>
    </row>
    <row r="521" customFormat="false" ht="15" hidden="false" customHeight="true" outlineLevel="0" collapsed="false">
      <c r="A521" s="8" t="n">
        <v>520</v>
      </c>
      <c r="B521" s="8" t="n">
        <v>77</v>
      </c>
      <c r="C521" s="8" t="s">
        <v>557</v>
      </c>
      <c r="D521" s="8" t="s">
        <v>286</v>
      </c>
      <c r="E521" s="9" t="s">
        <v>564</v>
      </c>
      <c r="F521" s="9" t="s">
        <v>308</v>
      </c>
      <c r="G521" s="8" t="s">
        <v>309</v>
      </c>
      <c r="H521" s="8" t="s">
        <v>302</v>
      </c>
      <c r="I521" s="8" t="s">
        <v>291</v>
      </c>
      <c r="J521" s="8" t="s">
        <v>292</v>
      </c>
      <c r="K521" s="8" t="s">
        <v>293</v>
      </c>
      <c r="L521" s="9" t="s">
        <v>294</v>
      </c>
      <c r="M521" s="8"/>
      <c r="N521" s="8" t="str">
        <f aca="true">IF(M521="","Active (per Notice 1)",IF(M521&lt;TODAY(),"Expired",IF(M521&lt;TODAY()+180,"Expiring Soon","Active")))</f>
        <v>Active (per Notice 1)</v>
      </c>
      <c r="O521" s="10" t="s">
        <v>295</v>
      </c>
      <c r="P521" s="8" t="s">
        <v>296</v>
      </c>
      <c r="Q521" s="8" t="n">
        <v>3.54</v>
      </c>
      <c r="R521" s="8" t="n">
        <v>4</v>
      </c>
      <c r="S521" s="11" t="n">
        <v>44271</v>
      </c>
      <c r="T521" s="8" t="str">
        <f aca="true">IF(S521="","",IF(EDATE(S521,60)&lt;TODAY(),"Expired",IF(EDATE(S521,60)&lt;TODAY()+180,"Expiring Soon","Valid")))</f>
        <v>Expired</v>
      </c>
      <c r="U521" s="8" t="str">
        <f aca="false">IF(P521="","",IF(P521="A++","Top Tier",IF(P521="A+","High",IF(P521="A","Strong",IF(LEFT(P521,1)="B","Acceptable",IF(LEFT(P521,1)="C","Below Avg","-"))))))</f>
        <v>Top Tier</v>
      </c>
      <c r="AC521" s="8"/>
      <c r="AD521" s="8" t="n">
        <v>85</v>
      </c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 t="n">
        <v>31</v>
      </c>
      <c r="AP521" s="8"/>
      <c r="AQ521" s="8"/>
      <c r="AR521" s="8"/>
      <c r="AS521" s="8"/>
      <c r="AT521" s="8"/>
      <c r="AU521" s="8"/>
    </row>
    <row r="522" customFormat="false" ht="15" hidden="false" customHeight="true" outlineLevel="0" collapsed="false">
      <c r="A522" s="8" t="n">
        <v>521</v>
      </c>
      <c r="B522" s="8" t="n">
        <v>78</v>
      </c>
      <c r="C522" s="8" t="s">
        <v>557</v>
      </c>
      <c r="D522" s="8" t="s">
        <v>315</v>
      </c>
      <c r="E522" s="9" t="s">
        <v>567</v>
      </c>
      <c r="F522" s="9" t="s">
        <v>299</v>
      </c>
      <c r="G522" s="8" t="s">
        <v>289</v>
      </c>
      <c r="H522" s="8" t="s">
        <v>290</v>
      </c>
      <c r="I522" s="8" t="s">
        <v>291</v>
      </c>
      <c r="J522" s="8" t="s">
        <v>292</v>
      </c>
      <c r="K522" s="8" t="s">
        <v>293</v>
      </c>
      <c r="L522" s="9" t="s">
        <v>294</v>
      </c>
      <c r="M522" s="8"/>
      <c r="N522" s="8" t="str">
        <f aca="true">IF(M522="","Active (per Notice 1)",IF(M522&lt;TODAY(),"Expired",IF(M522&lt;TODAY()+180,"Expiring Soon","Active")))</f>
        <v>Active (per Notice 1)</v>
      </c>
      <c r="O522" s="10" t="s">
        <v>295</v>
      </c>
      <c r="P522" s="8" t="s">
        <v>327</v>
      </c>
      <c r="Q522" s="8" t="n">
        <v>3.48</v>
      </c>
      <c r="R522" s="8" t="n">
        <v>3</v>
      </c>
      <c r="S522" s="11" t="n">
        <v>44775</v>
      </c>
      <c r="T522" s="8" t="str">
        <f aca="true">IF(S522="","",IF(EDATE(S522,60)&lt;TODAY(),"Expired",IF(EDATE(S522,60)&lt;TODAY()+180,"Expiring Soon","Valid")))</f>
        <v>Valid</v>
      </c>
      <c r="U522" s="8" t="str">
        <f aca="false">IF(P522="","",IF(P522="A++","Top Tier",IF(P522="A+","High",IF(P522="A","Strong",IF(LEFT(P522,1)="B","Acceptable",IF(LEFT(P522,1)="C","Below Avg","-"))))))</f>
        <v>High</v>
      </c>
      <c r="Y522" s="8" t="n">
        <v>4</v>
      </c>
      <c r="Z522" s="11" t="n">
        <v>45838</v>
      </c>
      <c r="AA522" s="8" t="s">
        <v>357</v>
      </c>
      <c r="AB522" s="8" t="s">
        <v>405</v>
      </c>
      <c r="AC522" s="8"/>
      <c r="AD522" s="8"/>
      <c r="AE522" s="8"/>
      <c r="AF522" s="8"/>
      <c r="AG522" s="8"/>
      <c r="AH522" s="8"/>
      <c r="AI522" s="8"/>
      <c r="AJ522" s="8" t="n">
        <v>30</v>
      </c>
      <c r="AK522" s="8"/>
      <c r="AL522" s="8" t="n">
        <v>32</v>
      </c>
      <c r="AM522" s="8"/>
      <c r="AN522" s="8"/>
      <c r="AO522" s="8"/>
      <c r="AP522" s="8"/>
      <c r="AQ522" s="8"/>
      <c r="AR522" s="8"/>
      <c r="AS522" s="8"/>
      <c r="AT522" s="8"/>
      <c r="AU522" s="8"/>
    </row>
    <row r="523" customFormat="false" ht="15" hidden="false" customHeight="true" outlineLevel="0" collapsed="false">
      <c r="A523" s="8" t="n">
        <v>522</v>
      </c>
      <c r="B523" s="8" t="n">
        <v>78</v>
      </c>
      <c r="C523" s="8" t="s">
        <v>557</v>
      </c>
      <c r="D523" s="8" t="s">
        <v>315</v>
      </c>
      <c r="E523" s="9" t="s">
        <v>567</v>
      </c>
      <c r="F523" s="9" t="s">
        <v>364</v>
      </c>
      <c r="G523" s="8" t="s">
        <v>309</v>
      </c>
      <c r="H523" s="8" t="s">
        <v>302</v>
      </c>
      <c r="I523" s="8" t="s">
        <v>291</v>
      </c>
      <c r="J523" s="8" t="s">
        <v>292</v>
      </c>
      <c r="K523" s="8" t="s">
        <v>293</v>
      </c>
      <c r="L523" s="9" t="s">
        <v>294</v>
      </c>
      <c r="M523" s="8"/>
      <c r="N523" s="8" t="str">
        <f aca="true">IF(M523="","Active (per Notice 1)",IF(M523&lt;TODAY(),"Expired",IF(M523&lt;TODAY()+180,"Expiring Soon","Active")))</f>
        <v>Active (per Notice 1)</v>
      </c>
      <c r="O523" s="10" t="s">
        <v>295</v>
      </c>
      <c r="P523" s="8" t="s">
        <v>327</v>
      </c>
      <c r="Q523" s="8" t="n">
        <v>3.48</v>
      </c>
      <c r="R523" s="8" t="n">
        <v>3</v>
      </c>
      <c r="S523" s="11" t="n">
        <v>44775</v>
      </c>
      <c r="T523" s="8" t="str">
        <f aca="true">IF(S523="","",IF(EDATE(S523,60)&lt;TODAY(),"Expired",IF(EDATE(S523,60)&lt;TODAY()+180,"Expiring Soon","Valid")))</f>
        <v>Valid</v>
      </c>
      <c r="U523" s="8" t="str">
        <f aca="false">IF(P523="","",IF(P523="A++","Top Tier",IF(P523="A+","High",IF(P523="A","Strong",IF(LEFT(P523,1)="B","Acceptable",IF(LEFT(P523,1)="C","Below Avg","-"))))))</f>
        <v>High</v>
      </c>
      <c r="Y523" s="8" t="n">
        <v>4</v>
      </c>
      <c r="Z523" s="11" t="n">
        <v>45838</v>
      </c>
      <c r="AA523" s="8" t="s">
        <v>357</v>
      </c>
      <c r="AB523" s="8" t="s">
        <v>405</v>
      </c>
      <c r="AC523" s="8"/>
      <c r="AD523" s="8"/>
      <c r="AE523" s="8"/>
      <c r="AF523" s="8"/>
      <c r="AG523" s="8"/>
      <c r="AH523" s="8"/>
      <c r="AI523" s="8"/>
      <c r="AJ523" s="8" t="n">
        <v>30</v>
      </c>
      <c r="AK523" s="8"/>
      <c r="AL523" s="8" t="n">
        <v>32</v>
      </c>
      <c r="AM523" s="8"/>
      <c r="AN523" s="8"/>
      <c r="AO523" s="8"/>
      <c r="AP523" s="8"/>
      <c r="AQ523" s="8"/>
      <c r="AR523" s="8"/>
      <c r="AS523" s="8"/>
      <c r="AT523" s="8"/>
      <c r="AU523" s="8"/>
    </row>
    <row r="524" customFormat="false" ht="15" hidden="false" customHeight="true" outlineLevel="0" collapsed="false">
      <c r="A524" s="8" t="n">
        <v>523</v>
      </c>
      <c r="B524" s="8" t="n">
        <v>78</v>
      </c>
      <c r="C524" s="8" t="s">
        <v>557</v>
      </c>
      <c r="D524" s="8" t="s">
        <v>315</v>
      </c>
      <c r="E524" s="9" t="s">
        <v>567</v>
      </c>
      <c r="F524" s="9" t="s">
        <v>485</v>
      </c>
      <c r="G524" s="8" t="s">
        <v>386</v>
      </c>
      <c r="H524" s="8" t="s">
        <v>302</v>
      </c>
      <c r="I524" s="8" t="s">
        <v>291</v>
      </c>
      <c r="J524" s="8" t="s">
        <v>292</v>
      </c>
      <c r="K524" s="8" t="s">
        <v>293</v>
      </c>
      <c r="L524" s="9" t="s">
        <v>294</v>
      </c>
      <c r="M524" s="8"/>
      <c r="N524" s="8" t="str">
        <f aca="true">IF(M524="","Active (per Notice 1)",IF(M524&lt;TODAY(),"Expired",IF(M524&lt;TODAY()+180,"Expiring Soon","Active")))</f>
        <v>Active (per Notice 1)</v>
      </c>
      <c r="O524" s="10" t="s">
        <v>295</v>
      </c>
      <c r="P524" s="8" t="s">
        <v>327</v>
      </c>
      <c r="Q524" s="8" t="n">
        <v>3.48</v>
      </c>
      <c r="R524" s="8" t="n">
        <v>3</v>
      </c>
      <c r="S524" s="11" t="n">
        <v>44775</v>
      </c>
      <c r="T524" s="8" t="str">
        <f aca="true">IF(S524="","",IF(EDATE(S524,60)&lt;TODAY(),"Expired",IF(EDATE(S524,60)&lt;TODAY()+180,"Expiring Soon","Valid")))</f>
        <v>Valid</v>
      </c>
      <c r="U524" s="8" t="str">
        <f aca="false">IF(P524="","",IF(P524="A++","Top Tier",IF(P524="A+","High",IF(P524="A","Strong",IF(LEFT(P524,1)="B","Acceptable",IF(LEFT(P524,1)="C","Below Avg","-"))))))</f>
        <v>High</v>
      </c>
      <c r="Y524" s="8" t="n">
        <v>4</v>
      </c>
      <c r="Z524" s="11" t="n">
        <v>45838</v>
      </c>
      <c r="AA524" s="8" t="s">
        <v>357</v>
      </c>
      <c r="AB524" s="8" t="s">
        <v>405</v>
      </c>
      <c r="AC524" s="8"/>
      <c r="AD524" s="8"/>
      <c r="AE524" s="8"/>
      <c r="AF524" s="8"/>
      <c r="AG524" s="8"/>
      <c r="AH524" s="8"/>
      <c r="AI524" s="8"/>
      <c r="AJ524" s="8" t="n">
        <v>30</v>
      </c>
      <c r="AK524" s="8"/>
      <c r="AL524" s="8" t="n">
        <v>32</v>
      </c>
      <c r="AM524" s="8"/>
      <c r="AN524" s="8"/>
      <c r="AO524" s="8"/>
      <c r="AP524" s="8"/>
      <c r="AQ524" s="8"/>
      <c r="AR524" s="8"/>
      <c r="AS524" s="8"/>
      <c r="AT524" s="8"/>
      <c r="AU524" s="8"/>
    </row>
    <row r="525" customFormat="false" ht="15" hidden="false" customHeight="true" outlineLevel="0" collapsed="false">
      <c r="A525" s="8" t="n">
        <v>524</v>
      </c>
      <c r="B525" s="8" t="n">
        <v>78</v>
      </c>
      <c r="C525" s="8" t="s">
        <v>557</v>
      </c>
      <c r="D525" s="8" t="s">
        <v>315</v>
      </c>
      <c r="E525" s="9" t="s">
        <v>567</v>
      </c>
      <c r="F525" s="9" t="s">
        <v>314</v>
      </c>
      <c r="G525" s="8" t="s">
        <v>301</v>
      </c>
      <c r="H525" s="8" t="s">
        <v>302</v>
      </c>
      <c r="I525" s="8" t="s">
        <v>291</v>
      </c>
      <c r="J525" s="8" t="s">
        <v>292</v>
      </c>
      <c r="K525" s="8" t="s">
        <v>293</v>
      </c>
      <c r="L525" s="9" t="s">
        <v>294</v>
      </c>
      <c r="M525" s="8"/>
      <c r="N525" s="8" t="str">
        <f aca="true">IF(M525="","Active (per Notice 1)",IF(M525&lt;TODAY(),"Expired",IF(M525&lt;TODAY()+180,"Expiring Soon","Active")))</f>
        <v>Active (per Notice 1)</v>
      </c>
      <c r="O525" s="10" t="s">
        <v>295</v>
      </c>
      <c r="P525" s="8" t="s">
        <v>327</v>
      </c>
      <c r="Q525" s="8" t="n">
        <v>3.48</v>
      </c>
      <c r="R525" s="8" t="n">
        <v>3</v>
      </c>
      <c r="S525" s="11" t="n">
        <v>44775</v>
      </c>
      <c r="T525" s="8" t="str">
        <f aca="true">IF(S525="","",IF(EDATE(S525,60)&lt;TODAY(),"Expired",IF(EDATE(S525,60)&lt;TODAY()+180,"Expiring Soon","Valid")))</f>
        <v>Valid</v>
      </c>
      <c r="U525" s="8" t="str">
        <f aca="false">IF(P525="","",IF(P525="A++","Top Tier",IF(P525="A+","High",IF(P525="A","Strong",IF(LEFT(P525,1)="B","Acceptable",IF(LEFT(P525,1)="C","Below Avg","-"))))))</f>
        <v>High</v>
      </c>
      <c r="Y525" s="8" t="n">
        <v>4</v>
      </c>
      <c r="Z525" s="11" t="n">
        <v>45838</v>
      </c>
      <c r="AA525" s="8" t="s">
        <v>357</v>
      </c>
      <c r="AB525" s="8" t="s">
        <v>405</v>
      </c>
      <c r="AC525" s="8"/>
      <c r="AD525" s="8"/>
      <c r="AE525" s="8"/>
      <c r="AF525" s="8"/>
      <c r="AG525" s="8"/>
      <c r="AH525" s="8"/>
      <c r="AI525" s="8"/>
      <c r="AJ525" s="8" t="n">
        <v>30</v>
      </c>
      <c r="AK525" s="8"/>
      <c r="AL525" s="8" t="n">
        <v>32</v>
      </c>
      <c r="AM525" s="8"/>
      <c r="AN525" s="8"/>
      <c r="AO525" s="8"/>
      <c r="AP525" s="8"/>
      <c r="AQ525" s="8"/>
      <c r="AR525" s="8"/>
      <c r="AS525" s="8"/>
      <c r="AT525" s="8"/>
      <c r="AU525" s="8"/>
    </row>
    <row r="526" customFormat="false" ht="15" hidden="false" customHeight="true" outlineLevel="0" collapsed="false">
      <c r="A526" s="8" t="n">
        <v>525</v>
      </c>
      <c r="B526" s="8" t="n">
        <v>78</v>
      </c>
      <c r="C526" s="8" t="s">
        <v>557</v>
      </c>
      <c r="D526" s="8" t="s">
        <v>315</v>
      </c>
      <c r="E526" s="9" t="s">
        <v>567</v>
      </c>
      <c r="F526" s="9" t="s">
        <v>568</v>
      </c>
      <c r="G526" s="8" t="s">
        <v>386</v>
      </c>
      <c r="H526" s="8" t="s">
        <v>302</v>
      </c>
      <c r="I526" s="8" t="s">
        <v>291</v>
      </c>
      <c r="J526" s="8" t="s">
        <v>292</v>
      </c>
      <c r="K526" s="8" t="s">
        <v>293</v>
      </c>
      <c r="L526" s="9" t="s">
        <v>294</v>
      </c>
      <c r="M526" s="8"/>
      <c r="N526" s="8" t="str">
        <f aca="true">IF(M526="","Active (per Notice 1)",IF(M526&lt;TODAY(),"Expired",IF(M526&lt;TODAY()+180,"Expiring Soon","Active")))</f>
        <v>Active (per Notice 1)</v>
      </c>
      <c r="O526" s="10" t="s">
        <v>295</v>
      </c>
      <c r="P526" s="8" t="s">
        <v>327</v>
      </c>
      <c r="Q526" s="8" t="n">
        <v>3.48</v>
      </c>
      <c r="R526" s="8" t="n">
        <v>3</v>
      </c>
      <c r="S526" s="11" t="n">
        <v>44775</v>
      </c>
      <c r="T526" s="8" t="str">
        <f aca="true">IF(S526="","",IF(EDATE(S526,60)&lt;TODAY(),"Expired",IF(EDATE(S526,60)&lt;TODAY()+180,"Expiring Soon","Valid")))</f>
        <v>Valid</v>
      </c>
      <c r="U526" s="8" t="str">
        <f aca="false">IF(P526="","",IF(P526="A++","Top Tier",IF(P526="A+","High",IF(P526="A","Strong",IF(LEFT(P526,1)="B","Acceptable",IF(LEFT(P526,1)="C","Below Avg","-"))))))</f>
        <v>High</v>
      </c>
      <c r="Y526" s="8" t="n">
        <v>4</v>
      </c>
      <c r="Z526" s="11" t="n">
        <v>45838</v>
      </c>
      <c r="AA526" s="8" t="s">
        <v>357</v>
      </c>
      <c r="AB526" s="8" t="s">
        <v>405</v>
      </c>
      <c r="AC526" s="8"/>
      <c r="AD526" s="8"/>
      <c r="AE526" s="8"/>
      <c r="AF526" s="8"/>
      <c r="AG526" s="8"/>
      <c r="AH526" s="8"/>
      <c r="AI526" s="8"/>
      <c r="AJ526" s="8" t="n">
        <v>30</v>
      </c>
      <c r="AK526" s="8"/>
      <c r="AL526" s="8" t="n">
        <v>32</v>
      </c>
      <c r="AM526" s="8"/>
      <c r="AN526" s="8"/>
      <c r="AO526" s="8"/>
      <c r="AP526" s="8"/>
      <c r="AQ526" s="8"/>
      <c r="AR526" s="8"/>
      <c r="AS526" s="8"/>
      <c r="AT526" s="8"/>
      <c r="AU526" s="8"/>
    </row>
    <row r="527" customFormat="false" ht="15" hidden="false" customHeight="true" outlineLevel="0" collapsed="false">
      <c r="A527" s="8" t="n">
        <v>526</v>
      </c>
      <c r="B527" s="8" t="n">
        <v>78</v>
      </c>
      <c r="C527" s="8" t="s">
        <v>557</v>
      </c>
      <c r="D527" s="8" t="s">
        <v>315</v>
      </c>
      <c r="E527" s="9" t="s">
        <v>567</v>
      </c>
      <c r="F527" s="9" t="s">
        <v>303</v>
      </c>
      <c r="G527" s="8" t="s">
        <v>304</v>
      </c>
      <c r="H527" s="8" t="s">
        <v>302</v>
      </c>
      <c r="I527" s="8" t="s">
        <v>291</v>
      </c>
      <c r="J527" s="8" t="s">
        <v>292</v>
      </c>
      <c r="K527" s="8" t="s">
        <v>293</v>
      </c>
      <c r="L527" s="9" t="s">
        <v>294</v>
      </c>
      <c r="M527" s="8"/>
      <c r="N527" s="8" t="str">
        <f aca="true">IF(M527="","Active (per Notice 1)",IF(M527&lt;TODAY(),"Expired",IF(M527&lt;TODAY()+180,"Expiring Soon","Active")))</f>
        <v>Active (per Notice 1)</v>
      </c>
      <c r="O527" s="13" t="s">
        <v>292</v>
      </c>
      <c r="P527" s="8" t="s">
        <v>327</v>
      </c>
      <c r="Q527" s="8" t="n">
        <v>3.48</v>
      </c>
      <c r="R527" s="8" t="n">
        <v>3</v>
      </c>
      <c r="S527" s="11" t="n">
        <v>44775</v>
      </c>
      <c r="T527" s="8" t="str">
        <f aca="true">IF(S527="","",IF(EDATE(S527,60)&lt;TODAY(),"Expired",IF(EDATE(S527,60)&lt;TODAY()+180,"Expiring Soon","Valid")))</f>
        <v>Valid</v>
      </c>
      <c r="U527" s="8" t="str">
        <f aca="false">IF(P527="","",IF(P527="A++","Top Tier",IF(P527="A+","High",IF(P527="A","Strong",IF(LEFT(P527,1)="B","Acceptable",IF(LEFT(P527,1)="C","Below Avg","-"))))))</f>
        <v>High</v>
      </c>
      <c r="Y527" s="8" t="n">
        <v>4</v>
      </c>
      <c r="Z527" s="11" t="n">
        <v>45838</v>
      </c>
      <c r="AA527" s="8" t="s">
        <v>357</v>
      </c>
      <c r="AB527" s="8" t="s">
        <v>405</v>
      </c>
      <c r="AC527" s="8"/>
      <c r="AD527" s="8"/>
      <c r="AE527" s="8"/>
      <c r="AF527" s="8"/>
      <c r="AG527" s="8"/>
      <c r="AH527" s="8"/>
      <c r="AI527" s="8"/>
      <c r="AJ527" s="8" t="n">
        <v>30</v>
      </c>
      <c r="AK527" s="8"/>
      <c r="AL527" s="8" t="n">
        <v>32</v>
      </c>
      <c r="AM527" s="8"/>
      <c r="AN527" s="8"/>
      <c r="AO527" s="8"/>
      <c r="AP527" s="8"/>
      <c r="AQ527" s="8"/>
      <c r="AR527" s="8"/>
      <c r="AS527" s="8"/>
      <c r="AT527" s="8"/>
      <c r="AU527" s="8"/>
    </row>
    <row r="528" customFormat="false" ht="15" hidden="false" customHeight="true" outlineLevel="0" collapsed="false">
      <c r="A528" s="8" t="n">
        <v>527</v>
      </c>
      <c r="B528" s="8" t="n">
        <v>78</v>
      </c>
      <c r="C528" s="8" t="s">
        <v>557</v>
      </c>
      <c r="D528" s="8" t="s">
        <v>315</v>
      </c>
      <c r="E528" s="9" t="s">
        <v>567</v>
      </c>
      <c r="F528" s="9" t="s">
        <v>306</v>
      </c>
      <c r="G528" s="8" t="s">
        <v>307</v>
      </c>
      <c r="H528" s="8" t="s">
        <v>302</v>
      </c>
      <c r="I528" s="8" t="s">
        <v>291</v>
      </c>
      <c r="J528" s="8" t="s">
        <v>292</v>
      </c>
      <c r="K528" s="8" t="s">
        <v>293</v>
      </c>
      <c r="L528" s="9" t="s">
        <v>294</v>
      </c>
      <c r="M528" s="8"/>
      <c r="N528" s="8" t="str">
        <f aca="true">IF(M528="","Active (per Notice 1)",IF(M528&lt;TODAY(),"Expired",IF(M528&lt;TODAY()+180,"Expiring Soon","Active")))</f>
        <v>Active (per Notice 1)</v>
      </c>
      <c r="O528" s="13" t="s">
        <v>292</v>
      </c>
      <c r="P528" s="8" t="s">
        <v>327</v>
      </c>
      <c r="Q528" s="8" t="n">
        <v>3.48</v>
      </c>
      <c r="R528" s="8" t="n">
        <v>3</v>
      </c>
      <c r="S528" s="11" t="n">
        <v>44775</v>
      </c>
      <c r="T528" s="8" t="str">
        <f aca="true">IF(S528="","",IF(EDATE(S528,60)&lt;TODAY(),"Expired",IF(EDATE(S528,60)&lt;TODAY()+180,"Expiring Soon","Valid")))</f>
        <v>Valid</v>
      </c>
      <c r="U528" s="8" t="str">
        <f aca="false">IF(P528="","",IF(P528="A++","Top Tier",IF(P528="A+","High",IF(P528="A","Strong",IF(LEFT(P528,1)="B","Acceptable",IF(LEFT(P528,1)="C","Below Avg","-"))))))</f>
        <v>High</v>
      </c>
      <c r="Y528" s="8" t="n">
        <v>4</v>
      </c>
      <c r="Z528" s="11" t="n">
        <v>45838</v>
      </c>
      <c r="AA528" s="8" t="s">
        <v>357</v>
      </c>
      <c r="AB528" s="8" t="s">
        <v>405</v>
      </c>
      <c r="AC528" s="8"/>
      <c r="AD528" s="8"/>
      <c r="AE528" s="8"/>
      <c r="AF528" s="8"/>
      <c r="AG528" s="8"/>
      <c r="AH528" s="8"/>
      <c r="AI528" s="8"/>
      <c r="AJ528" s="8" t="n">
        <v>30</v>
      </c>
      <c r="AK528" s="8"/>
      <c r="AL528" s="8" t="n">
        <v>32</v>
      </c>
      <c r="AM528" s="8"/>
      <c r="AN528" s="8"/>
      <c r="AO528" s="8"/>
      <c r="AP528" s="8"/>
      <c r="AQ528" s="8"/>
      <c r="AR528" s="8"/>
      <c r="AS528" s="8"/>
      <c r="AT528" s="8"/>
      <c r="AU528" s="8"/>
    </row>
    <row r="529" customFormat="false" ht="23.25" hidden="false" customHeight="true" outlineLevel="0" collapsed="false">
      <c r="A529" s="8" t="n">
        <v>528</v>
      </c>
      <c r="B529" s="8" t="n">
        <v>79</v>
      </c>
      <c r="C529" s="8" t="s">
        <v>557</v>
      </c>
      <c r="D529" s="8" t="s">
        <v>315</v>
      </c>
      <c r="E529" s="9" t="s">
        <v>569</v>
      </c>
      <c r="F529" s="9" t="s">
        <v>299</v>
      </c>
      <c r="G529" s="8" t="s">
        <v>289</v>
      </c>
      <c r="H529" s="8" t="s">
        <v>290</v>
      </c>
      <c r="I529" s="8" t="s">
        <v>291</v>
      </c>
      <c r="J529" s="8" t="s">
        <v>292</v>
      </c>
      <c r="K529" s="8" t="s">
        <v>293</v>
      </c>
      <c r="L529" s="9" t="s">
        <v>294</v>
      </c>
      <c r="M529" s="8"/>
      <c r="N529" s="8" t="str">
        <f aca="true">IF(M529="","Active (per Notice 1)",IF(M529&lt;TODAY(),"Expired",IF(M529&lt;TODAY()+180,"Expiring Soon","Active")))</f>
        <v>Active (per Notice 1)</v>
      </c>
      <c r="O529" s="10" t="s">
        <v>295</v>
      </c>
      <c r="P529" s="8" t="s">
        <v>296</v>
      </c>
      <c r="Q529" s="8" t="n">
        <v>3.76</v>
      </c>
      <c r="R529" s="8" t="n">
        <v>4</v>
      </c>
      <c r="S529" s="11" t="n">
        <v>44628</v>
      </c>
      <c r="T529" s="8" t="str">
        <f aca="true">IF(S529="","",IF(EDATE(S529,60)&lt;TODAY(),"Expired",IF(EDATE(S529,60)&lt;TODAY()+180,"Expiring Soon","Valid")))</f>
        <v>Valid</v>
      </c>
      <c r="U529" s="8" t="str">
        <f aca="false">IF(P529="","",IF(P529="A++","Top Tier",IF(P529="A+","High",IF(P529="A","Strong",IF(LEFT(P529,1)="B","Acceptable",IF(LEFT(P529,1)="C","Below Avg","-"))))))</f>
        <v>Top Tier</v>
      </c>
      <c r="AC529" s="8" t="n">
        <v>51</v>
      </c>
      <c r="AD529" s="8" t="n">
        <v>29</v>
      </c>
      <c r="AE529" s="8"/>
      <c r="AF529" s="8" t="n">
        <v>40</v>
      </c>
      <c r="AG529" s="8"/>
      <c r="AH529" s="8"/>
      <c r="AI529" s="8"/>
      <c r="AJ529" s="8"/>
      <c r="AK529" s="8" t="n">
        <v>11</v>
      </c>
      <c r="AL529" s="8"/>
      <c r="AM529" s="8"/>
      <c r="AN529" s="8"/>
      <c r="AO529" s="8"/>
      <c r="AP529" s="8"/>
      <c r="AQ529" s="8"/>
      <c r="AR529" s="8"/>
      <c r="AS529" s="8"/>
      <c r="AT529" s="8"/>
      <c r="AU529" s="8"/>
    </row>
    <row r="530" customFormat="false" ht="23.25" hidden="false" customHeight="true" outlineLevel="0" collapsed="false">
      <c r="A530" s="8" t="n">
        <v>529</v>
      </c>
      <c r="B530" s="8" t="n">
        <v>79</v>
      </c>
      <c r="C530" s="8" t="s">
        <v>557</v>
      </c>
      <c r="D530" s="8" t="s">
        <v>315</v>
      </c>
      <c r="E530" s="9" t="s">
        <v>569</v>
      </c>
      <c r="F530" s="9" t="s">
        <v>317</v>
      </c>
      <c r="G530" s="8" t="s">
        <v>318</v>
      </c>
      <c r="H530" s="8" t="s">
        <v>290</v>
      </c>
      <c r="I530" s="8" t="s">
        <v>291</v>
      </c>
      <c r="J530" s="8" t="s">
        <v>292</v>
      </c>
      <c r="K530" s="8" t="s">
        <v>293</v>
      </c>
      <c r="L530" s="9" t="s">
        <v>294</v>
      </c>
      <c r="M530" s="8"/>
      <c r="N530" s="8" t="str">
        <f aca="true">IF(M530="","Active (per Notice 1)",IF(M530&lt;TODAY(),"Expired",IF(M530&lt;TODAY()+180,"Expiring Soon","Active")))</f>
        <v>Active (per Notice 1)</v>
      </c>
      <c r="O530" s="13" t="s">
        <v>292</v>
      </c>
      <c r="P530" s="8" t="s">
        <v>296</v>
      </c>
      <c r="Q530" s="8" t="n">
        <v>3.76</v>
      </c>
      <c r="R530" s="8" t="n">
        <v>4</v>
      </c>
      <c r="S530" s="11" t="n">
        <v>44628</v>
      </c>
      <c r="T530" s="8" t="str">
        <f aca="true">IF(S530="","",IF(EDATE(S530,60)&lt;TODAY(),"Expired",IF(EDATE(S530,60)&lt;TODAY()+180,"Expiring Soon","Valid")))</f>
        <v>Valid</v>
      </c>
      <c r="U530" s="8" t="str">
        <f aca="false">IF(P530="","",IF(P530="A++","Top Tier",IF(P530="A+","High",IF(P530="A","Strong",IF(LEFT(P530,1)="B","Acceptable",IF(LEFT(P530,1)="C","Below Avg","-"))))))</f>
        <v>Top Tier</v>
      </c>
      <c r="AC530" s="8" t="n">
        <v>51</v>
      </c>
      <c r="AD530" s="8" t="n">
        <v>29</v>
      </c>
      <c r="AE530" s="8"/>
      <c r="AF530" s="8" t="n">
        <v>40</v>
      </c>
      <c r="AG530" s="8"/>
      <c r="AH530" s="8"/>
      <c r="AI530" s="8"/>
      <c r="AJ530" s="8"/>
      <c r="AK530" s="8" t="n">
        <v>11</v>
      </c>
      <c r="AL530" s="8"/>
      <c r="AM530" s="8"/>
      <c r="AN530" s="8"/>
      <c r="AO530" s="8"/>
      <c r="AP530" s="8"/>
      <c r="AQ530" s="8"/>
      <c r="AR530" s="8"/>
      <c r="AS530" s="8"/>
      <c r="AT530" s="8"/>
      <c r="AU530" s="8"/>
    </row>
    <row r="531" customFormat="false" ht="23.25" hidden="false" customHeight="true" outlineLevel="0" collapsed="false">
      <c r="A531" s="8" t="n">
        <v>530</v>
      </c>
      <c r="B531" s="8" t="n">
        <v>79</v>
      </c>
      <c r="C531" s="8" t="s">
        <v>557</v>
      </c>
      <c r="D531" s="8" t="s">
        <v>315</v>
      </c>
      <c r="E531" s="9" t="s">
        <v>569</v>
      </c>
      <c r="F531" s="9" t="s">
        <v>397</v>
      </c>
      <c r="G531" s="8" t="s">
        <v>320</v>
      </c>
      <c r="H531" s="8" t="s">
        <v>290</v>
      </c>
      <c r="I531" s="8" t="s">
        <v>291</v>
      </c>
      <c r="J531" s="8" t="s">
        <v>292</v>
      </c>
      <c r="K531" s="8" t="s">
        <v>293</v>
      </c>
      <c r="L531" s="9" t="s">
        <v>294</v>
      </c>
      <c r="M531" s="8"/>
      <c r="N531" s="8" t="str">
        <f aca="true">IF(M531="","Active (per Notice 1)",IF(M531&lt;TODAY(),"Expired",IF(M531&lt;TODAY()+180,"Expiring Soon","Active")))</f>
        <v>Active (per Notice 1)</v>
      </c>
      <c r="O531" s="13" t="s">
        <v>292</v>
      </c>
      <c r="P531" s="8" t="s">
        <v>296</v>
      </c>
      <c r="Q531" s="8" t="n">
        <v>3.76</v>
      </c>
      <c r="R531" s="8" t="n">
        <v>4</v>
      </c>
      <c r="S531" s="11" t="n">
        <v>44628</v>
      </c>
      <c r="T531" s="8" t="str">
        <f aca="true">IF(S531="","",IF(EDATE(S531,60)&lt;TODAY(),"Expired",IF(EDATE(S531,60)&lt;TODAY()+180,"Expiring Soon","Valid")))</f>
        <v>Valid</v>
      </c>
      <c r="U531" s="8" t="str">
        <f aca="false">IF(P531="","",IF(P531="A++","Top Tier",IF(P531="A+","High",IF(P531="A","Strong",IF(LEFT(P531,1)="B","Acceptable",IF(LEFT(P531,1)="C","Below Avg","-"))))))</f>
        <v>Top Tier</v>
      </c>
      <c r="AC531" s="8" t="n">
        <v>51</v>
      </c>
      <c r="AD531" s="8" t="n">
        <v>29</v>
      </c>
      <c r="AE531" s="8"/>
      <c r="AF531" s="8" t="n">
        <v>40</v>
      </c>
      <c r="AG531" s="8"/>
      <c r="AH531" s="8"/>
      <c r="AI531" s="8"/>
      <c r="AJ531" s="8"/>
      <c r="AK531" s="8" t="n">
        <v>11</v>
      </c>
      <c r="AL531" s="8"/>
      <c r="AM531" s="8"/>
      <c r="AN531" s="8"/>
      <c r="AO531" s="8"/>
      <c r="AP531" s="8"/>
      <c r="AQ531" s="8"/>
      <c r="AR531" s="8"/>
      <c r="AS531" s="8"/>
      <c r="AT531" s="8"/>
      <c r="AU531" s="8"/>
    </row>
    <row r="532" customFormat="false" ht="23.25" hidden="false" customHeight="true" outlineLevel="0" collapsed="false">
      <c r="A532" s="8" t="n">
        <v>531</v>
      </c>
      <c r="B532" s="8" t="n">
        <v>79</v>
      </c>
      <c r="C532" s="8" t="s">
        <v>557</v>
      </c>
      <c r="D532" s="8" t="s">
        <v>315</v>
      </c>
      <c r="E532" s="9" t="s">
        <v>569</v>
      </c>
      <c r="F532" s="9" t="s">
        <v>441</v>
      </c>
      <c r="G532" s="8" t="s">
        <v>386</v>
      </c>
      <c r="H532" s="8" t="s">
        <v>302</v>
      </c>
      <c r="I532" s="8" t="s">
        <v>291</v>
      </c>
      <c r="J532" s="8" t="s">
        <v>292</v>
      </c>
      <c r="K532" s="8" t="s">
        <v>293</v>
      </c>
      <c r="L532" s="9" t="s">
        <v>294</v>
      </c>
      <c r="M532" s="8"/>
      <c r="N532" s="8" t="str">
        <f aca="true">IF(M532="","Active (per Notice 1)",IF(M532&lt;TODAY(),"Expired",IF(M532&lt;TODAY()+180,"Expiring Soon","Active")))</f>
        <v>Active (per Notice 1)</v>
      </c>
      <c r="O532" s="10" t="s">
        <v>295</v>
      </c>
      <c r="P532" s="8" t="s">
        <v>296</v>
      </c>
      <c r="Q532" s="8" t="n">
        <v>3.76</v>
      </c>
      <c r="R532" s="8" t="n">
        <v>4</v>
      </c>
      <c r="S532" s="11" t="n">
        <v>44628</v>
      </c>
      <c r="T532" s="8" t="str">
        <f aca="true">IF(S532="","",IF(EDATE(S532,60)&lt;TODAY(),"Expired",IF(EDATE(S532,60)&lt;TODAY()+180,"Expiring Soon","Valid")))</f>
        <v>Valid</v>
      </c>
      <c r="U532" s="8" t="str">
        <f aca="false">IF(P532="","",IF(P532="A++","Top Tier",IF(P532="A+","High",IF(P532="A","Strong",IF(LEFT(P532,1)="B","Acceptable",IF(LEFT(P532,1)="C","Below Avg","-"))))))</f>
        <v>Top Tier</v>
      </c>
      <c r="AC532" s="8" t="n">
        <v>51</v>
      </c>
      <c r="AD532" s="8" t="n">
        <v>29</v>
      </c>
      <c r="AE532" s="8"/>
      <c r="AF532" s="8" t="n">
        <v>40</v>
      </c>
      <c r="AG532" s="8"/>
      <c r="AH532" s="8"/>
      <c r="AI532" s="8"/>
      <c r="AJ532" s="8"/>
      <c r="AK532" s="8" t="n">
        <v>11</v>
      </c>
      <c r="AL532" s="8"/>
      <c r="AM532" s="8"/>
      <c r="AN532" s="8"/>
      <c r="AO532" s="8"/>
      <c r="AP532" s="8"/>
      <c r="AQ532" s="8"/>
      <c r="AR532" s="8"/>
      <c r="AS532" s="8"/>
      <c r="AT532" s="8"/>
      <c r="AU532" s="8"/>
    </row>
    <row r="533" customFormat="false" ht="23.25" hidden="false" customHeight="true" outlineLevel="0" collapsed="false">
      <c r="A533" s="8" t="n">
        <v>532</v>
      </c>
      <c r="B533" s="8" t="n">
        <v>79</v>
      </c>
      <c r="C533" s="8" t="s">
        <v>557</v>
      </c>
      <c r="D533" s="8" t="s">
        <v>315</v>
      </c>
      <c r="E533" s="9" t="s">
        <v>569</v>
      </c>
      <c r="F533" s="9" t="s">
        <v>308</v>
      </c>
      <c r="G533" s="8" t="s">
        <v>309</v>
      </c>
      <c r="H533" s="8" t="s">
        <v>302</v>
      </c>
      <c r="I533" s="8" t="s">
        <v>291</v>
      </c>
      <c r="J533" s="8" t="s">
        <v>292</v>
      </c>
      <c r="K533" s="8" t="s">
        <v>293</v>
      </c>
      <c r="L533" s="9" t="s">
        <v>294</v>
      </c>
      <c r="M533" s="8"/>
      <c r="N533" s="8" t="str">
        <f aca="true">IF(M533="","Active (per Notice 1)",IF(M533&lt;TODAY(),"Expired",IF(M533&lt;TODAY()+180,"Expiring Soon","Active")))</f>
        <v>Active (per Notice 1)</v>
      </c>
      <c r="O533" s="10" t="s">
        <v>295</v>
      </c>
      <c r="P533" s="8" t="s">
        <v>296</v>
      </c>
      <c r="Q533" s="8" t="n">
        <v>3.76</v>
      </c>
      <c r="R533" s="8" t="n">
        <v>4</v>
      </c>
      <c r="S533" s="11" t="n">
        <v>44628</v>
      </c>
      <c r="T533" s="8" t="str">
        <f aca="true">IF(S533="","",IF(EDATE(S533,60)&lt;TODAY(),"Expired",IF(EDATE(S533,60)&lt;TODAY()+180,"Expiring Soon","Valid")))</f>
        <v>Valid</v>
      </c>
      <c r="U533" s="8" t="str">
        <f aca="false">IF(P533="","",IF(P533="A++","Top Tier",IF(P533="A+","High",IF(P533="A","Strong",IF(LEFT(P533,1)="B","Acceptable",IF(LEFT(P533,1)="C","Below Avg","-"))))))</f>
        <v>Top Tier</v>
      </c>
      <c r="AC533" s="8" t="n">
        <v>51</v>
      </c>
      <c r="AD533" s="8" t="n">
        <v>29</v>
      </c>
      <c r="AE533" s="8"/>
      <c r="AF533" s="8" t="n">
        <v>40</v>
      </c>
      <c r="AG533" s="8"/>
      <c r="AH533" s="8"/>
      <c r="AI533" s="8"/>
      <c r="AJ533" s="8"/>
      <c r="AK533" s="8" t="n">
        <v>11</v>
      </c>
      <c r="AL533" s="8"/>
      <c r="AM533" s="8"/>
      <c r="AN533" s="8"/>
      <c r="AO533" s="8"/>
      <c r="AP533" s="8"/>
      <c r="AQ533" s="8"/>
      <c r="AR533" s="8"/>
      <c r="AS533" s="8"/>
      <c r="AT533" s="8"/>
      <c r="AU533" s="8"/>
    </row>
    <row r="534" customFormat="false" ht="23.25" hidden="false" customHeight="true" outlineLevel="0" collapsed="false">
      <c r="A534" s="8" t="n">
        <v>533</v>
      </c>
      <c r="B534" s="8" t="n">
        <v>79</v>
      </c>
      <c r="C534" s="8" t="s">
        <v>557</v>
      </c>
      <c r="D534" s="8" t="s">
        <v>315</v>
      </c>
      <c r="E534" s="9" t="s">
        <v>569</v>
      </c>
      <c r="F534" s="9" t="s">
        <v>570</v>
      </c>
      <c r="G534" s="8" t="s">
        <v>301</v>
      </c>
      <c r="H534" s="8" t="s">
        <v>302</v>
      </c>
      <c r="I534" s="8" t="s">
        <v>291</v>
      </c>
      <c r="J534" s="8" t="s">
        <v>292</v>
      </c>
      <c r="K534" s="8" t="s">
        <v>293</v>
      </c>
      <c r="L534" s="9" t="s">
        <v>294</v>
      </c>
      <c r="M534" s="8"/>
      <c r="N534" s="8" t="str">
        <f aca="true">IF(M534="","Active (per Notice 1)",IF(M534&lt;TODAY(),"Expired",IF(M534&lt;TODAY()+180,"Expiring Soon","Active")))</f>
        <v>Active (per Notice 1)</v>
      </c>
      <c r="O534" s="10" t="s">
        <v>295</v>
      </c>
      <c r="P534" s="8" t="s">
        <v>296</v>
      </c>
      <c r="Q534" s="8" t="n">
        <v>3.76</v>
      </c>
      <c r="R534" s="8" t="n">
        <v>4</v>
      </c>
      <c r="S534" s="11" t="n">
        <v>44628</v>
      </c>
      <c r="T534" s="8" t="str">
        <f aca="true">IF(S534="","",IF(EDATE(S534,60)&lt;TODAY(),"Expired",IF(EDATE(S534,60)&lt;TODAY()+180,"Expiring Soon","Valid")))</f>
        <v>Valid</v>
      </c>
      <c r="U534" s="8" t="str">
        <f aca="false">IF(P534="","",IF(P534="A++","Top Tier",IF(P534="A+","High",IF(P534="A","Strong",IF(LEFT(P534,1)="B","Acceptable",IF(LEFT(P534,1)="C","Below Avg","-"))))))</f>
        <v>Top Tier</v>
      </c>
      <c r="AC534" s="8" t="n">
        <v>51</v>
      </c>
      <c r="AD534" s="8" t="n">
        <v>29</v>
      </c>
      <c r="AE534" s="8"/>
      <c r="AF534" s="8" t="n">
        <v>40</v>
      </c>
      <c r="AG534" s="8"/>
      <c r="AH534" s="8"/>
      <c r="AI534" s="8"/>
      <c r="AJ534" s="8"/>
      <c r="AK534" s="8" t="n">
        <v>11</v>
      </c>
      <c r="AL534" s="8"/>
      <c r="AM534" s="8"/>
      <c r="AN534" s="8"/>
      <c r="AO534" s="8"/>
      <c r="AP534" s="8"/>
      <c r="AQ534" s="8"/>
      <c r="AR534" s="8"/>
      <c r="AS534" s="8"/>
      <c r="AT534" s="8"/>
      <c r="AU534" s="8"/>
    </row>
    <row r="535" customFormat="false" ht="23.25" hidden="false" customHeight="true" outlineLevel="0" collapsed="false">
      <c r="A535" s="8" t="n">
        <v>534</v>
      </c>
      <c r="B535" s="8" t="n">
        <v>79</v>
      </c>
      <c r="C535" s="8" t="s">
        <v>557</v>
      </c>
      <c r="D535" s="8" t="s">
        <v>315</v>
      </c>
      <c r="E535" s="9" t="s">
        <v>569</v>
      </c>
      <c r="F535" s="9" t="s">
        <v>366</v>
      </c>
      <c r="G535" s="8" t="s">
        <v>301</v>
      </c>
      <c r="H535" s="8" t="s">
        <v>302</v>
      </c>
      <c r="I535" s="8" t="s">
        <v>291</v>
      </c>
      <c r="J535" s="8" t="s">
        <v>292</v>
      </c>
      <c r="K535" s="8" t="s">
        <v>293</v>
      </c>
      <c r="L535" s="9" t="s">
        <v>294</v>
      </c>
      <c r="M535" s="8"/>
      <c r="N535" s="8" t="str">
        <f aca="true">IF(M535="","Active (per Notice 1)",IF(M535&lt;TODAY(),"Expired",IF(M535&lt;TODAY()+180,"Expiring Soon","Active")))</f>
        <v>Active (per Notice 1)</v>
      </c>
      <c r="O535" s="10" t="s">
        <v>295</v>
      </c>
      <c r="P535" s="8" t="s">
        <v>296</v>
      </c>
      <c r="Q535" s="8" t="n">
        <v>3.76</v>
      </c>
      <c r="R535" s="8" t="n">
        <v>4</v>
      </c>
      <c r="S535" s="11" t="n">
        <v>44628</v>
      </c>
      <c r="T535" s="8" t="str">
        <f aca="true">IF(S535="","",IF(EDATE(S535,60)&lt;TODAY(),"Expired",IF(EDATE(S535,60)&lt;TODAY()+180,"Expiring Soon","Valid")))</f>
        <v>Valid</v>
      </c>
      <c r="U535" s="8" t="str">
        <f aca="false">IF(P535="","",IF(P535="A++","Top Tier",IF(P535="A+","High",IF(P535="A","Strong",IF(LEFT(P535,1)="B","Acceptable",IF(LEFT(P535,1)="C","Below Avg","-"))))))</f>
        <v>Top Tier</v>
      </c>
      <c r="AC535" s="8" t="n">
        <v>51</v>
      </c>
      <c r="AD535" s="8" t="n">
        <v>29</v>
      </c>
      <c r="AE535" s="8"/>
      <c r="AF535" s="8" t="n">
        <v>40</v>
      </c>
      <c r="AG535" s="8"/>
      <c r="AH535" s="8"/>
      <c r="AI535" s="8"/>
      <c r="AJ535" s="8"/>
      <c r="AK535" s="8" t="n">
        <v>11</v>
      </c>
      <c r="AL535" s="8"/>
      <c r="AM535" s="8"/>
      <c r="AN535" s="8"/>
      <c r="AO535" s="8"/>
      <c r="AP535" s="8"/>
      <c r="AQ535" s="8"/>
      <c r="AR535" s="8"/>
      <c r="AS535" s="8"/>
      <c r="AT535" s="8"/>
      <c r="AU535" s="8"/>
    </row>
    <row r="536" customFormat="false" ht="23.25" hidden="false" customHeight="true" outlineLevel="0" collapsed="false">
      <c r="A536" s="8" t="n">
        <v>535</v>
      </c>
      <c r="B536" s="8" t="n">
        <v>79</v>
      </c>
      <c r="C536" s="8" t="s">
        <v>557</v>
      </c>
      <c r="D536" s="8" t="s">
        <v>315</v>
      </c>
      <c r="E536" s="9" t="s">
        <v>569</v>
      </c>
      <c r="F536" s="9" t="s">
        <v>401</v>
      </c>
      <c r="G536" s="8" t="s">
        <v>386</v>
      </c>
      <c r="H536" s="8" t="s">
        <v>302</v>
      </c>
      <c r="I536" s="8" t="s">
        <v>291</v>
      </c>
      <c r="J536" s="8" t="s">
        <v>292</v>
      </c>
      <c r="K536" s="8" t="s">
        <v>293</v>
      </c>
      <c r="L536" s="9" t="s">
        <v>294</v>
      </c>
      <c r="M536" s="8"/>
      <c r="N536" s="8" t="str">
        <f aca="true">IF(M536="","Active (per Notice 1)",IF(M536&lt;TODAY(),"Expired",IF(M536&lt;TODAY()+180,"Expiring Soon","Active")))</f>
        <v>Active (per Notice 1)</v>
      </c>
      <c r="O536" s="10" t="s">
        <v>295</v>
      </c>
      <c r="P536" s="8" t="s">
        <v>296</v>
      </c>
      <c r="Q536" s="8" t="n">
        <v>3.76</v>
      </c>
      <c r="R536" s="8" t="n">
        <v>4</v>
      </c>
      <c r="S536" s="11" t="n">
        <v>44628</v>
      </c>
      <c r="T536" s="8" t="str">
        <f aca="true">IF(S536="","",IF(EDATE(S536,60)&lt;TODAY(),"Expired",IF(EDATE(S536,60)&lt;TODAY()+180,"Expiring Soon","Valid")))</f>
        <v>Valid</v>
      </c>
      <c r="U536" s="8" t="str">
        <f aca="false">IF(P536="","",IF(P536="A++","Top Tier",IF(P536="A+","High",IF(P536="A","Strong",IF(LEFT(P536,1)="B","Acceptable",IF(LEFT(P536,1)="C","Below Avg","-"))))))</f>
        <v>Top Tier</v>
      </c>
      <c r="AC536" s="8" t="n">
        <v>51</v>
      </c>
      <c r="AD536" s="8" t="n">
        <v>29</v>
      </c>
      <c r="AE536" s="8"/>
      <c r="AF536" s="8" t="n">
        <v>40</v>
      </c>
      <c r="AG536" s="8"/>
      <c r="AH536" s="8"/>
      <c r="AI536" s="8"/>
      <c r="AJ536" s="8"/>
      <c r="AK536" s="8" t="n">
        <v>11</v>
      </c>
      <c r="AL536" s="8"/>
      <c r="AM536" s="8"/>
      <c r="AN536" s="8"/>
      <c r="AO536" s="8"/>
      <c r="AP536" s="8"/>
      <c r="AQ536" s="8"/>
      <c r="AR536" s="8"/>
      <c r="AS536" s="8"/>
      <c r="AT536" s="8"/>
      <c r="AU536" s="8"/>
    </row>
    <row r="537" customFormat="false" ht="23.25" hidden="false" customHeight="true" outlineLevel="0" collapsed="false">
      <c r="A537" s="8" t="n">
        <v>536</v>
      </c>
      <c r="B537" s="8" t="n">
        <v>79</v>
      </c>
      <c r="C537" s="8" t="s">
        <v>557</v>
      </c>
      <c r="D537" s="8" t="s">
        <v>315</v>
      </c>
      <c r="E537" s="9" t="s">
        <v>569</v>
      </c>
      <c r="F537" s="9" t="s">
        <v>303</v>
      </c>
      <c r="G537" s="8" t="s">
        <v>304</v>
      </c>
      <c r="H537" s="8" t="s">
        <v>302</v>
      </c>
      <c r="I537" s="8" t="s">
        <v>291</v>
      </c>
      <c r="J537" s="8" t="s">
        <v>292</v>
      </c>
      <c r="K537" s="8" t="s">
        <v>293</v>
      </c>
      <c r="L537" s="9" t="s">
        <v>294</v>
      </c>
      <c r="M537" s="8"/>
      <c r="N537" s="8" t="str">
        <f aca="true">IF(M537="","Active (per Notice 1)",IF(M537&lt;TODAY(),"Expired",IF(M537&lt;TODAY()+180,"Expiring Soon","Active")))</f>
        <v>Active (per Notice 1)</v>
      </c>
      <c r="O537" s="13" t="s">
        <v>292</v>
      </c>
      <c r="P537" s="8" t="s">
        <v>296</v>
      </c>
      <c r="Q537" s="8" t="n">
        <v>3.76</v>
      </c>
      <c r="R537" s="8" t="n">
        <v>4</v>
      </c>
      <c r="S537" s="11" t="n">
        <v>44628</v>
      </c>
      <c r="T537" s="8" t="str">
        <f aca="true">IF(S537="","",IF(EDATE(S537,60)&lt;TODAY(),"Expired",IF(EDATE(S537,60)&lt;TODAY()+180,"Expiring Soon","Valid")))</f>
        <v>Valid</v>
      </c>
      <c r="U537" s="8" t="str">
        <f aca="false">IF(P537="","",IF(P537="A++","Top Tier",IF(P537="A+","High",IF(P537="A","Strong",IF(LEFT(P537,1)="B","Acceptable",IF(LEFT(P537,1)="C","Below Avg","-"))))))</f>
        <v>Top Tier</v>
      </c>
      <c r="AC537" s="8" t="n">
        <v>51</v>
      </c>
      <c r="AD537" s="8" t="n">
        <v>29</v>
      </c>
      <c r="AE537" s="8"/>
      <c r="AF537" s="8" t="n">
        <v>40</v>
      </c>
      <c r="AG537" s="8"/>
      <c r="AH537" s="8"/>
      <c r="AI537" s="8"/>
      <c r="AJ537" s="8"/>
      <c r="AK537" s="8" t="n">
        <v>11</v>
      </c>
      <c r="AL537" s="8"/>
      <c r="AM537" s="8"/>
      <c r="AN537" s="8"/>
      <c r="AO537" s="8"/>
      <c r="AP537" s="8"/>
      <c r="AQ537" s="8"/>
      <c r="AR537" s="8"/>
      <c r="AS537" s="8"/>
      <c r="AT537" s="8"/>
      <c r="AU537" s="8"/>
    </row>
    <row r="538" customFormat="false" ht="23.25" hidden="false" customHeight="true" outlineLevel="0" collapsed="false">
      <c r="A538" s="8" t="n">
        <v>537</v>
      </c>
      <c r="B538" s="8" t="n">
        <v>79</v>
      </c>
      <c r="C538" s="8" t="s">
        <v>557</v>
      </c>
      <c r="D538" s="8" t="s">
        <v>315</v>
      </c>
      <c r="E538" s="9" t="s">
        <v>569</v>
      </c>
      <c r="F538" s="9" t="s">
        <v>306</v>
      </c>
      <c r="G538" s="8" t="s">
        <v>307</v>
      </c>
      <c r="H538" s="8" t="s">
        <v>302</v>
      </c>
      <c r="I538" s="8" t="s">
        <v>291</v>
      </c>
      <c r="J538" s="8" t="s">
        <v>292</v>
      </c>
      <c r="K538" s="8" t="s">
        <v>293</v>
      </c>
      <c r="L538" s="9" t="s">
        <v>294</v>
      </c>
      <c r="M538" s="8"/>
      <c r="N538" s="8" t="str">
        <f aca="true">IF(M538="","Active (per Notice 1)",IF(M538&lt;TODAY(),"Expired",IF(M538&lt;TODAY()+180,"Expiring Soon","Active")))</f>
        <v>Active (per Notice 1)</v>
      </c>
      <c r="O538" s="13" t="s">
        <v>292</v>
      </c>
      <c r="P538" s="8" t="s">
        <v>296</v>
      </c>
      <c r="Q538" s="8" t="n">
        <v>3.76</v>
      </c>
      <c r="R538" s="8" t="n">
        <v>4</v>
      </c>
      <c r="S538" s="11" t="n">
        <v>44628</v>
      </c>
      <c r="T538" s="8" t="str">
        <f aca="true">IF(S538="","",IF(EDATE(S538,60)&lt;TODAY(),"Expired",IF(EDATE(S538,60)&lt;TODAY()+180,"Expiring Soon","Valid")))</f>
        <v>Valid</v>
      </c>
      <c r="U538" s="8" t="str">
        <f aca="false">IF(P538="","",IF(P538="A++","Top Tier",IF(P538="A+","High",IF(P538="A","Strong",IF(LEFT(P538,1)="B","Acceptable",IF(LEFT(P538,1)="C","Below Avg","-"))))))</f>
        <v>Top Tier</v>
      </c>
      <c r="AC538" s="8" t="n">
        <v>51</v>
      </c>
      <c r="AD538" s="8" t="n">
        <v>29</v>
      </c>
      <c r="AE538" s="8"/>
      <c r="AF538" s="8" t="n">
        <v>40</v>
      </c>
      <c r="AG538" s="8"/>
      <c r="AH538" s="8"/>
      <c r="AI538" s="8"/>
      <c r="AJ538" s="8"/>
      <c r="AK538" s="8" t="n">
        <v>11</v>
      </c>
      <c r="AL538" s="8"/>
      <c r="AM538" s="8"/>
      <c r="AN538" s="8"/>
      <c r="AO538" s="8"/>
      <c r="AP538" s="8"/>
      <c r="AQ538" s="8"/>
      <c r="AR538" s="8"/>
      <c r="AS538" s="8"/>
      <c r="AT538" s="8"/>
      <c r="AU538" s="8"/>
    </row>
    <row r="539" customFormat="false" ht="23.25" hidden="false" customHeight="true" outlineLevel="0" collapsed="false">
      <c r="A539" s="8" t="n">
        <v>538</v>
      </c>
      <c r="B539" s="8" t="n">
        <v>80</v>
      </c>
      <c r="C539" s="8" t="s">
        <v>557</v>
      </c>
      <c r="D539" s="8" t="s">
        <v>315</v>
      </c>
      <c r="E539" s="9" t="s">
        <v>571</v>
      </c>
      <c r="F539" s="9" t="s">
        <v>317</v>
      </c>
      <c r="G539" s="8" t="s">
        <v>318</v>
      </c>
      <c r="H539" s="8" t="s">
        <v>290</v>
      </c>
      <c r="I539" s="8" t="s">
        <v>291</v>
      </c>
      <c r="J539" s="8" t="s">
        <v>292</v>
      </c>
      <c r="K539" s="8" t="s">
        <v>293</v>
      </c>
      <c r="L539" s="9" t="s">
        <v>294</v>
      </c>
      <c r="M539" s="8"/>
      <c r="N539" s="8" t="str">
        <f aca="true">IF(M539="","Active (per Notice 1)",IF(M539&lt;TODAY(),"Expired",IF(M539&lt;TODAY()+180,"Expiring Soon","Active")))</f>
        <v>Active (per Notice 1)</v>
      </c>
      <c r="O539" s="13" t="s">
        <v>292</v>
      </c>
      <c r="P539" s="8" t="s">
        <v>296</v>
      </c>
      <c r="Q539" s="8" t="n">
        <v>3.73</v>
      </c>
      <c r="R539" s="8" t="n">
        <v>3</v>
      </c>
      <c r="S539" s="11" t="n">
        <v>45065</v>
      </c>
      <c r="T539" s="8" t="str">
        <f aca="true">IF(S539="","",IF(EDATE(S539,60)&lt;TODAY(),"Expired",IF(EDATE(S539,60)&lt;TODAY()+180,"Expiring Soon","Valid")))</f>
        <v>Valid</v>
      </c>
      <c r="U539" s="8" t="str">
        <f aca="false">IF(P539="","",IF(P539="A++","Top Tier",IF(P539="A+","High",IF(P539="A","Strong",IF(LEFT(P539,1)="B","Acceptable",IF(LEFT(P539,1)="C","Below Avg","-"))))))</f>
        <v>Top Tier</v>
      </c>
      <c r="Y539" s="8" t="n">
        <v>10</v>
      </c>
      <c r="Z539" s="11" t="n">
        <v>46203</v>
      </c>
      <c r="AA539" s="8" t="s">
        <v>328</v>
      </c>
      <c r="AB539" s="8" t="s">
        <v>329</v>
      </c>
      <c r="AC539" s="8" t="n">
        <v>93</v>
      </c>
      <c r="AD539" s="8" t="n">
        <v>53</v>
      </c>
      <c r="AE539" s="8"/>
      <c r="AF539" s="8" t="n">
        <v>67</v>
      </c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</row>
    <row r="540" customFormat="false" ht="23.25" hidden="false" customHeight="true" outlineLevel="0" collapsed="false">
      <c r="A540" s="8" t="n">
        <v>539</v>
      </c>
      <c r="B540" s="8" t="n">
        <v>80</v>
      </c>
      <c r="C540" s="8" t="s">
        <v>557</v>
      </c>
      <c r="D540" s="8" t="s">
        <v>315</v>
      </c>
      <c r="E540" s="9" t="s">
        <v>571</v>
      </c>
      <c r="F540" s="9" t="s">
        <v>299</v>
      </c>
      <c r="G540" s="8" t="s">
        <v>289</v>
      </c>
      <c r="H540" s="8" t="s">
        <v>290</v>
      </c>
      <c r="I540" s="8" t="s">
        <v>291</v>
      </c>
      <c r="J540" s="8" t="s">
        <v>292</v>
      </c>
      <c r="K540" s="8" t="s">
        <v>293</v>
      </c>
      <c r="L540" s="9" t="s">
        <v>294</v>
      </c>
      <c r="M540" s="8"/>
      <c r="N540" s="8" t="str">
        <f aca="true">IF(M540="","Active (per Notice 1)",IF(M540&lt;TODAY(),"Expired",IF(M540&lt;TODAY()+180,"Expiring Soon","Active")))</f>
        <v>Active (per Notice 1)</v>
      </c>
      <c r="O540" s="10" t="s">
        <v>295</v>
      </c>
      <c r="P540" s="8" t="s">
        <v>296</v>
      </c>
      <c r="Q540" s="8" t="n">
        <v>3.73</v>
      </c>
      <c r="R540" s="8" t="n">
        <v>3</v>
      </c>
      <c r="S540" s="11" t="n">
        <v>45065</v>
      </c>
      <c r="T540" s="8" t="str">
        <f aca="true">IF(S540="","",IF(EDATE(S540,60)&lt;TODAY(),"Expired",IF(EDATE(S540,60)&lt;TODAY()+180,"Expiring Soon","Valid")))</f>
        <v>Valid</v>
      </c>
      <c r="U540" s="8" t="str">
        <f aca="false">IF(P540="","",IF(P540="A++","Top Tier",IF(P540="A+","High",IF(P540="A","Strong",IF(LEFT(P540,1)="B","Acceptable",IF(LEFT(P540,1)="C","Below Avg","-"))))))</f>
        <v>Top Tier</v>
      </c>
      <c r="Y540" s="8" t="n">
        <v>10</v>
      </c>
      <c r="Z540" s="11" t="n">
        <v>46203</v>
      </c>
      <c r="AA540" s="8" t="s">
        <v>328</v>
      </c>
      <c r="AB540" s="8" t="s">
        <v>329</v>
      </c>
      <c r="AC540" s="8" t="n">
        <v>93</v>
      </c>
      <c r="AD540" s="8" t="n">
        <v>53</v>
      </c>
      <c r="AE540" s="8"/>
      <c r="AF540" s="8" t="n">
        <v>67</v>
      </c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</row>
    <row r="541" customFormat="false" ht="23.25" hidden="false" customHeight="true" outlineLevel="0" collapsed="false">
      <c r="A541" s="8" t="n">
        <v>540</v>
      </c>
      <c r="B541" s="8" t="n">
        <v>80</v>
      </c>
      <c r="C541" s="8" t="s">
        <v>557</v>
      </c>
      <c r="D541" s="8" t="s">
        <v>315</v>
      </c>
      <c r="E541" s="9" t="s">
        <v>571</v>
      </c>
      <c r="F541" s="9" t="s">
        <v>384</v>
      </c>
      <c r="G541" s="8" t="s">
        <v>298</v>
      </c>
      <c r="H541" s="8" t="s">
        <v>290</v>
      </c>
      <c r="I541" s="8" t="s">
        <v>291</v>
      </c>
      <c r="J541" s="8" t="s">
        <v>292</v>
      </c>
      <c r="K541" s="8" t="s">
        <v>293</v>
      </c>
      <c r="L541" s="9" t="s">
        <v>294</v>
      </c>
      <c r="M541" s="8"/>
      <c r="N541" s="8" t="str">
        <f aca="true">IF(M541="","Active (per Notice 1)",IF(M541&lt;TODAY(),"Expired",IF(M541&lt;TODAY()+180,"Expiring Soon","Active")))</f>
        <v>Active (per Notice 1)</v>
      </c>
      <c r="O541" s="10" t="s">
        <v>295</v>
      </c>
      <c r="P541" s="8" t="s">
        <v>296</v>
      </c>
      <c r="Q541" s="8" t="n">
        <v>3.73</v>
      </c>
      <c r="R541" s="8" t="n">
        <v>3</v>
      </c>
      <c r="S541" s="11" t="n">
        <v>45065</v>
      </c>
      <c r="T541" s="8" t="str">
        <f aca="true">IF(S541="","",IF(EDATE(S541,60)&lt;TODAY(),"Expired",IF(EDATE(S541,60)&lt;TODAY()+180,"Expiring Soon","Valid")))</f>
        <v>Valid</v>
      </c>
      <c r="U541" s="8" t="str">
        <f aca="false">IF(P541="","",IF(P541="A++","Top Tier",IF(P541="A+","High",IF(P541="A","Strong",IF(LEFT(P541,1)="B","Acceptable",IF(LEFT(P541,1)="C","Below Avg","-"))))))</f>
        <v>Top Tier</v>
      </c>
      <c r="Y541" s="8" t="n">
        <v>10</v>
      </c>
      <c r="Z541" s="11" t="n">
        <v>46203</v>
      </c>
      <c r="AA541" s="8" t="s">
        <v>328</v>
      </c>
      <c r="AB541" s="8" t="s">
        <v>329</v>
      </c>
      <c r="AC541" s="8" t="n">
        <v>93</v>
      </c>
      <c r="AD541" s="8" t="n">
        <v>53</v>
      </c>
      <c r="AE541" s="8"/>
      <c r="AF541" s="8" t="n">
        <v>67</v>
      </c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</row>
    <row r="542" customFormat="false" ht="23.25" hidden="false" customHeight="true" outlineLevel="0" collapsed="false">
      <c r="A542" s="8" t="n">
        <v>541</v>
      </c>
      <c r="B542" s="8" t="n">
        <v>80</v>
      </c>
      <c r="C542" s="8" t="s">
        <v>557</v>
      </c>
      <c r="D542" s="8" t="s">
        <v>315</v>
      </c>
      <c r="E542" s="9" t="s">
        <v>571</v>
      </c>
      <c r="F542" s="9" t="s">
        <v>312</v>
      </c>
      <c r="G542" s="8" t="s">
        <v>301</v>
      </c>
      <c r="H542" s="8" t="s">
        <v>302</v>
      </c>
      <c r="I542" s="8" t="s">
        <v>291</v>
      </c>
      <c r="J542" s="8" t="s">
        <v>292</v>
      </c>
      <c r="K542" s="8" t="s">
        <v>293</v>
      </c>
      <c r="L542" s="9" t="s">
        <v>294</v>
      </c>
      <c r="M542" s="8"/>
      <c r="N542" s="8" t="str">
        <f aca="true">IF(M542="","Active (per Notice 1)",IF(M542&lt;TODAY(),"Expired",IF(M542&lt;TODAY()+180,"Expiring Soon","Active")))</f>
        <v>Active (per Notice 1)</v>
      </c>
      <c r="O542" s="10" t="s">
        <v>295</v>
      </c>
      <c r="P542" s="8" t="s">
        <v>296</v>
      </c>
      <c r="Q542" s="8" t="n">
        <v>3.73</v>
      </c>
      <c r="R542" s="8" t="n">
        <v>3</v>
      </c>
      <c r="S542" s="11" t="n">
        <v>45065</v>
      </c>
      <c r="T542" s="8" t="str">
        <f aca="true">IF(S542="","",IF(EDATE(S542,60)&lt;TODAY(),"Expired",IF(EDATE(S542,60)&lt;TODAY()+180,"Expiring Soon","Valid")))</f>
        <v>Valid</v>
      </c>
      <c r="U542" s="8" t="str">
        <f aca="false">IF(P542="","",IF(P542="A++","Top Tier",IF(P542="A+","High",IF(P542="A","Strong",IF(LEFT(P542,1)="B","Acceptable",IF(LEFT(P542,1)="C","Below Avg","-"))))))</f>
        <v>Top Tier</v>
      </c>
      <c r="Y542" s="8" t="n">
        <v>10</v>
      </c>
      <c r="Z542" s="11" t="n">
        <v>46203</v>
      </c>
      <c r="AA542" s="8" t="s">
        <v>328</v>
      </c>
      <c r="AB542" s="8" t="s">
        <v>329</v>
      </c>
      <c r="AC542" s="8" t="n">
        <v>93</v>
      </c>
      <c r="AD542" s="8" t="n">
        <v>53</v>
      </c>
      <c r="AE542" s="8"/>
      <c r="AF542" s="8" t="n">
        <v>67</v>
      </c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</row>
    <row r="543" customFormat="false" ht="23.25" hidden="false" customHeight="true" outlineLevel="0" collapsed="false">
      <c r="A543" s="8" t="n">
        <v>542</v>
      </c>
      <c r="B543" s="8" t="n">
        <v>80</v>
      </c>
      <c r="C543" s="8" t="s">
        <v>557</v>
      </c>
      <c r="D543" s="8" t="s">
        <v>315</v>
      </c>
      <c r="E543" s="9" t="s">
        <v>571</v>
      </c>
      <c r="F543" s="9" t="s">
        <v>385</v>
      </c>
      <c r="G543" s="8" t="s">
        <v>386</v>
      </c>
      <c r="H543" s="8" t="s">
        <v>302</v>
      </c>
      <c r="I543" s="8" t="s">
        <v>291</v>
      </c>
      <c r="J543" s="8" t="s">
        <v>292</v>
      </c>
      <c r="K543" s="8" t="s">
        <v>293</v>
      </c>
      <c r="L543" s="9" t="s">
        <v>294</v>
      </c>
      <c r="M543" s="8"/>
      <c r="N543" s="8" t="str">
        <f aca="true">IF(M543="","Active (per Notice 1)",IF(M543&lt;TODAY(),"Expired",IF(M543&lt;TODAY()+180,"Expiring Soon","Active")))</f>
        <v>Active (per Notice 1)</v>
      </c>
      <c r="O543" s="10" t="s">
        <v>295</v>
      </c>
      <c r="P543" s="8" t="s">
        <v>296</v>
      </c>
      <c r="Q543" s="8" t="n">
        <v>3.73</v>
      </c>
      <c r="R543" s="8" t="n">
        <v>3</v>
      </c>
      <c r="S543" s="11" t="n">
        <v>45065</v>
      </c>
      <c r="T543" s="8" t="str">
        <f aca="true">IF(S543="","",IF(EDATE(S543,60)&lt;TODAY(),"Expired",IF(EDATE(S543,60)&lt;TODAY()+180,"Expiring Soon","Valid")))</f>
        <v>Valid</v>
      </c>
      <c r="U543" s="8" t="str">
        <f aca="false">IF(P543="","",IF(P543="A++","Top Tier",IF(P543="A+","High",IF(P543="A","Strong",IF(LEFT(P543,1)="B","Acceptable",IF(LEFT(P543,1)="C","Below Avg","-"))))))</f>
        <v>Top Tier</v>
      </c>
      <c r="Y543" s="8" t="n">
        <v>10</v>
      </c>
      <c r="Z543" s="11" t="n">
        <v>46203</v>
      </c>
      <c r="AA543" s="8" t="s">
        <v>328</v>
      </c>
      <c r="AB543" s="8" t="s">
        <v>329</v>
      </c>
      <c r="AC543" s="8" t="n">
        <v>93</v>
      </c>
      <c r="AD543" s="8" t="n">
        <v>53</v>
      </c>
      <c r="AE543" s="8"/>
      <c r="AF543" s="8" t="n">
        <v>67</v>
      </c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</row>
    <row r="544" customFormat="false" ht="23.25" hidden="false" customHeight="true" outlineLevel="0" collapsed="false">
      <c r="A544" s="8" t="n">
        <v>543</v>
      </c>
      <c r="B544" s="8" t="n">
        <v>80</v>
      </c>
      <c r="C544" s="8" t="s">
        <v>557</v>
      </c>
      <c r="D544" s="8" t="s">
        <v>315</v>
      </c>
      <c r="E544" s="9" t="s">
        <v>571</v>
      </c>
      <c r="F544" s="9" t="s">
        <v>303</v>
      </c>
      <c r="G544" s="8" t="s">
        <v>304</v>
      </c>
      <c r="H544" s="8" t="s">
        <v>302</v>
      </c>
      <c r="I544" s="8" t="s">
        <v>291</v>
      </c>
      <c r="J544" s="8" t="s">
        <v>292</v>
      </c>
      <c r="K544" s="8" t="s">
        <v>293</v>
      </c>
      <c r="L544" s="9" t="s">
        <v>294</v>
      </c>
      <c r="M544" s="8"/>
      <c r="N544" s="8" t="str">
        <f aca="true">IF(M544="","Active (per Notice 1)",IF(M544&lt;TODAY(),"Expired",IF(M544&lt;TODAY()+180,"Expiring Soon","Active")))</f>
        <v>Active (per Notice 1)</v>
      </c>
      <c r="O544" s="13" t="s">
        <v>292</v>
      </c>
      <c r="P544" s="8" t="s">
        <v>296</v>
      </c>
      <c r="Q544" s="8" t="n">
        <v>3.73</v>
      </c>
      <c r="R544" s="8" t="n">
        <v>3</v>
      </c>
      <c r="S544" s="11" t="n">
        <v>45065</v>
      </c>
      <c r="T544" s="8" t="str">
        <f aca="true">IF(S544="","",IF(EDATE(S544,60)&lt;TODAY(),"Expired",IF(EDATE(S544,60)&lt;TODAY()+180,"Expiring Soon","Valid")))</f>
        <v>Valid</v>
      </c>
      <c r="U544" s="8" t="str">
        <f aca="false">IF(P544="","",IF(P544="A++","Top Tier",IF(P544="A+","High",IF(P544="A","Strong",IF(LEFT(P544,1)="B","Acceptable",IF(LEFT(P544,1)="C","Below Avg","-"))))))</f>
        <v>Top Tier</v>
      </c>
      <c r="Y544" s="8" t="n">
        <v>10</v>
      </c>
      <c r="Z544" s="11" t="n">
        <v>46203</v>
      </c>
      <c r="AA544" s="8" t="s">
        <v>328</v>
      </c>
      <c r="AB544" s="8" t="s">
        <v>329</v>
      </c>
      <c r="AC544" s="8" t="n">
        <v>93</v>
      </c>
      <c r="AD544" s="8" t="n">
        <v>53</v>
      </c>
      <c r="AE544" s="8"/>
      <c r="AF544" s="8" t="n">
        <v>67</v>
      </c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</row>
    <row r="545" customFormat="false" ht="15" hidden="false" customHeight="true" outlineLevel="0" collapsed="false">
      <c r="A545" s="8" t="n">
        <v>544</v>
      </c>
      <c r="B545" s="8" t="n">
        <v>81</v>
      </c>
      <c r="C545" s="8" t="s">
        <v>557</v>
      </c>
      <c r="D545" s="8" t="s">
        <v>315</v>
      </c>
      <c r="E545" s="9" t="s">
        <v>572</v>
      </c>
      <c r="F545" s="9" t="s">
        <v>573</v>
      </c>
      <c r="G545" s="8" t="s">
        <v>320</v>
      </c>
      <c r="H545" s="8" t="s">
        <v>290</v>
      </c>
      <c r="I545" s="8" t="s">
        <v>291</v>
      </c>
      <c r="J545" s="8" t="s">
        <v>292</v>
      </c>
      <c r="K545" s="8" t="s">
        <v>293</v>
      </c>
      <c r="L545" s="9" t="s">
        <v>294</v>
      </c>
      <c r="M545" s="8"/>
      <c r="N545" s="8" t="str">
        <f aca="true">IF(M545="","Active (per Notice 1)",IF(M545&lt;TODAY(),"Expired",IF(M545&lt;TODAY()+180,"Expiring Soon","Active")))</f>
        <v>Active (per Notice 1)</v>
      </c>
      <c r="O545" s="13" t="s">
        <v>292</v>
      </c>
      <c r="P545" s="8" t="s">
        <v>296</v>
      </c>
      <c r="Q545" s="8" t="n">
        <v>3.58</v>
      </c>
      <c r="R545" s="8" t="n">
        <v>4</v>
      </c>
      <c r="S545" s="11" t="n">
        <v>45459</v>
      </c>
      <c r="T545" s="8" t="str">
        <f aca="true">IF(S545="","",IF(EDATE(S545,60)&lt;TODAY(),"Expired",IF(EDATE(S545,60)&lt;TODAY()+180,"Expiring Soon","Valid")))</f>
        <v>Valid</v>
      </c>
      <c r="U545" s="8" t="str">
        <f aca="false">IF(P545="","",IF(P545="A++","Top Tier",IF(P545="A+","High",IF(P545="A","Strong",IF(LEFT(P545,1)="B","Acceptable",IF(LEFT(P545,1)="C","Below Avg","-"))))))</f>
        <v>Top Tier</v>
      </c>
      <c r="Y545" s="8" t="n">
        <v>6</v>
      </c>
      <c r="Z545" s="11" t="n">
        <v>46568</v>
      </c>
      <c r="AA545" s="8" t="s">
        <v>328</v>
      </c>
      <c r="AB545" s="8" t="s">
        <v>329</v>
      </c>
      <c r="AC545" s="8" t="n">
        <v>22</v>
      </c>
      <c r="AD545" s="8" t="n">
        <v>11</v>
      </c>
      <c r="AE545" s="8" t="n">
        <v>25</v>
      </c>
      <c r="AF545" s="8" t="n">
        <v>14</v>
      </c>
      <c r="AG545" s="8" t="n">
        <v>56</v>
      </c>
      <c r="AH545" s="8" t="n">
        <v>10</v>
      </c>
      <c r="AI545" s="8" t="n">
        <v>18</v>
      </c>
      <c r="AJ545" s="8"/>
      <c r="AK545" s="8" t="n">
        <v>25</v>
      </c>
      <c r="AL545" s="8" t="n">
        <v>18</v>
      </c>
      <c r="AM545" s="8" t="n">
        <v>33</v>
      </c>
      <c r="AN545" s="8"/>
      <c r="AO545" s="8"/>
      <c r="AP545" s="8"/>
      <c r="AQ545" s="8"/>
      <c r="AR545" s="8" t="n">
        <v>4</v>
      </c>
      <c r="AS545" s="8"/>
      <c r="AT545" s="8"/>
      <c r="AU545" s="8"/>
    </row>
    <row r="546" customFormat="false" ht="15" hidden="false" customHeight="true" outlineLevel="0" collapsed="false">
      <c r="A546" s="8" t="n">
        <v>545</v>
      </c>
      <c r="B546" s="8" t="n">
        <v>81</v>
      </c>
      <c r="C546" s="8" t="s">
        <v>557</v>
      </c>
      <c r="D546" s="8" t="s">
        <v>315</v>
      </c>
      <c r="E546" s="9" t="s">
        <v>572</v>
      </c>
      <c r="F546" s="9" t="s">
        <v>453</v>
      </c>
      <c r="G546" s="8" t="s">
        <v>318</v>
      </c>
      <c r="H546" s="8" t="s">
        <v>290</v>
      </c>
      <c r="I546" s="8" t="s">
        <v>291</v>
      </c>
      <c r="J546" s="8" t="s">
        <v>292</v>
      </c>
      <c r="K546" s="8" t="s">
        <v>293</v>
      </c>
      <c r="L546" s="9" t="s">
        <v>294</v>
      </c>
      <c r="M546" s="8"/>
      <c r="N546" s="8" t="str">
        <f aca="true">IF(M546="","Active (per Notice 1)",IF(M546&lt;TODAY(),"Expired",IF(M546&lt;TODAY()+180,"Expiring Soon","Active")))</f>
        <v>Active (per Notice 1)</v>
      </c>
      <c r="O546" s="13" t="s">
        <v>292</v>
      </c>
      <c r="P546" s="8" t="s">
        <v>296</v>
      </c>
      <c r="Q546" s="8" t="n">
        <v>3.58</v>
      </c>
      <c r="R546" s="8" t="n">
        <v>4</v>
      </c>
      <c r="S546" s="11" t="n">
        <v>45459</v>
      </c>
      <c r="T546" s="8" t="str">
        <f aca="true">IF(S546="","",IF(EDATE(S546,60)&lt;TODAY(),"Expired",IF(EDATE(S546,60)&lt;TODAY()+180,"Expiring Soon","Valid")))</f>
        <v>Valid</v>
      </c>
      <c r="U546" s="8" t="str">
        <f aca="false">IF(P546="","",IF(P546="A++","Top Tier",IF(P546="A+","High",IF(P546="A","Strong",IF(LEFT(P546,1)="B","Acceptable",IF(LEFT(P546,1)="C","Below Avg","-"))))))</f>
        <v>Top Tier</v>
      </c>
      <c r="Y546" s="8" t="n">
        <v>6</v>
      </c>
      <c r="Z546" s="11" t="n">
        <v>46568</v>
      </c>
      <c r="AA546" s="8" t="s">
        <v>328</v>
      </c>
      <c r="AB546" s="8" t="s">
        <v>329</v>
      </c>
      <c r="AC546" s="8" t="n">
        <v>22</v>
      </c>
      <c r="AD546" s="8" t="n">
        <v>11</v>
      </c>
      <c r="AE546" s="8" t="n">
        <v>25</v>
      </c>
      <c r="AF546" s="8" t="n">
        <v>14</v>
      </c>
      <c r="AG546" s="8" t="n">
        <v>56</v>
      </c>
      <c r="AH546" s="8" t="n">
        <v>10</v>
      </c>
      <c r="AI546" s="8" t="n">
        <v>18</v>
      </c>
      <c r="AJ546" s="8"/>
      <c r="AK546" s="8" t="n">
        <v>25</v>
      </c>
      <c r="AL546" s="8" t="n">
        <v>18</v>
      </c>
      <c r="AM546" s="8" t="n">
        <v>33</v>
      </c>
      <c r="AN546" s="8"/>
      <c r="AO546" s="8"/>
      <c r="AP546" s="8"/>
      <c r="AQ546" s="8"/>
      <c r="AR546" s="8" t="n">
        <v>4</v>
      </c>
      <c r="AS546" s="8"/>
      <c r="AT546" s="8"/>
      <c r="AU546" s="8"/>
    </row>
    <row r="547" customFormat="false" ht="15" hidden="false" customHeight="true" outlineLevel="0" collapsed="false">
      <c r="A547" s="8" t="n">
        <v>546</v>
      </c>
      <c r="B547" s="8" t="n">
        <v>81</v>
      </c>
      <c r="C547" s="8" t="s">
        <v>557</v>
      </c>
      <c r="D547" s="8" t="s">
        <v>315</v>
      </c>
      <c r="E547" s="9" t="s">
        <v>572</v>
      </c>
      <c r="F547" s="9" t="s">
        <v>306</v>
      </c>
      <c r="G547" s="8" t="s">
        <v>307</v>
      </c>
      <c r="H547" s="8" t="s">
        <v>302</v>
      </c>
      <c r="I547" s="8" t="s">
        <v>291</v>
      </c>
      <c r="J547" s="8" t="s">
        <v>292</v>
      </c>
      <c r="K547" s="8" t="s">
        <v>293</v>
      </c>
      <c r="L547" s="9" t="s">
        <v>294</v>
      </c>
      <c r="M547" s="8"/>
      <c r="N547" s="8" t="str">
        <f aca="true">IF(M547="","Active (per Notice 1)",IF(M547&lt;TODAY(),"Expired",IF(M547&lt;TODAY()+180,"Expiring Soon","Active")))</f>
        <v>Active (per Notice 1)</v>
      </c>
      <c r="O547" s="13" t="s">
        <v>292</v>
      </c>
      <c r="P547" s="8" t="s">
        <v>296</v>
      </c>
      <c r="Q547" s="8" t="n">
        <v>3.58</v>
      </c>
      <c r="R547" s="8" t="n">
        <v>4</v>
      </c>
      <c r="S547" s="11" t="n">
        <v>45459</v>
      </c>
      <c r="T547" s="8" t="str">
        <f aca="true">IF(S547="","",IF(EDATE(S547,60)&lt;TODAY(),"Expired",IF(EDATE(S547,60)&lt;TODAY()+180,"Expiring Soon","Valid")))</f>
        <v>Valid</v>
      </c>
      <c r="U547" s="8" t="str">
        <f aca="false">IF(P547="","",IF(P547="A++","Top Tier",IF(P547="A+","High",IF(P547="A","Strong",IF(LEFT(P547,1)="B","Acceptable",IF(LEFT(P547,1)="C","Below Avg","-"))))))</f>
        <v>Top Tier</v>
      </c>
      <c r="Y547" s="8" t="n">
        <v>6</v>
      </c>
      <c r="Z547" s="11" t="n">
        <v>46568</v>
      </c>
      <c r="AA547" s="8" t="s">
        <v>328</v>
      </c>
      <c r="AB547" s="8" t="s">
        <v>329</v>
      </c>
      <c r="AC547" s="8" t="n">
        <v>22</v>
      </c>
      <c r="AD547" s="8" t="n">
        <v>11</v>
      </c>
      <c r="AE547" s="8" t="n">
        <v>25</v>
      </c>
      <c r="AF547" s="8" t="n">
        <v>14</v>
      </c>
      <c r="AG547" s="8" t="n">
        <v>56</v>
      </c>
      <c r="AH547" s="8" t="n">
        <v>10</v>
      </c>
      <c r="AI547" s="8" t="n">
        <v>18</v>
      </c>
      <c r="AJ547" s="8"/>
      <c r="AK547" s="8" t="n">
        <v>25</v>
      </c>
      <c r="AL547" s="8" t="n">
        <v>18</v>
      </c>
      <c r="AM547" s="8" t="n">
        <v>33</v>
      </c>
      <c r="AN547" s="8"/>
      <c r="AO547" s="8"/>
      <c r="AP547" s="8"/>
      <c r="AQ547" s="8"/>
      <c r="AR547" s="8" t="n">
        <v>4</v>
      </c>
      <c r="AS547" s="8"/>
      <c r="AT547" s="8"/>
      <c r="AU547" s="8"/>
    </row>
    <row r="548" customFormat="false" ht="15" hidden="false" customHeight="true" outlineLevel="0" collapsed="false">
      <c r="A548" s="8" t="n">
        <v>547</v>
      </c>
      <c r="B548" s="8" t="n">
        <v>81</v>
      </c>
      <c r="C548" s="8" t="s">
        <v>557</v>
      </c>
      <c r="D548" s="8" t="s">
        <v>315</v>
      </c>
      <c r="E548" s="9" t="s">
        <v>572</v>
      </c>
      <c r="F548" s="9" t="s">
        <v>308</v>
      </c>
      <c r="G548" s="8" t="s">
        <v>309</v>
      </c>
      <c r="H548" s="8" t="s">
        <v>302</v>
      </c>
      <c r="I548" s="8" t="s">
        <v>291</v>
      </c>
      <c r="J548" s="8" t="s">
        <v>292</v>
      </c>
      <c r="K548" s="8" t="s">
        <v>293</v>
      </c>
      <c r="L548" s="9" t="s">
        <v>294</v>
      </c>
      <c r="M548" s="8"/>
      <c r="N548" s="8" t="str">
        <f aca="true">IF(M548="","Active (per Notice 1)",IF(M548&lt;TODAY(),"Expired",IF(M548&lt;TODAY()+180,"Expiring Soon","Active")))</f>
        <v>Active (per Notice 1)</v>
      </c>
      <c r="O548" s="10" t="s">
        <v>295</v>
      </c>
      <c r="P548" s="8" t="s">
        <v>296</v>
      </c>
      <c r="Q548" s="8" t="n">
        <v>3.58</v>
      </c>
      <c r="R548" s="8" t="n">
        <v>4</v>
      </c>
      <c r="S548" s="11" t="n">
        <v>45459</v>
      </c>
      <c r="T548" s="8" t="str">
        <f aca="true">IF(S548="","",IF(EDATE(S548,60)&lt;TODAY(),"Expired",IF(EDATE(S548,60)&lt;TODAY()+180,"Expiring Soon","Valid")))</f>
        <v>Valid</v>
      </c>
      <c r="U548" s="8" t="str">
        <f aca="false">IF(P548="","",IF(P548="A++","Top Tier",IF(P548="A+","High",IF(P548="A","Strong",IF(LEFT(P548,1)="B","Acceptable",IF(LEFT(P548,1)="C","Below Avg","-"))))))</f>
        <v>Top Tier</v>
      </c>
      <c r="Y548" s="8" t="n">
        <v>6</v>
      </c>
      <c r="Z548" s="11" t="n">
        <v>46568</v>
      </c>
      <c r="AA548" s="8" t="s">
        <v>328</v>
      </c>
      <c r="AB548" s="8" t="s">
        <v>329</v>
      </c>
      <c r="AC548" s="8" t="n">
        <v>22</v>
      </c>
      <c r="AD548" s="8" t="n">
        <v>11</v>
      </c>
      <c r="AE548" s="8" t="n">
        <v>25</v>
      </c>
      <c r="AF548" s="8" t="n">
        <v>14</v>
      </c>
      <c r="AG548" s="8" t="n">
        <v>56</v>
      </c>
      <c r="AH548" s="8" t="n">
        <v>10</v>
      </c>
      <c r="AI548" s="8" t="n">
        <v>18</v>
      </c>
      <c r="AJ548" s="8"/>
      <c r="AK548" s="8" t="n">
        <v>25</v>
      </c>
      <c r="AL548" s="8" t="n">
        <v>18</v>
      </c>
      <c r="AM548" s="8" t="n">
        <v>33</v>
      </c>
      <c r="AN548" s="8"/>
      <c r="AO548" s="8"/>
      <c r="AP548" s="8"/>
      <c r="AQ548" s="8"/>
      <c r="AR548" s="8" t="n">
        <v>4</v>
      </c>
      <c r="AS548" s="8"/>
      <c r="AT548" s="8"/>
      <c r="AU548" s="8"/>
    </row>
    <row r="549" customFormat="false" ht="15" hidden="false" customHeight="true" outlineLevel="0" collapsed="false">
      <c r="A549" s="8" t="n">
        <v>548</v>
      </c>
      <c r="B549" s="8" t="n">
        <v>81</v>
      </c>
      <c r="C549" s="8" t="s">
        <v>557</v>
      </c>
      <c r="D549" s="8" t="s">
        <v>315</v>
      </c>
      <c r="E549" s="9" t="s">
        <v>572</v>
      </c>
      <c r="F549" s="9" t="s">
        <v>303</v>
      </c>
      <c r="G549" s="8" t="s">
        <v>304</v>
      </c>
      <c r="H549" s="8" t="s">
        <v>302</v>
      </c>
      <c r="I549" s="8" t="s">
        <v>291</v>
      </c>
      <c r="J549" s="8" t="s">
        <v>292</v>
      </c>
      <c r="K549" s="8" t="s">
        <v>293</v>
      </c>
      <c r="L549" s="9" t="s">
        <v>294</v>
      </c>
      <c r="M549" s="8"/>
      <c r="N549" s="8" t="str">
        <f aca="true">IF(M549="","Active (per Notice 1)",IF(M549&lt;TODAY(),"Expired",IF(M549&lt;TODAY()+180,"Expiring Soon","Active")))</f>
        <v>Active (per Notice 1)</v>
      </c>
      <c r="O549" s="13" t="s">
        <v>292</v>
      </c>
      <c r="P549" s="8" t="s">
        <v>296</v>
      </c>
      <c r="Q549" s="8" t="n">
        <v>3.58</v>
      </c>
      <c r="R549" s="8" t="n">
        <v>4</v>
      </c>
      <c r="S549" s="11" t="n">
        <v>45459</v>
      </c>
      <c r="T549" s="8" t="str">
        <f aca="true">IF(S549="","",IF(EDATE(S549,60)&lt;TODAY(),"Expired",IF(EDATE(S549,60)&lt;TODAY()+180,"Expiring Soon","Valid")))</f>
        <v>Valid</v>
      </c>
      <c r="U549" s="8" t="str">
        <f aca="false">IF(P549="","",IF(P549="A++","Top Tier",IF(P549="A+","High",IF(P549="A","Strong",IF(LEFT(P549,1)="B","Acceptable",IF(LEFT(P549,1)="C","Below Avg","-"))))))</f>
        <v>Top Tier</v>
      </c>
      <c r="Y549" s="8" t="n">
        <v>6</v>
      </c>
      <c r="Z549" s="11" t="n">
        <v>46568</v>
      </c>
      <c r="AA549" s="8" t="s">
        <v>328</v>
      </c>
      <c r="AB549" s="8" t="s">
        <v>329</v>
      </c>
      <c r="AC549" s="8" t="n">
        <v>22</v>
      </c>
      <c r="AD549" s="8" t="n">
        <v>11</v>
      </c>
      <c r="AE549" s="8" t="n">
        <v>25</v>
      </c>
      <c r="AF549" s="8" t="n">
        <v>14</v>
      </c>
      <c r="AG549" s="8" t="n">
        <v>56</v>
      </c>
      <c r="AH549" s="8" t="n">
        <v>10</v>
      </c>
      <c r="AI549" s="8" t="n">
        <v>18</v>
      </c>
      <c r="AJ549" s="8"/>
      <c r="AK549" s="8" t="n">
        <v>25</v>
      </c>
      <c r="AL549" s="8" t="n">
        <v>18</v>
      </c>
      <c r="AM549" s="8" t="n">
        <v>33</v>
      </c>
      <c r="AN549" s="8"/>
      <c r="AO549" s="8"/>
      <c r="AP549" s="8"/>
      <c r="AQ549" s="8"/>
      <c r="AR549" s="8" t="n">
        <v>4</v>
      </c>
      <c r="AS549" s="8"/>
      <c r="AT549" s="8"/>
      <c r="AU549" s="8"/>
    </row>
    <row r="550" customFormat="false" ht="15" hidden="false" customHeight="true" outlineLevel="0" collapsed="false">
      <c r="A550" s="8" t="n">
        <v>549</v>
      </c>
      <c r="B550" s="8" t="n">
        <v>82</v>
      </c>
      <c r="C550" s="8" t="s">
        <v>557</v>
      </c>
      <c r="D550" s="8" t="s">
        <v>286</v>
      </c>
      <c r="E550" s="9" t="s">
        <v>574</v>
      </c>
      <c r="F550" s="9" t="s">
        <v>359</v>
      </c>
      <c r="G550" s="8" t="s">
        <v>289</v>
      </c>
      <c r="H550" s="8" t="s">
        <v>290</v>
      </c>
      <c r="I550" s="8" t="s">
        <v>291</v>
      </c>
      <c r="J550" s="8" t="s">
        <v>292</v>
      </c>
      <c r="K550" s="8" t="s">
        <v>293</v>
      </c>
      <c r="L550" s="9" t="s">
        <v>294</v>
      </c>
      <c r="M550" s="8"/>
      <c r="N550" s="8" t="str">
        <f aca="true">IF(M550="","Active (per Notice 1)",IF(M550&lt;TODAY(),"Expired",IF(M550&lt;TODAY()+180,"Expiring Soon","Active")))</f>
        <v>Active (per Notice 1)</v>
      </c>
      <c r="O550" s="10" t="s">
        <v>295</v>
      </c>
      <c r="P550" s="8" t="s">
        <v>296</v>
      </c>
      <c r="Q550" s="8" t="n">
        <v>3.59</v>
      </c>
      <c r="R550" s="8" t="n">
        <v>4</v>
      </c>
      <c r="S550" s="11" t="n">
        <v>45159</v>
      </c>
      <c r="T550" s="8" t="str">
        <f aca="true">IF(S550="","",IF(EDATE(S550,60)&lt;TODAY(),"Expired",IF(EDATE(S550,60)&lt;TODAY()+180,"Expiring Soon","Valid")))</f>
        <v>Valid</v>
      </c>
      <c r="U550" s="8" t="str">
        <f aca="false">IF(P550="","",IF(P550="A++","Top Tier",IF(P550="A+","High",IF(P550="A","Strong",IF(LEFT(P550,1)="B","Acceptable",IF(LEFT(P550,1)="C","Below Avg","-"))))))</f>
        <v>Top Tier</v>
      </c>
      <c r="AC550" s="8" t="n">
        <v>68</v>
      </c>
      <c r="AD550" s="8" t="n">
        <v>38</v>
      </c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 t="n">
        <v>18</v>
      </c>
      <c r="AP550" s="8"/>
      <c r="AQ550" s="8"/>
      <c r="AR550" s="8"/>
      <c r="AS550" s="8"/>
      <c r="AT550" s="8"/>
      <c r="AU550" s="8"/>
    </row>
    <row r="551" customFormat="false" ht="15" hidden="false" customHeight="true" outlineLevel="0" collapsed="false">
      <c r="A551" s="8" t="n">
        <v>550</v>
      </c>
      <c r="B551" s="8" t="n">
        <v>82</v>
      </c>
      <c r="C551" s="8" t="s">
        <v>557</v>
      </c>
      <c r="D551" s="8" t="s">
        <v>286</v>
      </c>
      <c r="E551" s="9" t="s">
        <v>574</v>
      </c>
      <c r="F551" s="9" t="s">
        <v>575</v>
      </c>
      <c r="G551" s="8" t="s">
        <v>298</v>
      </c>
      <c r="H551" s="8" t="s">
        <v>290</v>
      </c>
      <c r="I551" s="8" t="s">
        <v>291</v>
      </c>
      <c r="J551" s="8" t="s">
        <v>292</v>
      </c>
      <c r="K551" s="8" t="s">
        <v>293</v>
      </c>
      <c r="L551" s="9" t="s">
        <v>294</v>
      </c>
      <c r="M551" s="8"/>
      <c r="N551" s="8" t="str">
        <f aca="true">IF(M551="","Active (per Notice 1)",IF(M551&lt;TODAY(),"Expired",IF(M551&lt;TODAY()+180,"Expiring Soon","Active")))</f>
        <v>Active (per Notice 1)</v>
      </c>
      <c r="O551" s="10" t="s">
        <v>295</v>
      </c>
      <c r="P551" s="8" t="s">
        <v>296</v>
      </c>
      <c r="Q551" s="8" t="n">
        <v>3.59</v>
      </c>
      <c r="R551" s="8" t="n">
        <v>4</v>
      </c>
      <c r="S551" s="11" t="n">
        <v>45159</v>
      </c>
      <c r="T551" s="8" t="str">
        <f aca="true">IF(S551="","",IF(EDATE(S551,60)&lt;TODAY(),"Expired",IF(EDATE(S551,60)&lt;TODAY()+180,"Expiring Soon","Valid")))</f>
        <v>Valid</v>
      </c>
      <c r="U551" s="8" t="str">
        <f aca="false">IF(P551="","",IF(P551="A++","Top Tier",IF(P551="A+","High",IF(P551="A","Strong",IF(LEFT(P551,1)="B","Acceptable",IF(LEFT(P551,1)="C","Below Avg","-"))))))</f>
        <v>Top Tier</v>
      </c>
      <c r="AC551" s="8" t="n">
        <v>68</v>
      </c>
      <c r="AD551" s="8" t="n">
        <v>38</v>
      </c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 t="n">
        <v>18</v>
      </c>
      <c r="AP551" s="8"/>
      <c r="AQ551" s="8"/>
      <c r="AR551" s="8"/>
      <c r="AS551" s="8"/>
      <c r="AT551" s="8"/>
      <c r="AU551" s="8"/>
    </row>
    <row r="552" customFormat="false" ht="15" hidden="false" customHeight="true" outlineLevel="0" collapsed="false">
      <c r="A552" s="8" t="n">
        <v>551</v>
      </c>
      <c r="B552" s="8" t="n">
        <v>82</v>
      </c>
      <c r="C552" s="8" t="s">
        <v>557</v>
      </c>
      <c r="D552" s="8" t="s">
        <v>286</v>
      </c>
      <c r="E552" s="9" t="s">
        <v>574</v>
      </c>
      <c r="F552" s="9" t="s">
        <v>326</v>
      </c>
      <c r="G552" s="8" t="s">
        <v>318</v>
      </c>
      <c r="H552" s="8" t="s">
        <v>290</v>
      </c>
      <c r="I552" s="8" t="s">
        <v>291</v>
      </c>
      <c r="J552" s="8" t="s">
        <v>292</v>
      </c>
      <c r="K552" s="8" t="s">
        <v>293</v>
      </c>
      <c r="L552" s="9" t="s">
        <v>294</v>
      </c>
      <c r="M552" s="8"/>
      <c r="N552" s="8" t="str">
        <f aca="true">IF(M552="","Active (per Notice 1)",IF(M552&lt;TODAY(),"Expired",IF(M552&lt;TODAY()+180,"Expiring Soon","Active")))</f>
        <v>Active (per Notice 1)</v>
      </c>
      <c r="O552" s="12" t="s">
        <v>305</v>
      </c>
      <c r="P552" s="8" t="s">
        <v>296</v>
      </c>
      <c r="Q552" s="8" t="n">
        <v>3.59</v>
      </c>
      <c r="R552" s="8" t="n">
        <v>4</v>
      </c>
      <c r="S552" s="11" t="n">
        <v>45159</v>
      </c>
      <c r="T552" s="8" t="str">
        <f aca="true">IF(S552="","",IF(EDATE(S552,60)&lt;TODAY(),"Expired",IF(EDATE(S552,60)&lt;TODAY()+180,"Expiring Soon","Valid")))</f>
        <v>Valid</v>
      </c>
      <c r="U552" s="8" t="str">
        <f aca="false">IF(P552="","",IF(P552="A++","Top Tier",IF(P552="A+","High",IF(P552="A","Strong",IF(LEFT(P552,1)="B","Acceptable",IF(LEFT(P552,1)="C","Below Avg","-"))))))</f>
        <v>Top Tier</v>
      </c>
      <c r="AC552" s="8" t="n">
        <v>68</v>
      </c>
      <c r="AD552" s="8" t="n">
        <v>38</v>
      </c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 t="n">
        <v>18</v>
      </c>
      <c r="AP552" s="8"/>
      <c r="AQ552" s="8"/>
      <c r="AR552" s="8"/>
      <c r="AS552" s="8"/>
      <c r="AT552" s="8"/>
      <c r="AU552" s="8"/>
    </row>
    <row r="553" customFormat="false" ht="15" hidden="false" customHeight="true" outlineLevel="0" collapsed="false">
      <c r="A553" s="8" t="n">
        <v>552</v>
      </c>
      <c r="B553" s="8" t="n">
        <v>82</v>
      </c>
      <c r="C553" s="8" t="s">
        <v>557</v>
      </c>
      <c r="D553" s="8" t="s">
        <v>286</v>
      </c>
      <c r="E553" s="9" t="s">
        <v>574</v>
      </c>
      <c r="F553" s="9" t="s">
        <v>314</v>
      </c>
      <c r="G553" s="8" t="s">
        <v>301</v>
      </c>
      <c r="H553" s="8" t="s">
        <v>302</v>
      </c>
      <c r="I553" s="8" t="s">
        <v>291</v>
      </c>
      <c r="J553" s="8" t="s">
        <v>292</v>
      </c>
      <c r="K553" s="8" t="s">
        <v>293</v>
      </c>
      <c r="L553" s="9" t="s">
        <v>294</v>
      </c>
      <c r="M553" s="8"/>
      <c r="N553" s="8" t="str">
        <f aca="true">IF(M553="","Active (per Notice 1)",IF(M553&lt;TODAY(),"Expired",IF(M553&lt;TODAY()+180,"Expiring Soon","Active")))</f>
        <v>Active (per Notice 1)</v>
      </c>
      <c r="O553" s="10" t="s">
        <v>295</v>
      </c>
      <c r="P553" s="8" t="s">
        <v>296</v>
      </c>
      <c r="Q553" s="8" t="n">
        <v>3.59</v>
      </c>
      <c r="R553" s="8" t="n">
        <v>4</v>
      </c>
      <c r="S553" s="11" t="n">
        <v>45159</v>
      </c>
      <c r="T553" s="8" t="str">
        <f aca="true">IF(S553="","",IF(EDATE(S553,60)&lt;TODAY(),"Expired",IF(EDATE(S553,60)&lt;TODAY()+180,"Expiring Soon","Valid")))</f>
        <v>Valid</v>
      </c>
      <c r="U553" s="8" t="str">
        <f aca="false">IF(P553="","",IF(P553="A++","Top Tier",IF(P553="A+","High",IF(P553="A","Strong",IF(LEFT(P553,1)="B","Acceptable",IF(LEFT(P553,1)="C","Below Avg","-"))))))</f>
        <v>Top Tier</v>
      </c>
      <c r="AC553" s="8" t="n">
        <v>68</v>
      </c>
      <c r="AD553" s="8" t="n">
        <v>38</v>
      </c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 t="n">
        <v>18</v>
      </c>
      <c r="AP553" s="8"/>
      <c r="AQ553" s="8"/>
      <c r="AR553" s="8"/>
      <c r="AS553" s="8"/>
      <c r="AT553" s="8"/>
      <c r="AU553" s="8"/>
    </row>
    <row r="554" customFormat="false" ht="15" hidden="false" customHeight="true" outlineLevel="0" collapsed="false">
      <c r="A554" s="8" t="n">
        <v>553</v>
      </c>
      <c r="B554" s="8" t="n">
        <v>82</v>
      </c>
      <c r="C554" s="8" t="s">
        <v>557</v>
      </c>
      <c r="D554" s="8" t="s">
        <v>286</v>
      </c>
      <c r="E554" s="9" t="s">
        <v>574</v>
      </c>
      <c r="F554" s="9" t="s">
        <v>361</v>
      </c>
      <c r="G554" s="8" t="s">
        <v>301</v>
      </c>
      <c r="H554" s="8" t="s">
        <v>302</v>
      </c>
      <c r="I554" s="8" t="s">
        <v>291</v>
      </c>
      <c r="J554" s="8" t="s">
        <v>292</v>
      </c>
      <c r="K554" s="8" t="s">
        <v>293</v>
      </c>
      <c r="L554" s="9" t="s">
        <v>294</v>
      </c>
      <c r="M554" s="8"/>
      <c r="N554" s="8" t="str">
        <f aca="true">IF(M554="","Active (per Notice 1)",IF(M554&lt;TODAY(),"Expired",IF(M554&lt;TODAY()+180,"Expiring Soon","Active")))</f>
        <v>Active (per Notice 1)</v>
      </c>
      <c r="O554" s="10" t="s">
        <v>295</v>
      </c>
      <c r="P554" s="8" t="s">
        <v>296</v>
      </c>
      <c r="Q554" s="8" t="n">
        <v>3.59</v>
      </c>
      <c r="R554" s="8" t="n">
        <v>4</v>
      </c>
      <c r="S554" s="11" t="n">
        <v>45159</v>
      </c>
      <c r="T554" s="8" t="str">
        <f aca="true">IF(S554="","",IF(EDATE(S554,60)&lt;TODAY(),"Expired",IF(EDATE(S554,60)&lt;TODAY()+180,"Expiring Soon","Valid")))</f>
        <v>Valid</v>
      </c>
      <c r="U554" s="8" t="str">
        <f aca="false">IF(P554="","",IF(P554="A++","Top Tier",IF(P554="A+","High",IF(P554="A","Strong",IF(LEFT(P554,1)="B","Acceptable",IF(LEFT(P554,1)="C","Below Avg","-"))))))</f>
        <v>Top Tier</v>
      </c>
      <c r="AC554" s="8" t="n">
        <v>68</v>
      </c>
      <c r="AD554" s="8" t="n">
        <v>38</v>
      </c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 t="n">
        <v>18</v>
      </c>
      <c r="AP554" s="8"/>
      <c r="AQ554" s="8"/>
      <c r="AR554" s="8"/>
      <c r="AS554" s="8"/>
      <c r="AT554" s="8"/>
      <c r="AU554" s="8"/>
    </row>
    <row r="555" customFormat="false" ht="15" hidden="false" customHeight="true" outlineLevel="0" collapsed="false">
      <c r="A555" s="8" t="n">
        <v>554</v>
      </c>
      <c r="B555" s="8" t="n">
        <v>82</v>
      </c>
      <c r="C555" s="8" t="s">
        <v>557</v>
      </c>
      <c r="D555" s="8" t="s">
        <v>286</v>
      </c>
      <c r="E555" s="9" t="s">
        <v>574</v>
      </c>
      <c r="F555" s="9" t="s">
        <v>576</v>
      </c>
      <c r="G555" s="8" t="s">
        <v>301</v>
      </c>
      <c r="H555" s="8" t="s">
        <v>302</v>
      </c>
      <c r="I555" s="8" t="s">
        <v>291</v>
      </c>
      <c r="J555" s="8" t="s">
        <v>292</v>
      </c>
      <c r="K555" s="8" t="s">
        <v>293</v>
      </c>
      <c r="L555" s="9" t="s">
        <v>294</v>
      </c>
      <c r="M555" s="8"/>
      <c r="N555" s="8" t="str">
        <f aca="true">IF(M555="","Active (per Notice 1)",IF(M555&lt;TODAY(),"Expired",IF(M555&lt;TODAY()+180,"Expiring Soon","Active")))</f>
        <v>Active (per Notice 1)</v>
      </c>
      <c r="O555" s="10" t="s">
        <v>295</v>
      </c>
      <c r="P555" s="8" t="s">
        <v>296</v>
      </c>
      <c r="Q555" s="8" t="n">
        <v>3.59</v>
      </c>
      <c r="R555" s="8" t="n">
        <v>4</v>
      </c>
      <c r="S555" s="11" t="n">
        <v>45159</v>
      </c>
      <c r="T555" s="8" t="str">
        <f aca="true">IF(S555="","",IF(EDATE(S555,60)&lt;TODAY(),"Expired",IF(EDATE(S555,60)&lt;TODAY()+180,"Expiring Soon","Valid")))</f>
        <v>Valid</v>
      </c>
      <c r="U555" s="8" t="str">
        <f aca="false">IF(P555="","",IF(P555="A++","Top Tier",IF(P555="A+","High",IF(P555="A","Strong",IF(LEFT(P555,1)="B","Acceptable",IF(LEFT(P555,1)="C","Below Avg","-"))))))</f>
        <v>Top Tier</v>
      </c>
      <c r="AC555" s="8" t="n">
        <v>68</v>
      </c>
      <c r="AD555" s="8" t="n">
        <v>38</v>
      </c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 t="n">
        <v>18</v>
      </c>
      <c r="AP555" s="8"/>
      <c r="AQ555" s="8"/>
      <c r="AR555" s="8"/>
      <c r="AS555" s="8"/>
      <c r="AT555" s="8"/>
      <c r="AU555" s="8"/>
    </row>
    <row r="556" customFormat="false" ht="15" hidden="false" customHeight="true" outlineLevel="0" collapsed="false">
      <c r="A556" s="8" t="n">
        <v>555</v>
      </c>
      <c r="B556" s="8" t="n">
        <v>82</v>
      </c>
      <c r="C556" s="8" t="s">
        <v>557</v>
      </c>
      <c r="D556" s="8" t="s">
        <v>286</v>
      </c>
      <c r="E556" s="9" t="s">
        <v>574</v>
      </c>
      <c r="F556" s="9" t="s">
        <v>311</v>
      </c>
      <c r="G556" s="8" t="s">
        <v>301</v>
      </c>
      <c r="H556" s="8" t="s">
        <v>302</v>
      </c>
      <c r="I556" s="8" t="s">
        <v>291</v>
      </c>
      <c r="J556" s="8" t="s">
        <v>292</v>
      </c>
      <c r="K556" s="8" t="s">
        <v>293</v>
      </c>
      <c r="L556" s="9" t="s">
        <v>294</v>
      </c>
      <c r="M556" s="8"/>
      <c r="N556" s="8" t="str">
        <f aca="true">IF(M556="","Active (per Notice 1)",IF(M556&lt;TODAY(),"Expired",IF(M556&lt;TODAY()+180,"Expiring Soon","Active")))</f>
        <v>Active (per Notice 1)</v>
      </c>
      <c r="O556" s="10" t="s">
        <v>295</v>
      </c>
      <c r="P556" s="8" t="s">
        <v>296</v>
      </c>
      <c r="Q556" s="8" t="n">
        <v>3.59</v>
      </c>
      <c r="R556" s="8" t="n">
        <v>4</v>
      </c>
      <c r="S556" s="11" t="n">
        <v>45159</v>
      </c>
      <c r="T556" s="8" t="str">
        <f aca="true">IF(S556="","",IF(EDATE(S556,60)&lt;TODAY(),"Expired",IF(EDATE(S556,60)&lt;TODAY()+180,"Expiring Soon","Valid")))</f>
        <v>Valid</v>
      </c>
      <c r="U556" s="8" t="str">
        <f aca="false">IF(P556="","",IF(P556="A++","Top Tier",IF(P556="A+","High",IF(P556="A","Strong",IF(LEFT(P556,1)="B","Acceptable",IF(LEFT(P556,1)="C","Below Avg","-"))))))</f>
        <v>Top Tier</v>
      </c>
      <c r="AC556" s="8" t="n">
        <v>68</v>
      </c>
      <c r="AD556" s="8" t="n">
        <v>38</v>
      </c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 t="n">
        <v>18</v>
      </c>
      <c r="AP556" s="8"/>
      <c r="AQ556" s="8"/>
      <c r="AR556" s="8"/>
      <c r="AS556" s="8"/>
      <c r="AT556" s="8"/>
      <c r="AU556" s="8"/>
    </row>
    <row r="557" customFormat="false" ht="15" hidden="false" customHeight="true" outlineLevel="0" collapsed="false">
      <c r="A557" s="8" t="n">
        <v>556</v>
      </c>
      <c r="B557" s="8" t="n">
        <v>82</v>
      </c>
      <c r="C557" s="8" t="s">
        <v>557</v>
      </c>
      <c r="D557" s="8" t="s">
        <v>286</v>
      </c>
      <c r="E557" s="9" t="s">
        <v>574</v>
      </c>
      <c r="F557" s="9" t="s">
        <v>312</v>
      </c>
      <c r="G557" s="8" t="s">
        <v>301</v>
      </c>
      <c r="H557" s="8" t="s">
        <v>302</v>
      </c>
      <c r="I557" s="8" t="s">
        <v>291</v>
      </c>
      <c r="J557" s="8" t="s">
        <v>292</v>
      </c>
      <c r="K557" s="8" t="s">
        <v>293</v>
      </c>
      <c r="L557" s="9" t="s">
        <v>294</v>
      </c>
      <c r="M557" s="8"/>
      <c r="N557" s="8" t="str">
        <f aca="true">IF(M557="","Active (per Notice 1)",IF(M557&lt;TODAY(),"Expired",IF(M557&lt;TODAY()+180,"Expiring Soon","Active")))</f>
        <v>Active (per Notice 1)</v>
      </c>
      <c r="O557" s="10" t="s">
        <v>295</v>
      </c>
      <c r="P557" s="8" t="s">
        <v>296</v>
      </c>
      <c r="Q557" s="8" t="n">
        <v>3.59</v>
      </c>
      <c r="R557" s="8" t="n">
        <v>4</v>
      </c>
      <c r="S557" s="11" t="n">
        <v>45159</v>
      </c>
      <c r="T557" s="8" t="str">
        <f aca="true">IF(S557="","",IF(EDATE(S557,60)&lt;TODAY(),"Expired",IF(EDATE(S557,60)&lt;TODAY()+180,"Expiring Soon","Valid")))</f>
        <v>Valid</v>
      </c>
      <c r="U557" s="8" t="str">
        <f aca="false">IF(P557="","",IF(P557="A++","Top Tier",IF(P557="A+","High",IF(P557="A","Strong",IF(LEFT(P557,1)="B","Acceptable",IF(LEFT(P557,1)="C","Below Avg","-"))))))</f>
        <v>Top Tier</v>
      </c>
      <c r="AC557" s="8" t="n">
        <v>68</v>
      </c>
      <c r="AD557" s="8" t="n">
        <v>38</v>
      </c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 t="n">
        <v>18</v>
      </c>
      <c r="AP557" s="8"/>
      <c r="AQ557" s="8"/>
      <c r="AR557" s="8"/>
      <c r="AS557" s="8"/>
      <c r="AT557" s="8"/>
      <c r="AU557" s="8"/>
    </row>
    <row r="558" customFormat="false" ht="15" hidden="false" customHeight="true" outlineLevel="0" collapsed="false">
      <c r="A558" s="8" t="n">
        <v>557</v>
      </c>
      <c r="B558" s="8" t="n">
        <v>82</v>
      </c>
      <c r="C558" s="8" t="s">
        <v>557</v>
      </c>
      <c r="D558" s="8" t="s">
        <v>286</v>
      </c>
      <c r="E558" s="9" t="s">
        <v>574</v>
      </c>
      <c r="F558" s="9" t="s">
        <v>364</v>
      </c>
      <c r="G558" s="8" t="s">
        <v>309</v>
      </c>
      <c r="H558" s="8" t="s">
        <v>302</v>
      </c>
      <c r="I558" s="8" t="s">
        <v>291</v>
      </c>
      <c r="J558" s="8" t="s">
        <v>292</v>
      </c>
      <c r="K558" s="8" t="s">
        <v>293</v>
      </c>
      <c r="L558" s="9" t="s">
        <v>294</v>
      </c>
      <c r="M558" s="8"/>
      <c r="N558" s="8" t="str">
        <f aca="true">IF(M558="","Active (per Notice 1)",IF(M558&lt;TODAY(),"Expired",IF(M558&lt;TODAY()+180,"Expiring Soon","Active")))</f>
        <v>Active (per Notice 1)</v>
      </c>
      <c r="O558" s="10" t="s">
        <v>295</v>
      </c>
      <c r="P558" s="8" t="s">
        <v>296</v>
      </c>
      <c r="Q558" s="8" t="n">
        <v>3.59</v>
      </c>
      <c r="R558" s="8" t="n">
        <v>4</v>
      </c>
      <c r="S558" s="11" t="n">
        <v>45159</v>
      </c>
      <c r="T558" s="8" t="str">
        <f aca="true">IF(S558="","",IF(EDATE(S558,60)&lt;TODAY(),"Expired",IF(EDATE(S558,60)&lt;TODAY()+180,"Expiring Soon","Valid")))</f>
        <v>Valid</v>
      </c>
      <c r="U558" s="8" t="str">
        <f aca="false">IF(P558="","",IF(P558="A++","Top Tier",IF(P558="A+","High",IF(P558="A","Strong",IF(LEFT(P558,1)="B","Acceptable",IF(LEFT(P558,1)="C","Below Avg","-"))))))</f>
        <v>Top Tier</v>
      </c>
      <c r="AC558" s="8" t="n">
        <v>68</v>
      </c>
      <c r="AD558" s="8" t="n">
        <v>38</v>
      </c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 t="n">
        <v>18</v>
      </c>
      <c r="AP558" s="8"/>
      <c r="AQ558" s="8"/>
      <c r="AR558" s="8"/>
      <c r="AS558" s="8"/>
      <c r="AT558" s="8"/>
      <c r="AU558" s="8"/>
    </row>
    <row r="559" customFormat="false" ht="23.25" hidden="false" customHeight="true" outlineLevel="0" collapsed="false">
      <c r="A559" s="8" t="n">
        <v>558</v>
      </c>
      <c r="B559" s="8" t="n">
        <v>83</v>
      </c>
      <c r="C559" s="8" t="s">
        <v>557</v>
      </c>
      <c r="D559" s="8" t="s">
        <v>315</v>
      </c>
      <c r="E559" s="9" t="s">
        <v>577</v>
      </c>
      <c r="F559" s="9" t="s">
        <v>317</v>
      </c>
      <c r="G559" s="8" t="s">
        <v>318</v>
      </c>
      <c r="H559" s="8" t="s">
        <v>290</v>
      </c>
      <c r="I559" s="8" t="s">
        <v>291</v>
      </c>
      <c r="J559" s="8" t="s">
        <v>292</v>
      </c>
      <c r="K559" s="8" t="s">
        <v>293</v>
      </c>
      <c r="L559" s="9" t="s">
        <v>294</v>
      </c>
      <c r="M559" s="8"/>
      <c r="N559" s="8" t="str">
        <f aca="true">IF(M559="","Active (per Notice 1)",IF(M559&lt;TODAY(),"Expired",IF(M559&lt;TODAY()+180,"Expiring Soon","Active")))</f>
        <v>Active (per Notice 1)</v>
      </c>
      <c r="O559" s="13" t="s">
        <v>292</v>
      </c>
      <c r="P559" s="8" t="s">
        <v>296</v>
      </c>
      <c r="Q559" s="8" t="n">
        <v>3.51</v>
      </c>
      <c r="R559" s="8" t="n">
        <v>3</v>
      </c>
      <c r="S559" s="11" t="n">
        <v>45336</v>
      </c>
      <c r="T559" s="8" t="str">
        <f aca="true">IF(S559="","",IF(EDATE(S559,60)&lt;TODAY(),"Expired",IF(EDATE(S559,60)&lt;TODAY()+180,"Expiring Soon","Valid")))</f>
        <v>Valid</v>
      </c>
      <c r="U559" s="8" t="str">
        <f aca="false">IF(P559="","",IF(P559="A++","Top Tier",IF(P559="A+","High",IF(P559="A","Strong",IF(LEFT(P559,1)="B","Acceptable",IF(LEFT(P559,1)="C","Below Avg","-"))))))</f>
        <v>Top Tier</v>
      </c>
      <c r="Y559" s="8" t="n">
        <v>8</v>
      </c>
      <c r="Z559" s="11" t="n">
        <v>45838</v>
      </c>
      <c r="AA559" s="8" t="s">
        <v>357</v>
      </c>
      <c r="AB559" s="8" t="s">
        <v>329</v>
      </c>
      <c r="AC559" s="8" t="n">
        <v>48</v>
      </c>
      <c r="AD559" s="8" t="n">
        <v>28</v>
      </c>
      <c r="AE559" s="8"/>
      <c r="AF559" s="8" t="n">
        <v>33</v>
      </c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</row>
    <row r="560" customFormat="false" ht="23.25" hidden="false" customHeight="true" outlineLevel="0" collapsed="false">
      <c r="A560" s="8" t="n">
        <v>559</v>
      </c>
      <c r="B560" s="8" t="n">
        <v>83</v>
      </c>
      <c r="C560" s="8" t="s">
        <v>557</v>
      </c>
      <c r="D560" s="8" t="s">
        <v>315</v>
      </c>
      <c r="E560" s="9" t="s">
        <v>577</v>
      </c>
      <c r="F560" s="9" t="s">
        <v>359</v>
      </c>
      <c r="G560" s="8" t="s">
        <v>289</v>
      </c>
      <c r="H560" s="8" t="s">
        <v>290</v>
      </c>
      <c r="I560" s="8" t="s">
        <v>291</v>
      </c>
      <c r="J560" s="8" t="s">
        <v>292</v>
      </c>
      <c r="K560" s="8" t="s">
        <v>293</v>
      </c>
      <c r="L560" s="9" t="s">
        <v>294</v>
      </c>
      <c r="M560" s="8"/>
      <c r="N560" s="8" t="str">
        <f aca="true">IF(M560="","Active (per Notice 1)",IF(M560&lt;TODAY(),"Expired",IF(M560&lt;TODAY()+180,"Expiring Soon","Active")))</f>
        <v>Active (per Notice 1)</v>
      </c>
      <c r="O560" s="10" t="s">
        <v>295</v>
      </c>
      <c r="P560" s="8" t="s">
        <v>296</v>
      </c>
      <c r="Q560" s="8" t="n">
        <v>3.51</v>
      </c>
      <c r="R560" s="8" t="n">
        <v>3</v>
      </c>
      <c r="S560" s="11" t="n">
        <v>45336</v>
      </c>
      <c r="T560" s="8" t="str">
        <f aca="true">IF(S560="","",IF(EDATE(S560,60)&lt;TODAY(),"Expired",IF(EDATE(S560,60)&lt;TODAY()+180,"Expiring Soon","Valid")))</f>
        <v>Valid</v>
      </c>
      <c r="U560" s="8" t="str">
        <f aca="false">IF(P560="","",IF(P560="A++","Top Tier",IF(P560="A+","High",IF(P560="A","Strong",IF(LEFT(P560,1)="B","Acceptable",IF(LEFT(P560,1)="C","Below Avg","-"))))))</f>
        <v>Top Tier</v>
      </c>
      <c r="Y560" s="8" t="n">
        <v>8</v>
      </c>
      <c r="Z560" s="11" t="n">
        <v>45838</v>
      </c>
      <c r="AA560" s="8" t="s">
        <v>357</v>
      </c>
      <c r="AB560" s="8" t="s">
        <v>329</v>
      </c>
      <c r="AC560" s="8" t="n">
        <v>48</v>
      </c>
      <c r="AD560" s="8" t="n">
        <v>28</v>
      </c>
      <c r="AE560" s="8"/>
      <c r="AF560" s="8" t="n">
        <v>33</v>
      </c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</row>
    <row r="561" customFormat="false" ht="23.25" hidden="false" customHeight="true" outlineLevel="0" collapsed="false">
      <c r="A561" s="8" t="n">
        <v>560</v>
      </c>
      <c r="B561" s="8" t="n">
        <v>83</v>
      </c>
      <c r="C561" s="8" t="s">
        <v>557</v>
      </c>
      <c r="D561" s="8" t="s">
        <v>315</v>
      </c>
      <c r="E561" s="9" t="s">
        <v>577</v>
      </c>
      <c r="F561" s="9" t="s">
        <v>319</v>
      </c>
      <c r="G561" s="8" t="s">
        <v>320</v>
      </c>
      <c r="H561" s="8" t="s">
        <v>290</v>
      </c>
      <c r="I561" s="8" t="s">
        <v>291</v>
      </c>
      <c r="J561" s="8" t="s">
        <v>292</v>
      </c>
      <c r="K561" s="8" t="s">
        <v>293</v>
      </c>
      <c r="L561" s="9" t="s">
        <v>294</v>
      </c>
      <c r="M561" s="8"/>
      <c r="N561" s="8" t="str">
        <f aca="true">IF(M561="","Active (per Notice 1)",IF(M561&lt;TODAY(),"Expired",IF(M561&lt;TODAY()+180,"Expiring Soon","Active")))</f>
        <v>Active (per Notice 1)</v>
      </c>
      <c r="O561" s="13" t="s">
        <v>292</v>
      </c>
      <c r="P561" s="8" t="s">
        <v>296</v>
      </c>
      <c r="Q561" s="8" t="n">
        <v>3.51</v>
      </c>
      <c r="R561" s="8" t="n">
        <v>3</v>
      </c>
      <c r="S561" s="11" t="n">
        <v>45336</v>
      </c>
      <c r="T561" s="8" t="str">
        <f aca="true">IF(S561="","",IF(EDATE(S561,60)&lt;TODAY(),"Expired",IF(EDATE(S561,60)&lt;TODAY()+180,"Expiring Soon","Valid")))</f>
        <v>Valid</v>
      </c>
      <c r="U561" s="8" t="str">
        <f aca="false">IF(P561="","",IF(P561="A++","Top Tier",IF(P561="A+","High",IF(P561="A","Strong",IF(LEFT(P561,1)="B","Acceptable",IF(LEFT(P561,1)="C","Below Avg","-"))))))</f>
        <v>Top Tier</v>
      </c>
      <c r="Y561" s="8" t="n">
        <v>8</v>
      </c>
      <c r="Z561" s="11" t="n">
        <v>45838</v>
      </c>
      <c r="AA561" s="8" t="s">
        <v>357</v>
      </c>
      <c r="AB561" s="8" t="s">
        <v>329</v>
      </c>
      <c r="AC561" s="8" t="n">
        <v>48</v>
      </c>
      <c r="AD561" s="8" t="n">
        <v>28</v>
      </c>
      <c r="AE561" s="8"/>
      <c r="AF561" s="8" t="n">
        <v>33</v>
      </c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</row>
    <row r="562" customFormat="false" ht="23.25" hidden="false" customHeight="true" outlineLevel="0" collapsed="false">
      <c r="A562" s="8" t="n">
        <v>561</v>
      </c>
      <c r="B562" s="8" t="n">
        <v>83</v>
      </c>
      <c r="C562" s="8" t="s">
        <v>557</v>
      </c>
      <c r="D562" s="8" t="s">
        <v>315</v>
      </c>
      <c r="E562" s="9" t="s">
        <v>577</v>
      </c>
      <c r="F562" s="9" t="s">
        <v>401</v>
      </c>
      <c r="G562" s="8" t="s">
        <v>386</v>
      </c>
      <c r="H562" s="8" t="s">
        <v>302</v>
      </c>
      <c r="I562" s="8" t="s">
        <v>291</v>
      </c>
      <c r="J562" s="8" t="s">
        <v>292</v>
      </c>
      <c r="K562" s="8" t="s">
        <v>293</v>
      </c>
      <c r="L562" s="9" t="s">
        <v>294</v>
      </c>
      <c r="M562" s="8"/>
      <c r="N562" s="8" t="str">
        <f aca="true">IF(M562="","Active (per Notice 1)",IF(M562&lt;TODAY(),"Expired",IF(M562&lt;TODAY()+180,"Expiring Soon","Active")))</f>
        <v>Active (per Notice 1)</v>
      </c>
      <c r="O562" s="10" t="s">
        <v>295</v>
      </c>
      <c r="P562" s="8" t="s">
        <v>296</v>
      </c>
      <c r="Q562" s="8" t="n">
        <v>3.51</v>
      </c>
      <c r="R562" s="8" t="n">
        <v>3</v>
      </c>
      <c r="S562" s="11" t="n">
        <v>45336</v>
      </c>
      <c r="T562" s="8" t="str">
        <f aca="true">IF(S562="","",IF(EDATE(S562,60)&lt;TODAY(),"Expired",IF(EDATE(S562,60)&lt;TODAY()+180,"Expiring Soon","Valid")))</f>
        <v>Valid</v>
      </c>
      <c r="U562" s="8" t="str">
        <f aca="false">IF(P562="","",IF(P562="A++","Top Tier",IF(P562="A+","High",IF(P562="A","Strong",IF(LEFT(P562,1)="B","Acceptable",IF(LEFT(P562,1)="C","Below Avg","-"))))))</f>
        <v>Top Tier</v>
      </c>
      <c r="Y562" s="8" t="n">
        <v>8</v>
      </c>
      <c r="Z562" s="11" t="n">
        <v>45838</v>
      </c>
      <c r="AA562" s="8" t="s">
        <v>357</v>
      </c>
      <c r="AB562" s="8" t="s">
        <v>329</v>
      </c>
      <c r="AC562" s="8" t="n">
        <v>48</v>
      </c>
      <c r="AD562" s="8" t="n">
        <v>28</v>
      </c>
      <c r="AE562" s="8"/>
      <c r="AF562" s="8" t="n">
        <v>33</v>
      </c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</row>
    <row r="563" customFormat="false" ht="23.25" hidden="false" customHeight="true" outlineLevel="0" collapsed="false">
      <c r="A563" s="8" t="n">
        <v>562</v>
      </c>
      <c r="B563" s="8" t="n">
        <v>83</v>
      </c>
      <c r="C563" s="8" t="s">
        <v>557</v>
      </c>
      <c r="D563" s="8" t="s">
        <v>315</v>
      </c>
      <c r="E563" s="9" t="s">
        <v>577</v>
      </c>
      <c r="F563" s="9" t="s">
        <v>312</v>
      </c>
      <c r="G563" s="8" t="s">
        <v>301</v>
      </c>
      <c r="H563" s="8" t="s">
        <v>302</v>
      </c>
      <c r="I563" s="8" t="s">
        <v>291</v>
      </c>
      <c r="J563" s="8" t="s">
        <v>292</v>
      </c>
      <c r="K563" s="8" t="s">
        <v>293</v>
      </c>
      <c r="L563" s="9" t="s">
        <v>294</v>
      </c>
      <c r="M563" s="8"/>
      <c r="N563" s="8" t="str">
        <f aca="true">IF(M563="","Active (per Notice 1)",IF(M563&lt;TODAY(),"Expired",IF(M563&lt;TODAY()+180,"Expiring Soon","Active")))</f>
        <v>Active (per Notice 1)</v>
      </c>
      <c r="O563" s="10" t="s">
        <v>295</v>
      </c>
      <c r="P563" s="8" t="s">
        <v>296</v>
      </c>
      <c r="Q563" s="8" t="n">
        <v>3.51</v>
      </c>
      <c r="R563" s="8" t="n">
        <v>3</v>
      </c>
      <c r="S563" s="11" t="n">
        <v>45336</v>
      </c>
      <c r="T563" s="8" t="str">
        <f aca="true">IF(S563="","",IF(EDATE(S563,60)&lt;TODAY(),"Expired",IF(EDATE(S563,60)&lt;TODAY()+180,"Expiring Soon","Valid")))</f>
        <v>Valid</v>
      </c>
      <c r="U563" s="8" t="str">
        <f aca="false">IF(P563="","",IF(P563="A++","Top Tier",IF(P563="A+","High",IF(P563="A","Strong",IF(LEFT(P563,1)="B","Acceptable",IF(LEFT(P563,1)="C","Below Avg","-"))))))</f>
        <v>Top Tier</v>
      </c>
      <c r="Y563" s="8" t="n">
        <v>8</v>
      </c>
      <c r="Z563" s="11" t="n">
        <v>45838</v>
      </c>
      <c r="AA563" s="8" t="s">
        <v>357</v>
      </c>
      <c r="AB563" s="8" t="s">
        <v>329</v>
      </c>
      <c r="AC563" s="8" t="n">
        <v>48</v>
      </c>
      <c r="AD563" s="8" t="n">
        <v>28</v>
      </c>
      <c r="AE563" s="8"/>
      <c r="AF563" s="8" t="n">
        <v>33</v>
      </c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</row>
    <row r="564" customFormat="false" ht="23.25" hidden="false" customHeight="true" outlineLevel="0" collapsed="false">
      <c r="A564" s="8" t="n">
        <v>563</v>
      </c>
      <c r="B564" s="8" t="n">
        <v>83</v>
      </c>
      <c r="C564" s="8" t="s">
        <v>557</v>
      </c>
      <c r="D564" s="8" t="s">
        <v>315</v>
      </c>
      <c r="E564" s="9" t="s">
        <v>577</v>
      </c>
      <c r="F564" s="9" t="s">
        <v>303</v>
      </c>
      <c r="G564" s="8" t="s">
        <v>304</v>
      </c>
      <c r="H564" s="8" t="s">
        <v>302</v>
      </c>
      <c r="I564" s="8" t="s">
        <v>291</v>
      </c>
      <c r="J564" s="8" t="s">
        <v>292</v>
      </c>
      <c r="K564" s="8" t="s">
        <v>293</v>
      </c>
      <c r="L564" s="9" t="s">
        <v>294</v>
      </c>
      <c r="M564" s="8"/>
      <c r="N564" s="8" t="str">
        <f aca="true">IF(M564="","Active (per Notice 1)",IF(M564&lt;TODAY(),"Expired",IF(M564&lt;TODAY()+180,"Expiring Soon","Active")))</f>
        <v>Active (per Notice 1)</v>
      </c>
      <c r="O564" s="13" t="s">
        <v>292</v>
      </c>
      <c r="P564" s="8" t="s">
        <v>296</v>
      </c>
      <c r="Q564" s="8" t="n">
        <v>3.51</v>
      </c>
      <c r="R564" s="8" t="n">
        <v>3</v>
      </c>
      <c r="S564" s="11" t="n">
        <v>45336</v>
      </c>
      <c r="T564" s="8" t="str">
        <f aca="true">IF(S564="","",IF(EDATE(S564,60)&lt;TODAY(),"Expired",IF(EDATE(S564,60)&lt;TODAY()+180,"Expiring Soon","Valid")))</f>
        <v>Valid</v>
      </c>
      <c r="U564" s="8" t="str">
        <f aca="false">IF(P564="","",IF(P564="A++","Top Tier",IF(P564="A+","High",IF(P564="A","Strong",IF(LEFT(P564,1)="B","Acceptable",IF(LEFT(P564,1)="C","Below Avg","-"))))))</f>
        <v>Top Tier</v>
      </c>
      <c r="Y564" s="8" t="n">
        <v>8</v>
      </c>
      <c r="Z564" s="11" t="n">
        <v>45838</v>
      </c>
      <c r="AA564" s="8" t="s">
        <v>357</v>
      </c>
      <c r="AB564" s="8" t="s">
        <v>329</v>
      </c>
      <c r="AC564" s="8" t="n">
        <v>48</v>
      </c>
      <c r="AD564" s="8" t="n">
        <v>28</v>
      </c>
      <c r="AE564" s="8"/>
      <c r="AF564" s="8" t="n">
        <v>33</v>
      </c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</row>
    <row r="565" customFormat="false" ht="23.25" hidden="false" customHeight="true" outlineLevel="0" collapsed="false">
      <c r="A565" s="8" t="n">
        <v>564</v>
      </c>
      <c r="B565" s="8" t="n">
        <v>83</v>
      </c>
      <c r="C565" s="8" t="s">
        <v>557</v>
      </c>
      <c r="D565" s="8" t="s">
        <v>315</v>
      </c>
      <c r="E565" s="9" t="s">
        <v>577</v>
      </c>
      <c r="F565" s="9" t="s">
        <v>418</v>
      </c>
      <c r="G565" s="8" t="s">
        <v>307</v>
      </c>
      <c r="H565" s="8" t="s">
        <v>302</v>
      </c>
      <c r="I565" s="8" t="s">
        <v>291</v>
      </c>
      <c r="J565" s="8" t="s">
        <v>292</v>
      </c>
      <c r="K565" s="8" t="s">
        <v>293</v>
      </c>
      <c r="L565" s="9" t="s">
        <v>294</v>
      </c>
      <c r="M565" s="8"/>
      <c r="N565" s="8" t="str">
        <f aca="true">IF(M565="","Active (per Notice 1)",IF(M565&lt;TODAY(),"Expired",IF(M565&lt;TODAY()+180,"Expiring Soon","Active")))</f>
        <v>Active (per Notice 1)</v>
      </c>
      <c r="O565" s="13" t="s">
        <v>292</v>
      </c>
      <c r="P565" s="8" t="s">
        <v>296</v>
      </c>
      <c r="Q565" s="8" t="n">
        <v>3.51</v>
      </c>
      <c r="R565" s="8" t="n">
        <v>3</v>
      </c>
      <c r="S565" s="11" t="n">
        <v>45336</v>
      </c>
      <c r="T565" s="8" t="str">
        <f aca="true">IF(S565="","",IF(EDATE(S565,60)&lt;TODAY(),"Expired",IF(EDATE(S565,60)&lt;TODAY()+180,"Expiring Soon","Valid")))</f>
        <v>Valid</v>
      </c>
      <c r="U565" s="8" t="str">
        <f aca="false">IF(P565="","",IF(P565="A++","Top Tier",IF(P565="A+","High",IF(P565="A","Strong",IF(LEFT(P565,1)="B","Acceptable",IF(LEFT(P565,1)="C","Below Avg","-"))))))</f>
        <v>Top Tier</v>
      </c>
      <c r="Y565" s="8" t="n">
        <v>8</v>
      </c>
      <c r="Z565" s="11" t="n">
        <v>45838</v>
      </c>
      <c r="AA565" s="8" t="s">
        <v>357</v>
      </c>
      <c r="AB565" s="8" t="s">
        <v>329</v>
      </c>
      <c r="AC565" s="8" t="n">
        <v>48</v>
      </c>
      <c r="AD565" s="8" t="n">
        <v>28</v>
      </c>
      <c r="AE565" s="8"/>
      <c r="AF565" s="8" t="n">
        <v>33</v>
      </c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</row>
    <row r="566" customFormat="false" ht="15" hidden="false" customHeight="true" outlineLevel="0" collapsed="false">
      <c r="A566" s="8" t="n">
        <v>565</v>
      </c>
      <c r="B566" s="8" t="n">
        <v>84</v>
      </c>
      <c r="C566" s="8" t="s">
        <v>557</v>
      </c>
      <c r="D566" s="8" t="s">
        <v>315</v>
      </c>
      <c r="E566" s="9" t="s">
        <v>578</v>
      </c>
      <c r="F566" s="9" t="s">
        <v>299</v>
      </c>
      <c r="G566" s="8" t="s">
        <v>289</v>
      </c>
      <c r="H566" s="8" t="s">
        <v>290</v>
      </c>
      <c r="I566" s="8" t="s">
        <v>291</v>
      </c>
      <c r="J566" s="8" t="s">
        <v>292</v>
      </c>
      <c r="K566" s="8" t="s">
        <v>293</v>
      </c>
      <c r="L566" s="9" t="s">
        <v>294</v>
      </c>
      <c r="M566" s="8"/>
      <c r="N566" s="8" t="str">
        <f aca="true">IF(M566="","Active (per Notice 1)",IF(M566&lt;TODAY(),"Expired",IF(M566&lt;TODAY()+180,"Expiring Soon","Active")))</f>
        <v>Active (per Notice 1)</v>
      </c>
      <c r="O566" s="10" t="s">
        <v>295</v>
      </c>
      <c r="P566" s="8" t="s">
        <v>296</v>
      </c>
      <c r="Q566" s="8" t="n">
        <v>3.7</v>
      </c>
      <c r="R566" s="8" t="n">
        <v>3</v>
      </c>
      <c r="S566" s="11" t="n">
        <v>44425</v>
      </c>
      <c r="T566" s="8" t="str">
        <f aca="true">IF(S566="","",IF(EDATE(S566,60)&lt;TODAY(),"Expired",IF(EDATE(S566,60)&lt;TODAY()+180,"Expiring Soon","Valid")))</f>
        <v>Expiring Soon</v>
      </c>
      <c r="U566" s="8" t="str">
        <f aca="false">IF(P566="","",IF(P566="A++","Top Tier",IF(P566="A+","High",IF(P566="A","Strong",IF(LEFT(P566,1)="B","Acceptable",IF(LEFT(P566,1)="C","Below Avg","-"))))))</f>
        <v>Top Tier</v>
      </c>
      <c r="V566" s="8" t="s">
        <v>440</v>
      </c>
      <c r="Y566" s="8" t="n">
        <v>12</v>
      </c>
      <c r="Z566" s="11" t="n">
        <v>45838</v>
      </c>
      <c r="AA566" s="8" t="s">
        <v>357</v>
      </c>
      <c r="AB566" s="8" t="s">
        <v>329</v>
      </c>
      <c r="AC566" s="8" t="n">
        <v>17</v>
      </c>
      <c r="AD566" s="8" t="n">
        <v>8</v>
      </c>
      <c r="AE566" s="8" t="n">
        <v>31</v>
      </c>
      <c r="AF566" s="8" t="n">
        <v>23</v>
      </c>
      <c r="AG566" s="8" t="n">
        <v>26</v>
      </c>
      <c r="AH566" s="8" t="n">
        <v>14</v>
      </c>
      <c r="AI566" s="8" t="n">
        <v>9</v>
      </c>
      <c r="AJ566" s="8" t="n">
        <v>14</v>
      </c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</row>
    <row r="567" customFormat="false" ht="15" hidden="false" customHeight="true" outlineLevel="0" collapsed="false">
      <c r="A567" s="8" t="n">
        <v>566</v>
      </c>
      <c r="B567" s="8" t="n">
        <v>84</v>
      </c>
      <c r="C567" s="8" t="s">
        <v>557</v>
      </c>
      <c r="D567" s="8" t="s">
        <v>315</v>
      </c>
      <c r="E567" s="9" t="s">
        <v>578</v>
      </c>
      <c r="F567" s="9" t="s">
        <v>308</v>
      </c>
      <c r="G567" s="8" t="s">
        <v>309</v>
      </c>
      <c r="H567" s="8" t="s">
        <v>302</v>
      </c>
      <c r="I567" s="8" t="s">
        <v>291</v>
      </c>
      <c r="J567" s="8" t="s">
        <v>292</v>
      </c>
      <c r="K567" s="8" t="s">
        <v>293</v>
      </c>
      <c r="L567" s="9" t="s">
        <v>294</v>
      </c>
      <c r="M567" s="8"/>
      <c r="N567" s="8" t="str">
        <f aca="true">IF(M567="","Active (per Notice 1)",IF(M567&lt;TODAY(),"Expired",IF(M567&lt;TODAY()+180,"Expiring Soon","Active")))</f>
        <v>Active (per Notice 1)</v>
      </c>
      <c r="O567" s="10" t="s">
        <v>295</v>
      </c>
      <c r="P567" s="8" t="s">
        <v>296</v>
      </c>
      <c r="Q567" s="8" t="n">
        <v>3.7</v>
      </c>
      <c r="R567" s="8" t="n">
        <v>3</v>
      </c>
      <c r="S567" s="11" t="n">
        <v>44425</v>
      </c>
      <c r="T567" s="8" t="str">
        <f aca="true">IF(S567="","",IF(EDATE(S567,60)&lt;TODAY(),"Expired",IF(EDATE(S567,60)&lt;TODAY()+180,"Expiring Soon","Valid")))</f>
        <v>Expiring Soon</v>
      </c>
      <c r="U567" s="8" t="str">
        <f aca="false">IF(P567="","",IF(P567="A++","Top Tier",IF(P567="A+","High",IF(P567="A","Strong",IF(LEFT(P567,1)="B","Acceptable",IF(LEFT(P567,1)="C","Below Avg","-"))))))</f>
        <v>Top Tier</v>
      </c>
      <c r="V567" s="8" t="s">
        <v>440</v>
      </c>
      <c r="Y567" s="8" t="n">
        <v>12</v>
      </c>
      <c r="Z567" s="11" t="n">
        <v>45838</v>
      </c>
      <c r="AA567" s="8" t="s">
        <v>357</v>
      </c>
      <c r="AB567" s="8" t="s">
        <v>329</v>
      </c>
      <c r="AC567" s="8" t="n">
        <v>17</v>
      </c>
      <c r="AD567" s="8" t="n">
        <v>8</v>
      </c>
      <c r="AE567" s="8" t="n">
        <v>31</v>
      </c>
      <c r="AF567" s="8" t="n">
        <v>23</v>
      </c>
      <c r="AG567" s="8" t="n">
        <v>26</v>
      </c>
      <c r="AH567" s="8" t="n">
        <v>14</v>
      </c>
      <c r="AI567" s="8" t="n">
        <v>9</v>
      </c>
      <c r="AJ567" s="8" t="n">
        <v>14</v>
      </c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</row>
    <row r="568" customFormat="false" ht="15" hidden="false" customHeight="true" outlineLevel="0" collapsed="false">
      <c r="A568" s="8" t="n">
        <v>567</v>
      </c>
      <c r="B568" s="8" t="n">
        <v>84</v>
      </c>
      <c r="C568" s="8" t="s">
        <v>557</v>
      </c>
      <c r="D568" s="8" t="s">
        <v>315</v>
      </c>
      <c r="E568" s="9" t="s">
        <v>578</v>
      </c>
      <c r="F568" s="9" t="s">
        <v>385</v>
      </c>
      <c r="G568" s="8" t="s">
        <v>386</v>
      </c>
      <c r="H568" s="8" t="s">
        <v>302</v>
      </c>
      <c r="I568" s="8" t="s">
        <v>291</v>
      </c>
      <c r="J568" s="8" t="s">
        <v>292</v>
      </c>
      <c r="K568" s="8" t="s">
        <v>293</v>
      </c>
      <c r="L568" s="9" t="s">
        <v>294</v>
      </c>
      <c r="M568" s="8"/>
      <c r="N568" s="8" t="str">
        <f aca="true">IF(M568="","Active (per Notice 1)",IF(M568&lt;TODAY(),"Expired",IF(M568&lt;TODAY()+180,"Expiring Soon","Active")))</f>
        <v>Active (per Notice 1)</v>
      </c>
      <c r="O568" s="10" t="s">
        <v>295</v>
      </c>
      <c r="P568" s="8" t="s">
        <v>296</v>
      </c>
      <c r="Q568" s="8" t="n">
        <v>3.7</v>
      </c>
      <c r="R568" s="8" t="n">
        <v>3</v>
      </c>
      <c r="S568" s="11" t="n">
        <v>44425</v>
      </c>
      <c r="T568" s="8" t="str">
        <f aca="true">IF(S568="","",IF(EDATE(S568,60)&lt;TODAY(),"Expired",IF(EDATE(S568,60)&lt;TODAY()+180,"Expiring Soon","Valid")))</f>
        <v>Expiring Soon</v>
      </c>
      <c r="U568" s="8" t="str">
        <f aca="false">IF(P568="","",IF(P568="A++","Top Tier",IF(P568="A+","High",IF(P568="A","Strong",IF(LEFT(P568,1)="B","Acceptable",IF(LEFT(P568,1)="C","Below Avg","-"))))))</f>
        <v>Top Tier</v>
      </c>
      <c r="V568" s="8" t="s">
        <v>440</v>
      </c>
      <c r="Y568" s="8" t="n">
        <v>12</v>
      </c>
      <c r="Z568" s="11" t="n">
        <v>45838</v>
      </c>
      <c r="AA568" s="8" t="s">
        <v>357</v>
      </c>
      <c r="AB568" s="8" t="s">
        <v>329</v>
      </c>
      <c r="AC568" s="8" t="n">
        <v>17</v>
      </c>
      <c r="AD568" s="8" t="n">
        <v>8</v>
      </c>
      <c r="AE568" s="8" t="n">
        <v>31</v>
      </c>
      <c r="AF568" s="8" t="n">
        <v>23</v>
      </c>
      <c r="AG568" s="8" t="n">
        <v>26</v>
      </c>
      <c r="AH568" s="8" t="n">
        <v>14</v>
      </c>
      <c r="AI568" s="8" t="n">
        <v>9</v>
      </c>
      <c r="AJ568" s="8" t="n">
        <v>14</v>
      </c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</row>
    <row r="569" customFormat="false" ht="15" hidden="false" customHeight="true" outlineLevel="0" collapsed="false">
      <c r="A569" s="8" t="n">
        <v>568</v>
      </c>
      <c r="B569" s="8" t="n">
        <v>84</v>
      </c>
      <c r="C569" s="8" t="s">
        <v>557</v>
      </c>
      <c r="D569" s="8" t="s">
        <v>315</v>
      </c>
      <c r="E569" s="9" t="s">
        <v>578</v>
      </c>
      <c r="F569" s="9" t="s">
        <v>579</v>
      </c>
      <c r="G569" s="8" t="s">
        <v>301</v>
      </c>
      <c r="H569" s="8" t="s">
        <v>302</v>
      </c>
      <c r="I569" s="8" t="s">
        <v>291</v>
      </c>
      <c r="J569" s="8" t="s">
        <v>292</v>
      </c>
      <c r="K569" s="8" t="s">
        <v>293</v>
      </c>
      <c r="L569" s="9" t="s">
        <v>294</v>
      </c>
      <c r="M569" s="8"/>
      <c r="N569" s="8" t="str">
        <f aca="true">IF(M569="","Active (per Notice 1)",IF(M569&lt;TODAY(),"Expired",IF(M569&lt;TODAY()+180,"Expiring Soon","Active")))</f>
        <v>Active (per Notice 1)</v>
      </c>
      <c r="O569" s="10" t="s">
        <v>295</v>
      </c>
      <c r="P569" s="8" t="s">
        <v>296</v>
      </c>
      <c r="Q569" s="8" t="n">
        <v>3.7</v>
      </c>
      <c r="R569" s="8" t="n">
        <v>3</v>
      </c>
      <c r="S569" s="11" t="n">
        <v>44425</v>
      </c>
      <c r="T569" s="8" t="str">
        <f aca="true">IF(S569="","",IF(EDATE(S569,60)&lt;TODAY(),"Expired",IF(EDATE(S569,60)&lt;TODAY()+180,"Expiring Soon","Valid")))</f>
        <v>Expiring Soon</v>
      </c>
      <c r="U569" s="8" t="str">
        <f aca="false">IF(P569="","",IF(P569="A++","Top Tier",IF(P569="A+","High",IF(P569="A","Strong",IF(LEFT(P569,1)="B","Acceptable",IF(LEFT(P569,1)="C","Below Avg","-"))))))</f>
        <v>Top Tier</v>
      </c>
      <c r="V569" s="8" t="s">
        <v>440</v>
      </c>
      <c r="Y569" s="8" t="n">
        <v>12</v>
      </c>
      <c r="Z569" s="11" t="n">
        <v>45838</v>
      </c>
      <c r="AA569" s="8" t="s">
        <v>357</v>
      </c>
      <c r="AB569" s="8" t="s">
        <v>329</v>
      </c>
      <c r="AC569" s="8" t="n">
        <v>17</v>
      </c>
      <c r="AD569" s="8" t="n">
        <v>8</v>
      </c>
      <c r="AE569" s="8" t="n">
        <v>31</v>
      </c>
      <c r="AF569" s="8" t="n">
        <v>23</v>
      </c>
      <c r="AG569" s="8" t="n">
        <v>26</v>
      </c>
      <c r="AH569" s="8" t="n">
        <v>14</v>
      </c>
      <c r="AI569" s="8" t="n">
        <v>9</v>
      </c>
      <c r="AJ569" s="8" t="n">
        <v>14</v>
      </c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</row>
    <row r="570" customFormat="false" ht="15" hidden="false" customHeight="true" outlineLevel="0" collapsed="false">
      <c r="A570" s="8" t="n">
        <v>569</v>
      </c>
      <c r="B570" s="8" t="n">
        <v>84</v>
      </c>
      <c r="C570" s="8" t="s">
        <v>557</v>
      </c>
      <c r="D570" s="8" t="s">
        <v>315</v>
      </c>
      <c r="E570" s="9" t="s">
        <v>578</v>
      </c>
      <c r="F570" s="9" t="s">
        <v>484</v>
      </c>
      <c r="G570" s="8" t="s">
        <v>301</v>
      </c>
      <c r="H570" s="8" t="s">
        <v>302</v>
      </c>
      <c r="I570" s="8" t="s">
        <v>291</v>
      </c>
      <c r="J570" s="8" t="s">
        <v>292</v>
      </c>
      <c r="K570" s="8" t="s">
        <v>293</v>
      </c>
      <c r="L570" s="9" t="s">
        <v>294</v>
      </c>
      <c r="M570" s="8"/>
      <c r="N570" s="8" t="str">
        <f aca="true">IF(M570="","Active (per Notice 1)",IF(M570&lt;TODAY(),"Expired",IF(M570&lt;TODAY()+180,"Expiring Soon","Active")))</f>
        <v>Active (per Notice 1)</v>
      </c>
      <c r="O570" s="10" t="s">
        <v>295</v>
      </c>
      <c r="P570" s="8" t="s">
        <v>296</v>
      </c>
      <c r="Q570" s="8" t="n">
        <v>3.7</v>
      </c>
      <c r="R570" s="8" t="n">
        <v>3</v>
      </c>
      <c r="S570" s="11" t="n">
        <v>44425</v>
      </c>
      <c r="T570" s="8" t="str">
        <f aca="true">IF(S570="","",IF(EDATE(S570,60)&lt;TODAY(),"Expired",IF(EDATE(S570,60)&lt;TODAY()+180,"Expiring Soon","Valid")))</f>
        <v>Expiring Soon</v>
      </c>
      <c r="U570" s="8" t="str">
        <f aca="false">IF(P570="","",IF(P570="A++","Top Tier",IF(P570="A+","High",IF(P570="A","Strong",IF(LEFT(P570,1)="B","Acceptable",IF(LEFT(P570,1)="C","Below Avg","-"))))))</f>
        <v>Top Tier</v>
      </c>
      <c r="V570" s="8" t="s">
        <v>440</v>
      </c>
      <c r="Y570" s="8" t="n">
        <v>12</v>
      </c>
      <c r="Z570" s="11" t="n">
        <v>45838</v>
      </c>
      <c r="AA570" s="8" t="s">
        <v>357</v>
      </c>
      <c r="AB570" s="8" t="s">
        <v>329</v>
      </c>
      <c r="AC570" s="8" t="n">
        <v>17</v>
      </c>
      <c r="AD570" s="8" t="n">
        <v>8</v>
      </c>
      <c r="AE570" s="8" t="n">
        <v>31</v>
      </c>
      <c r="AF570" s="8" t="n">
        <v>23</v>
      </c>
      <c r="AG570" s="8" t="n">
        <v>26</v>
      </c>
      <c r="AH570" s="8" t="n">
        <v>14</v>
      </c>
      <c r="AI570" s="8" t="n">
        <v>9</v>
      </c>
      <c r="AJ570" s="8" t="n">
        <v>14</v>
      </c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</row>
    <row r="571" customFormat="false" ht="15" hidden="false" customHeight="true" outlineLevel="0" collapsed="false">
      <c r="A571" s="8" t="n">
        <v>570</v>
      </c>
      <c r="B571" s="8" t="n">
        <v>84</v>
      </c>
      <c r="C571" s="8" t="s">
        <v>557</v>
      </c>
      <c r="D571" s="8" t="s">
        <v>315</v>
      </c>
      <c r="E571" s="9" t="s">
        <v>578</v>
      </c>
      <c r="F571" s="9" t="s">
        <v>580</v>
      </c>
      <c r="G571" s="8" t="s">
        <v>301</v>
      </c>
      <c r="H571" s="8" t="s">
        <v>302</v>
      </c>
      <c r="I571" s="8" t="s">
        <v>291</v>
      </c>
      <c r="J571" s="8" t="s">
        <v>292</v>
      </c>
      <c r="K571" s="8" t="s">
        <v>293</v>
      </c>
      <c r="L571" s="9" t="s">
        <v>294</v>
      </c>
      <c r="M571" s="8"/>
      <c r="N571" s="8" t="str">
        <f aca="true">IF(M571="","Active (per Notice 1)",IF(M571&lt;TODAY(),"Expired",IF(M571&lt;TODAY()+180,"Expiring Soon","Active")))</f>
        <v>Active (per Notice 1)</v>
      </c>
      <c r="O571" s="10" t="s">
        <v>295</v>
      </c>
      <c r="P571" s="8" t="s">
        <v>296</v>
      </c>
      <c r="Q571" s="8" t="n">
        <v>3.7</v>
      </c>
      <c r="R571" s="8" t="n">
        <v>3</v>
      </c>
      <c r="S571" s="11" t="n">
        <v>44425</v>
      </c>
      <c r="T571" s="8" t="str">
        <f aca="true">IF(S571="","",IF(EDATE(S571,60)&lt;TODAY(),"Expired",IF(EDATE(S571,60)&lt;TODAY()+180,"Expiring Soon","Valid")))</f>
        <v>Expiring Soon</v>
      </c>
      <c r="U571" s="8" t="str">
        <f aca="false">IF(P571="","",IF(P571="A++","Top Tier",IF(P571="A+","High",IF(P571="A","Strong",IF(LEFT(P571,1)="B","Acceptable",IF(LEFT(P571,1)="C","Below Avg","-"))))))</f>
        <v>Top Tier</v>
      </c>
      <c r="V571" s="8" t="s">
        <v>440</v>
      </c>
      <c r="Y571" s="8" t="n">
        <v>12</v>
      </c>
      <c r="Z571" s="11" t="n">
        <v>45838</v>
      </c>
      <c r="AA571" s="8" t="s">
        <v>357</v>
      </c>
      <c r="AB571" s="8" t="s">
        <v>329</v>
      </c>
      <c r="AC571" s="8" t="n">
        <v>17</v>
      </c>
      <c r="AD571" s="8" t="n">
        <v>8</v>
      </c>
      <c r="AE571" s="8" t="n">
        <v>31</v>
      </c>
      <c r="AF571" s="8" t="n">
        <v>23</v>
      </c>
      <c r="AG571" s="8" t="n">
        <v>26</v>
      </c>
      <c r="AH571" s="8" t="n">
        <v>14</v>
      </c>
      <c r="AI571" s="8" t="n">
        <v>9</v>
      </c>
      <c r="AJ571" s="8" t="n">
        <v>14</v>
      </c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</row>
    <row r="572" customFormat="false" ht="15" hidden="false" customHeight="true" outlineLevel="0" collapsed="false">
      <c r="A572" s="8" t="n">
        <v>571</v>
      </c>
      <c r="B572" s="8" t="n">
        <v>84</v>
      </c>
      <c r="C572" s="8" t="s">
        <v>557</v>
      </c>
      <c r="D572" s="8" t="s">
        <v>315</v>
      </c>
      <c r="E572" s="9" t="s">
        <v>578</v>
      </c>
      <c r="F572" s="9" t="s">
        <v>303</v>
      </c>
      <c r="G572" s="8" t="s">
        <v>304</v>
      </c>
      <c r="H572" s="8" t="s">
        <v>302</v>
      </c>
      <c r="I572" s="8" t="s">
        <v>291</v>
      </c>
      <c r="J572" s="8" t="s">
        <v>292</v>
      </c>
      <c r="K572" s="8" t="s">
        <v>293</v>
      </c>
      <c r="L572" s="9" t="s">
        <v>294</v>
      </c>
      <c r="M572" s="8"/>
      <c r="N572" s="8" t="str">
        <f aca="true">IF(M572="","Active (per Notice 1)",IF(M572&lt;TODAY(),"Expired",IF(M572&lt;TODAY()+180,"Expiring Soon","Active")))</f>
        <v>Active (per Notice 1)</v>
      </c>
      <c r="O572" s="13" t="s">
        <v>292</v>
      </c>
      <c r="P572" s="8" t="s">
        <v>296</v>
      </c>
      <c r="Q572" s="8" t="n">
        <v>3.7</v>
      </c>
      <c r="R572" s="8" t="n">
        <v>3</v>
      </c>
      <c r="S572" s="11" t="n">
        <v>44425</v>
      </c>
      <c r="T572" s="8" t="str">
        <f aca="true">IF(S572="","",IF(EDATE(S572,60)&lt;TODAY(),"Expired",IF(EDATE(S572,60)&lt;TODAY()+180,"Expiring Soon","Valid")))</f>
        <v>Expiring Soon</v>
      </c>
      <c r="U572" s="8" t="str">
        <f aca="false">IF(P572="","",IF(P572="A++","Top Tier",IF(P572="A+","High",IF(P572="A","Strong",IF(LEFT(P572,1)="B","Acceptable",IF(LEFT(P572,1)="C","Below Avg","-"))))))</f>
        <v>Top Tier</v>
      </c>
      <c r="V572" s="8" t="s">
        <v>380</v>
      </c>
      <c r="W572" s="9" t="s">
        <v>581</v>
      </c>
      <c r="X572" s="14" t="s">
        <v>582</v>
      </c>
      <c r="Y572" s="8" t="n">
        <v>12</v>
      </c>
      <c r="Z572" s="11" t="n">
        <v>45838</v>
      </c>
      <c r="AA572" s="8" t="s">
        <v>357</v>
      </c>
      <c r="AB572" s="8" t="s">
        <v>329</v>
      </c>
      <c r="AC572" s="8" t="n">
        <v>17</v>
      </c>
      <c r="AD572" s="8" t="n">
        <v>8</v>
      </c>
      <c r="AE572" s="8" t="n">
        <v>31</v>
      </c>
      <c r="AF572" s="8" t="n">
        <v>23</v>
      </c>
      <c r="AG572" s="8" t="n">
        <v>26</v>
      </c>
      <c r="AH572" s="8" t="n">
        <v>14</v>
      </c>
      <c r="AI572" s="8" t="n">
        <v>9</v>
      </c>
      <c r="AJ572" s="8" t="n">
        <v>14</v>
      </c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</row>
    <row r="573" customFormat="false" ht="15" hidden="false" customHeight="true" outlineLevel="0" collapsed="false">
      <c r="A573" s="8" t="n">
        <v>572</v>
      </c>
      <c r="B573" s="8" t="n">
        <v>84</v>
      </c>
      <c r="C573" s="8" t="s">
        <v>557</v>
      </c>
      <c r="D573" s="8" t="s">
        <v>315</v>
      </c>
      <c r="E573" s="9" t="s">
        <v>578</v>
      </c>
      <c r="F573" s="9" t="s">
        <v>306</v>
      </c>
      <c r="G573" s="8" t="s">
        <v>307</v>
      </c>
      <c r="H573" s="8" t="s">
        <v>302</v>
      </c>
      <c r="I573" s="8" t="s">
        <v>291</v>
      </c>
      <c r="J573" s="8" t="s">
        <v>292</v>
      </c>
      <c r="K573" s="8" t="s">
        <v>293</v>
      </c>
      <c r="L573" s="9" t="s">
        <v>294</v>
      </c>
      <c r="M573" s="8"/>
      <c r="N573" s="8" t="str">
        <f aca="true">IF(M573="","Active (per Notice 1)",IF(M573&lt;TODAY(),"Expired",IF(M573&lt;TODAY()+180,"Expiring Soon","Active")))</f>
        <v>Active (per Notice 1)</v>
      </c>
      <c r="O573" s="13" t="s">
        <v>292</v>
      </c>
      <c r="P573" s="8" t="s">
        <v>296</v>
      </c>
      <c r="Q573" s="8" t="n">
        <v>3.7</v>
      </c>
      <c r="R573" s="8" t="n">
        <v>3</v>
      </c>
      <c r="S573" s="11" t="n">
        <v>44425</v>
      </c>
      <c r="T573" s="8" t="str">
        <f aca="true">IF(S573="","",IF(EDATE(S573,60)&lt;TODAY(),"Expired",IF(EDATE(S573,60)&lt;TODAY()+180,"Expiring Soon","Valid")))</f>
        <v>Expiring Soon</v>
      </c>
      <c r="U573" s="8" t="str">
        <f aca="false">IF(P573="","",IF(P573="A++","Top Tier",IF(P573="A+","High",IF(P573="A","Strong",IF(LEFT(P573,1)="B","Acceptable",IF(LEFT(P573,1)="C","Below Avg","-"))))))</f>
        <v>Top Tier</v>
      </c>
      <c r="V573" s="8" t="s">
        <v>440</v>
      </c>
      <c r="Y573" s="8" t="n">
        <v>12</v>
      </c>
      <c r="Z573" s="11" t="n">
        <v>45838</v>
      </c>
      <c r="AA573" s="8" t="s">
        <v>357</v>
      </c>
      <c r="AB573" s="8" t="s">
        <v>329</v>
      </c>
      <c r="AC573" s="8" t="n">
        <v>17</v>
      </c>
      <c r="AD573" s="8" t="n">
        <v>8</v>
      </c>
      <c r="AE573" s="8" t="n">
        <v>31</v>
      </c>
      <c r="AF573" s="8" t="n">
        <v>23</v>
      </c>
      <c r="AG573" s="8" t="n">
        <v>26</v>
      </c>
      <c r="AH573" s="8" t="n">
        <v>14</v>
      </c>
      <c r="AI573" s="8" t="n">
        <v>9</v>
      </c>
      <c r="AJ573" s="8" t="n">
        <v>14</v>
      </c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</row>
    <row r="574" customFormat="false" ht="15" hidden="false" customHeight="true" outlineLevel="0" collapsed="false">
      <c r="A574" s="8" t="n">
        <v>573</v>
      </c>
      <c r="B574" s="8" t="n">
        <v>85</v>
      </c>
      <c r="C574" s="8" t="s">
        <v>557</v>
      </c>
      <c r="D574" s="8" t="s">
        <v>286</v>
      </c>
      <c r="E574" s="9" t="s">
        <v>583</v>
      </c>
      <c r="F574" s="9" t="s">
        <v>559</v>
      </c>
      <c r="G574" s="8" t="s">
        <v>298</v>
      </c>
      <c r="H574" s="8" t="s">
        <v>290</v>
      </c>
      <c r="I574" s="8" t="s">
        <v>291</v>
      </c>
      <c r="J574" s="8" t="s">
        <v>292</v>
      </c>
      <c r="K574" s="8" t="s">
        <v>293</v>
      </c>
      <c r="L574" s="9" t="s">
        <v>294</v>
      </c>
      <c r="M574" s="8"/>
      <c r="N574" s="8" t="str">
        <f aca="true">IF(M574="","Active (per Notice 1)",IF(M574&lt;TODAY(),"Expired",IF(M574&lt;TODAY()+180,"Expiring Soon","Active")))</f>
        <v>Active (per Notice 1)</v>
      </c>
      <c r="O574" s="10" t="s">
        <v>295</v>
      </c>
      <c r="P574" s="8" t="s">
        <v>296</v>
      </c>
      <c r="Q574" s="8" t="n">
        <v>3.59</v>
      </c>
      <c r="R574" s="8" t="n">
        <v>4</v>
      </c>
      <c r="S574" s="11" t="n">
        <v>45701</v>
      </c>
      <c r="T574" s="8" t="str">
        <f aca="true">IF(S574="","",IF(EDATE(S574,60)&lt;TODAY(),"Expired",IF(EDATE(S574,60)&lt;TODAY()+180,"Expiring Soon","Valid")))</f>
        <v>Valid</v>
      </c>
      <c r="U574" s="8" t="str">
        <f aca="false">IF(P574="","",IF(P574="A++","Top Tier",IF(P574="A+","High",IF(P574="A","Strong",IF(LEFT(P574,1)="B","Acceptable",IF(LEFT(P574,1)="C","Below Avg","-"))))))</f>
        <v>Top Tier</v>
      </c>
      <c r="AC574" s="8" t="n">
        <v>73</v>
      </c>
      <c r="AD574" s="8" t="n">
        <v>44</v>
      </c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 t="n">
        <v>14</v>
      </c>
      <c r="AP574" s="8"/>
      <c r="AQ574" s="8"/>
      <c r="AR574" s="8"/>
      <c r="AS574" s="8"/>
      <c r="AT574" s="8"/>
      <c r="AU574" s="8"/>
    </row>
    <row r="575" customFormat="false" ht="15" hidden="false" customHeight="true" outlineLevel="0" collapsed="false">
      <c r="A575" s="8" t="n">
        <v>574</v>
      </c>
      <c r="B575" s="8" t="n">
        <v>85</v>
      </c>
      <c r="C575" s="8" t="s">
        <v>557</v>
      </c>
      <c r="D575" s="8" t="s">
        <v>286</v>
      </c>
      <c r="E575" s="9" t="s">
        <v>583</v>
      </c>
      <c r="F575" s="9" t="s">
        <v>407</v>
      </c>
      <c r="G575" s="8" t="s">
        <v>318</v>
      </c>
      <c r="H575" s="8" t="s">
        <v>290</v>
      </c>
      <c r="I575" s="8" t="s">
        <v>291</v>
      </c>
      <c r="J575" s="8" t="s">
        <v>292</v>
      </c>
      <c r="K575" s="8" t="s">
        <v>293</v>
      </c>
      <c r="L575" s="9" t="s">
        <v>294</v>
      </c>
      <c r="M575" s="8"/>
      <c r="N575" s="8" t="str">
        <f aca="true">IF(M575="","Active (per Notice 1)",IF(M575&lt;TODAY(),"Expired",IF(M575&lt;TODAY()+180,"Expiring Soon","Active")))</f>
        <v>Active (per Notice 1)</v>
      </c>
      <c r="O575" s="12" t="s">
        <v>305</v>
      </c>
      <c r="P575" s="8" t="s">
        <v>296</v>
      </c>
      <c r="Q575" s="8" t="n">
        <v>3.59</v>
      </c>
      <c r="R575" s="8" t="n">
        <v>4</v>
      </c>
      <c r="S575" s="11" t="n">
        <v>45701</v>
      </c>
      <c r="T575" s="8" t="str">
        <f aca="true">IF(S575="","",IF(EDATE(S575,60)&lt;TODAY(),"Expired",IF(EDATE(S575,60)&lt;TODAY()+180,"Expiring Soon","Valid")))</f>
        <v>Valid</v>
      </c>
      <c r="U575" s="8" t="str">
        <f aca="false">IF(P575="","",IF(P575="A++","Top Tier",IF(P575="A+","High",IF(P575="A","Strong",IF(LEFT(P575,1)="B","Acceptable",IF(LEFT(P575,1)="C","Below Avg","-"))))))</f>
        <v>Top Tier</v>
      </c>
      <c r="AC575" s="8" t="n">
        <v>73</v>
      </c>
      <c r="AD575" s="8" t="n">
        <v>44</v>
      </c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 t="n">
        <v>14</v>
      </c>
      <c r="AP575" s="8"/>
      <c r="AQ575" s="8"/>
      <c r="AR575" s="8"/>
      <c r="AS575" s="8"/>
      <c r="AT575" s="8"/>
      <c r="AU575" s="8"/>
    </row>
    <row r="576" customFormat="false" ht="15" hidden="false" customHeight="true" outlineLevel="0" collapsed="false">
      <c r="A576" s="8" t="n">
        <v>575</v>
      </c>
      <c r="B576" s="8" t="n">
        <v>85</v>
      </c>
      <c r="C576" s="8" t="s">
        <v>557</v>
      </c>
      <c r="D576" s="8" t="s">
        <v>286</v>
      </c>
      <c r="E576" s="9" t="s">
        <v>583</v>
      </c>
      <c r="F576" s="9" t="s">
        <v>299</v>
      </c>
      <c r="G576" s="8" t="s">
        <v>289</v>
      </c>
      <c r="H576" s="8" t="s">
        <v>290</v>
      </c>
      <c r="I576" s="8" t="s">
        <v>291</v>
      </c>
      <c r="J576" s="8" t="s">
        <v>292</v>
      </c>
      <c r="K576" s="8" t="s">
        <v>293</v>
      </c>
      <c r="L576" s="9" t="s">
        <v>294</v>
      </c>
      <c r="M576" s="8"/>
      <c r="N576" s="8" t="str">
        <f aca="true">IF(M576="","Active (per Notice 1)",IF(M576&lt;TODAY(),"Expired",IF(M576&lt;TODAY()+180,"Expiring Soon","Active")))</f>
        <v>Active (per Notice 1)</v>
      </c>
      <c r="O576" s="10" t="s">
        <v>295</v>
      </c>
      <c r="P576" s="8" t="s">
        <v>296</v>
      </c>
      <c r="Q576" s="8" t="n">
        <v>3.59</v>
      </c>
      <c r="R576" s="8" t="n">
        <v>4</v>
      </c>
      <c r="S576" s="11" t="n">
        <v>45701</v>
      </c>
      <c r="T576" s="8" t="str">
        <f aca="true">IF(S576="","",IF(EDATE(S576,60)&lt;TODAY(),"Expired",IF(EDATE(S576,60)&lt;TODAY()+180,"Expiring Soon","Valid")))</f>
        <v>Valid</v>
      </c>
      <c r="U576" s="8" t="str">
        <f aca="false">IF(P576="","",IF(P576="A++","Top Tier",IF(P576="A+","High",IF(P576="A","Strong",IF(LEFT(P576,1)="B","Acceptable",IF(LEFT(P576,1)="C","Below Avg","-"))))))</f>
        <v>Top Tier</v>
      </c>
      <c r="AC576" s="8" t="n">
        <v>73</v>
      </c>
      <c r="AD576" s="8" t="n">
        <v>44</v>
      </c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 t="n">
        <v>14</v>
      </c>
      <c r="AP576" s="8"/>
      <c r="AQ576" s="8"/>
      <c r="AR576" s="8"/>
      <c r="AS576" s="8"/>
      <c r="AT576" s="8"/>
      <c r="AU576" s="8"/>
    </row>
    <row r="577" customFormat="false" ht="15" hidden="false" customHeight="true" outlineLevel="0" collapsed="false">
      <c r="A577" s="8" t="n">
        <v>576</v>
      </c>
      <c r="B577" s="8" t="n">
        <v>85</v>
      </c>
      <c r="C577" s="8" t="s">
        <v>557</v>
      </c>
      <c r="D577" s="8" t="s">
        <v>286</v>
      </c>
      <c r="E577" s="9" t="s">
        <v>583</v>
      </c>
      <c r="F577" s="9" t="s">
        <v>308</v>
      </c>
      <c r="G577" s="8" t="s">
        <v>309</v>
      </c>
      <c r="H577" s="8" t="s">
        <v>302</v>
      </c>
      <c r="I577" s="8" t="s">
        <v>291</v>
      </c>
      <c r="J577" s="8" t="s">
        <v>292</v>
      </c>
      <c r="K577" s="8" t="s">
        <v>293</v>
      </c>
      <c r="L577" s="9" t="s">
        <v>294</v>
      </c>
      <c r="M577" s="8"/>
      <c r="N577" s="8" t="str">
        <f aca="true">IF(M577="","Active (per Notice 1)",IF(M577&lt;TODAY(),"Expired",IF(M577&lt;TODAY()+180,"Expiring Soon","Active")))</f>
        <v>Active (per Notice 1)</v>
      </c>
      <c r="O577" s="10" t="s">
        <v>295</v>
      </c>
      <c r="P577" s="8" t="s">
        <v>296</v>
      </c>
      <c r="Q577" s="8" t="n">
        <v>3.59</v>
      </c>
      <c r="R577" s="8" t="n">
        <v>4</v>
      </c>
      <c r="S577" s="11" t="n">
        <v>45701</v>
      </c>
      <c r="T577" s="8" t="str">
        <f aca="true">IF(S577="","",IF(EDATE(S577,60)&lt;TODAY(),"Expired",IF(EDATE(S577,60)&lt;TODAY()+180,"Expiring Soon","Valid")))</f>
        <v>Valid</v>
      </c>
      <c r="U577" s="8" t="str">
        <f aca="false">IF(P577="","",IF(P577="A++","Top Tier",IF(P577="A+","High",IF(P577="A","Strong",IF(LEFT(P577,1)="B","Acceptable",IF(LEFT(P577,1)="C","Below Avg","-"))))))</f>
        <v>Top Tier</v>
      </c>
      <c r="AC577" s="8" t="n">
        <v>73</v>
      </c>
      <c r="AD577" s="8" t="n">
        <v>44</v>
      </c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 t="n">
        <v>14</v>
      </c>
      <c r="AP577" s="8"/>
      <c r="AQ577" s="8"/>
      <c r="AR577" s="8"/>
      <c r="AS577" s="8"/>
      <c r="AT577" s="8"/>
      <c r="AU577" s="8"/>
    </row>
    <row r="578" customFormat="false" ht="15" hidden="false" customHeight="true" outlineLevel="0" collapsed="false">
      <c r="A578" s="8" t="n">
        <v>577</v>
      </c>
      <c r="B578" s="8" t="n">
        <v>85</v>
      </c>
      <c r="C578" s="8" t="s">
        <v>557</v>
      </c>
      <c r="D578" s="8" t="s">
        <v>286</v>
      </c>
      <c r="E578" s="9" t="s">
        <v>583</v>
      </c>
      <c r="F578" s="9" t="s">
        <v>560</v>
      </c>
      <c r="G578" s="8" t="s">
        <v>301</v>
      </c>
      <c r="H578" s="8" t="s">
        <v>302</v>
      </c>
      <c r="I578" s="8" t="s">
        <v>291</v>
      </c>
      <c r="J578" s="8" t="s">
        <v>292</v>
      </c>
      <c r="K578" s="8" t="s">
        <v>293</v>
      </c>
      <c r="L578" s="9" t="s">
        <v>294</v>
      </c>
      <c r="M578" s="8"/>
      <c r="N578" s="8" t="str">
        <f aca="true">IF(M578="","Active (per Notice 1)",IF(M578&lt;TODAY(),"Expired",IF(M578&lt;TODAY()+180,"Expiring Soon","Active")))</f>
        <v>Active (per Notice 1)</v>
      </c>
      <c r="O578" s="10" t="s">
        <v>295</v>
      </c>
      <c r="P578" s="8" t="s">
        <v>296</v>
      </c>
      <c r="Q578" s="8" t="n">
        <v>3.59</v>
      </c>
      <c r="R578" s="8" t="n">
        <v>4</v>
      </c>
      <c r="S578" s="11" t="n">
        <v>45701</v>
      </c>
      <c r="T578" s="8" t="str">
        <f aca="true">IF(S578="","",IF(EDATE(S578,60)&lt;TODAY(),"Expired",IF(EDATE(S578,60)&lt;TODAY()+180,"Expiring Soon","Valid")))</f>
        <v>Valid</v>
      </c>
      <c r="U578" s="8" t="str">
        <f aca="false">IF(P578="","",IF(P578="A++","Top Tier",IF(P578="A+","High",IF(P578="A","Strong",IF(LEFT(P578,1)="B","Acceptable",IF(LEFT(P578,1)="C","Below Avg","-"))))))</f>
        <v>Top Tier</v>
      </c>
      <c r="AC578" s="8" t="n">
        <v>73</v>
      </c>
      <c r="AD578" s="8" t="n">
        <v>44</v>
      </c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 t="n">
        <v>14</v>
      </c>
      <c r="AP578" s="8"/>
      <c r="AQ578" s="8"/>
      <c r="AR578" s="8"/>
      <c r="AS578" s="8"/>
      <c r="AT578" s="8"/>
      <c r="AU578" s="8"/>
    </row>
    <row r="579" customFormat="false" ht="15" hidden="false" customHeight="true" outlineLevel="0" collapsed="false">
      <c r="A579" s="8" t="n">
        <v>578</v>
      </c>
      <c r="B579" s="8" t="n">
        <v>85</v>
      </c>
      <c r="C579" s="8" t="s">
        <v>557</v>
      </c>
      <c r="D579" s="8" t="s">
        <v>286</v>
      </c>
      <c r="E579" s="9" t="s">
        <v>583</v>
      </c>
      <c r="F579" s="9" t="s">
        <v>312</v>
      </c>
      <c r="G579" s="8" t="s">
        <v>301</v>
      </c>
      <c r="H579" s="8" t="s">
        <v>302</v>
      </c>
      <c r="I579" s="8" t="s">
        <v>291</v>
      </c>
      <c r="J579" s="8" t="s">
        <v>292</v>
      </c>
      <c r="K579" s="8" t="s">
        <v>293</v>
      </c>
      <c r="L579" s="9" t="s">
        <v>294</v>
      </c>
      <c r="M579" s="8"/>
      <c r="N579" s="8" t="str">
        <f aca="true">IF(M579="","Active (per Notice 1)",IF(M579&lt;TODAY(),"Expired",IF(M579&lt;TODAY()+180,"Expiring Soon","Active")))</f>
        <v>Active (per Notice 1)</v>
      </c>
      <c r="O579" s="10" t="s">
        <v>295</v>
      </c>
      <c r="P579" s="8" t="s">
        <v>296</v>
      </c>
      <c r="Q579" s="8" t="n">
        <v>3.59</v>
      </c>
      <c r="R579" s="8" t="n">
        <v>4</v>
      </c>
      <c r="S579" s="11" t="n">
        <v>45701</v>
      </c>
      <c r="T579" s="8" t="str">
        <f aca="true">IF(S579="","",IF(EDATE(S579,60)&lt;TODAY(),"Expired",IF(EDATE(S579,60)&lt;TODAY()+180,"Expiring Soon","Valid")))</f>
        <v>Valid</v>
      </c>
      <c r="U579" s="8" t="str">
        <f aca="false">IF(P579="","",IF(P579="A++","Top Tier",IF(P579="A+","High",IF(P579="A","Strong",IF(LEFT(P579,1)="B","Acceptable",IF(LEFT(P579,1)="C","Below Avg","-"))))))</f>
        <v>Top Tier</v>
      </c>
      <c r="AC579" s="8" t="n">
        <v>73</v>
      </c>
      <c r="AD579" s="8" t="n">
        <v>44</v>
      </c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 t="n">
        <v>14</v>
      </c>
      <c r="AP579" s="8"/>
      <c r="AQ579" s="8"/>
      <c r="AR579" s="8"/>
      <c r="AS579" s="8"/>
      <c r="AT579" s="8"/>
      <c r="AU579" s="8"/>
    </row>
    <row r="580" customFormat="false" ht="15" hidden="false" customHeight="true" outlineLevel="0" collapsed="false">
      <c r="A580" s="8" t="n">
        <v>579</v>
      </c>
      <c r="B580" s="8" t="n">
        <v>85</v>
      </c>
      <c r="C580" s="8" t="s">
        <v>557</v>
      </c>
      <c r="D580" s="8" t="s">
        <v>286</v>
      </c>
      <c r="E580" s="9" t="s">
        <v>583</v>
      </c>
      <c r="F580" s="9" t="s">
        <v>484</v>
      </c>
      <c r="G580" s="8" t="s">
        <v>301</v>
      </c>
      <c r="H580" s="8" t="s">
        <v>302</v>
      </c>
      <c r="I580" s="8" t="s">
        <v>291</v>
      </c>
      <c r="J580" s="8" t="s">
        <v>292</v>
      </c>
      <c r="K580" s="8" t="s">
        <v>293</v>
      </c>
      <c r="L580" s="9" t="s">
        <v>294</v>
      </c>
      <c r="M580" s="8"/>
      <c r="N580" s="8" t="str">
        <f aca="true">IF(M580="","Active (per Notice 1)",IF(M580&lt;TODAY(),"Expired",IF(M580&lt;TODAY()+180,"Expiring Soon","Active")))</f>
        <v>Active (per Notice 1)</v>
      </c>
      <c r="O580" s="10" t="s">
        <v>295</v>
      </c>
      <c r="P580" s="8" t="s">
        <v>296</v>
      </c>
      <c r="Q580" s="8" t="n">
        <v>3.59</v>
      </c>
      <c r="R580" s="8" t="n">
        <v>4</v>
      </c>
      <c r="S580" s="11" t="n">
        <v>45701</v>
      </c>
      <c r="T580" s="8" t="str">
        <f aca="true">IF(S580="","",IF(EDATE(S580,60)&lt;TODAY(),"Expired",IF(EDATE(S580,60)&lt;TODAY()+180,"Expiring Soon","Valid")))</f>
        <v>Valid</v>
      </c>
      <c r="U580" s="8" t="str">
        <f aca="false">IF(P580="","",IF(P580="A++","Top Tier",IF(P580="A+","High",IF(P580="A","Strong",IF(LEFT(P580,1)="B","Acceptable",IF(LEFT(P580,1)="C","Below Avg","-"))))))</f>
        <v>Top Tier</v>
      </c>
      <c r="AC580" s="8" t="n">
        <v>73</v>
      </c>
      <c r="AD580" s="8" t="n">
        <v>44</v>
      </c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 t="n">
        <v>14</v>
      </c>
      <c r="AP580" s="8"/>
      <c r="AQ580" s="8"/>
      <c r="AR580" s="8"/>
      <c r="AS580" s="8"/>
      <c r="AT580" s="8"/>
      <c r="AU580" s="8"/>
    </row>
    <row r="581" customFormat="false" ht="15" hidden="false" customHeight="true" outlineLevel="0" collapsed="false">
      <c r="A581" s="8" t="n">
        <v>580</v>
      </c>
      <c r="B581" s="8" t="n">
        <v>85</v>
      </c>
      <c r="C581" s="8" t="s">
        <v>557</v>
      </c>
      <c r="D581" s="8" t="s">
        <v>286</v>
      </c>
      <c r="E581" s="9" t="s">
        <v>583</v>
      </c>
      <c r="F581" s="9" t="s">
        <v>303</v>
      </c>
      <c r="G581" s="8" t="s">
        <v>304</v>
      </c>
      <c r="H581" s="8" t="s">
        <v>302</v>
      </c>
      <c r="I581" s="8" t="s">
        <v>291</v>
      </c>
      <c r="J581" s="8" t="s">
        <v>292</v>
      </c>
      <c r="K581" s="8" t="s">
        <v>293</v>
      </c>
      <c r="L581" s="9" t="s">
        <v>294</v>
      </c>
      <c r="M581" s="8"/>
      <c r="N581" s="8" t="str">
        <f aca="true">IF(M581="","Active (per Notice 1)",IF(M581&lt;TODAY(),"Expired",IF(M581&lt;TODAY()+180,"Expiring Soon","Active")))</f>
        <v>Active (per Notice 1)</v>
      </c>
      <c r="O581" s="12" t="s">
        <v>305</v>
      </c>
      <c r="P581" s="8" t="s">
        <v>296</v>
      </c>
      <c r="Q581" s="8" t="n">
        <v>3.59</v>
      </c>
      <c r="R581" s="8" t="n">
        <v>4</v>
      </c>
      <c r="S581" s="11" t="n">
        <v>45701</v>
      </c>
      <c r="T581" s="8" t="str">
        <f aca="true">IF(S581="","",IF(EDATE(S581,60)&lt;TODAY(),"Expired",IF(EDATE(S581,60)&lt;TODAY()+180,"Expiring Soon","Valid")))</f>
        <v>Valid</v>
      </c>
      <c r="U581" s="8" t="str">
        <f aca="false">IF(P581="","",IF(P581="A++","Top Tier",IF(P581="A+","High",IF(P581="A","Strong",IF(LEFT(P581,1)="B","Acceptable",IF(LEFT(P581,1)="C","Below Avg","-"))))))</f>
        <v>Top Tier</v>
      </c>
      <c r="AC581" s="8" t="n">
        <v>73</v>
      </c>
      <c r="AD581" s="8" t="n">
        <v>44</v>
      </c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 t="n">
        <v>14</v>
      </c>
      <c r="AP581" s="8"/>
      <c r="AQ581" s="8"/>
      <c r="AR581" s="8"/>
      <c r="AS581" s="8"/>
      <c r="AT581" s="8"/>
      <c r="AU581" s="8"/>
    </row>
    <row r="582" customFormat="false" ht="15" hidden="false" customHeight="true" outlineLevel="0" collapsed="false">
      <c r="A582" s="8" t="n">
        <v>581</v>
      </c>
      <c r="B582" s="8" t="n">
        <v>86</v>
      </c>
      <c r="C582" s="8" t="s">
        <v>557</v>
      </c>
      <c r="D582" s="8" t="s">
        <v>286</v>
      </c>
      <c r="E582" s="9" t="s">
        <v>584</v>
      </c>
      <c r="F582" s="9" t="s">
        <v>585</v>
      </c>
      <c r="G582" s="8" t="s">
        <v>298</v>
      </c>
      <c r="H582" s="8" t="s">
        <v>290</v>
      </c>
      <c r="I582" s="8" t="s">
        <v>291</v>
      </c>
      <c r="J582" s="8" t="s">
        <v>292</v>
      </c>
      <c r="K582" s="8" t="s">
        <v>293</v>
      </c>
      <c r="L582" s="9" t="s">
        <v>294</v>
      </c>
      <c r="M582" s="8"/>
      <c r="N582" s="8" t="str">
        <f aca="true">IF(M582="","Active (per Notice 1)",IF(M582&lt;TODAY(),"Expired",IF(M582&lt;TODAY()+180,"Expiring Soon","Active")))</f>
        <v>Active (per Notice 1)</v>
      </c>
      <c r="O582" s="10" t="s">
        <v>295</v>
      </c>
      <c r="P582" s="8" t="s">
        <v>296</v>
      </c>
      <c r="Q582" s="8" t="n">
        <v>3.63</v>
      </c>
      <c r="R582" s="8" t="n">
        <v>4</v>
      </c>
      <c r="S582" s="11" t="n">
        <v>45015</v>
      </c>
      <c r="T582" s="8" t="str">
        <f aca="true">IF(S582="","",IF(EDATE(S582,60)&lt;TODAY(),"Expired",IF(EDATE(S582,60)&lt;TODAY()+180,"Expiring Soon","Valid")))</f>
        <v>Valid</v>
      </c>
      <c r="U582" s="8" t="str">
        <f aca="false">IF(P582="","",IF(P582="A++","Top Tier",IF(P582="A+","High",IF(P582="A","Strong",IF(LEFT(P582,1)="B","Acceptable",IF(LEFT(P582,1)="C","Below Avg","-"))))))</f>
        <v>Top Tier</v>
      </c>
      <c r="AC582" s="8" t="n">
        <v>76</v>
      </c>
      <c r="AD582" s="8" t="n">
        <v>46</v>
      </c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 t="n">
        <v>10</v>
      </c>
      <c r="AP582" s="8"/>
      <c r="AQ582" s="8"/>
      <c r="AR582" s="8"/>
      <c r="AS582" s="8"/>
      <c r="AT582" s="8"/>
      <c r="AU582" s="8"/>
    </row>
    <row r="583" customFormat="false" ht="15" hidden="false" customHeight="true" outlineLevel="0" collapsed="false">
      <c r="A583" s="8" t="n">
        <v>582</v>
      </c>
      <c r="B583" s="8" t="n">
        <v>86</v>
      </c>
      <c r="C583" s="8" t="s">
        <v>557</v>
      </c>
      <c r="D583" s="8" t="s">
        <v>286</v>
      </c>
      <c r="E583" s="9" t="s">
        <v>584</v>
      </c>
      <c r="F583" s="9" t="s">
        <v>359</v>
      </c>
      <c r="G583" s="8" t="s">
        <v>289</v>
      </c>
      <c r="H583" s="8" t="s">
        <v>290</v>
      </c>
      <c r="I583" s="8" t="s">
        <v>291</v>
      </c>
      <c r="J583" s="8" t="s">
        <v>292</v>
      </c>
      <c r="K583" s="8" t="s">
        <v>293</v>
      </c>
      <c r="L583" s="9" t="s">
        <v>294</v>
      </c>
      <c r="M583" s="8"/>
      <c r="N583" s="8" t="str">
        <f aca="true">IF(M583="","Active (per Notice 1)",IF(M583&lt;TODAY(),"Expired",IF(M583&lt;TODAY()+180,"Expiring Soon","Active")))</f>
        <v>Active (per Notice 1)</v>
      </c>
      <c r="O583" s="10" t="s">
        <v>295</v>
      </c>
      <c r="P583" s="8" t="s">
        <v>296</v>
      </c>
      <c r="Q583" s="8" t="n">
        <v>3.63</v>
      </c>
      <c r="R583" s="8" t="n">
        <v>4</v>
      </c>
      <c r="S583" s="11" t="n">
        <v>45015</v>
      </c>
      <c r="T583" s="8" t="str">
        <f aca="true">IF(S583="","",IF(EDATE(S583,60)&lt;TODAY(),"Expired",IF(EDATE(S583,60)&lt;TODAY()+180,"Expiring Soon","Valid")))</f>
        <v>Valid</v>
      </c>
      <c r="U583" s="8" t="str">
        <f aca="false">IF(P583="","",IF(P583="A++","Top Tier",IF(P583="A+","High",IF(P583="A","Strong",IF(LEFT(P583,1)="B","Acceptable",IF(LEFT(P583,1)="C","Below Avg","-"))))))</f>
        <v>Top Tier</v>
      </c>
      <c r="AC583" s="8" t="n">
        <v>76</v>
      </c>
      <c r="AD583" s="8" t="n">
        <v>46</v>
      </c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 t="n">
        <v>10</v>
      </c>
      <c r="AP583" s="8"/>
      <c r="AQ583" s="8"/>
      <c r="AR583" s="8"/>
      <c r="AS583" s="8"/>
      <c r="AT583" s="8"/>
      <c r="AU583" s="8"/>
    </row>
    <row r="584" customFormat="false" ht="15" hidden="false" customHeight="true" outlineLevel="0" collapsed="false">
      <c r="A584" s="8" t="n">
        <v>583</v>
      </c>
      <c r="B584" s="8" t="n">
        <v>86</v>
      </c>
      <c r="C584" s="8" t="s">
        <v>557</v>
      </c>
      <c r="D584" s="8" t="s">
        <v>286</v>
      </c>
      <c r="E584" s="9" t="s">
        <v>584</v>
      </c>
      <c r="F584" s="9" t="s">
        <v>326</v>
      </c>
      <c r="G584" s="8" t="s">
        <v>318</v>
      </c>
      <c r="H584" s="8" t="s">
        <v>290</v>
      </c>
      <c r="I584" s="8" t="s">
        <v>291</v>
      </c>
      <c r="J584" s="8" t="s">
        <v>292</v>
      </c>
      <c r="K584" s="8" t="s">
        <v>293</v>
      </c>
      <c r="L584" s="9" t="s">
        <v>294</v>
      </c>
      <c r="M584" s="8"/>
      <c r="N584" s="8" t="str">
        <f aca="true">IF(M584="","Active (per Notice 1)",IF(M584&lt;TODAY(),"Expired",IF(M584&lt;TODAY()+180,"Expiring Soon","Active")))</f>
        <v>Active (per Notice 1)</v>
      </c>
      <c r="O584" s="12" t="s">
        <v>305</v>
      </c>
      <c r="P584" s="8" t="s">
        <v>296</v>
      </c>
      <c r="Q584" s="8" t="n">
        <v>3.63</v>
      </c>
      <c r="R584" s="8" t="n">
        <v>4</v>
      </c>
      <c r="S584" s="11" t="n">
        <v>45015</v>
      </c>
      <c r="T584" s="8" t="str">
        <f aca="true">IF(S584="","",IF(EDATE(S584,60)&lt;TODAY(),"Expired",IF(EDATE(S584,60)&lt;TODAY()+180,"Expiring Soon","Valid")))</f>
        <v>Valid</v>
      </c>
      <c r="U584" s="8" t="str">
        <f aca="false">IF(P584="","",IF(P584="A++","Top Tier",IF(P584="A+","High",IF(P584="A","Strong",IF(LEFT(P584,1)="B","Acceptable",IF(LEFT(P584,1)="C","Below Avg","-"))))))</f>
        <v>Top Tier</v>
      </c>
      <c r="AC584" s="8" t="n">
        <v>76</v>
      </c>
      <c r="AD584" s="8" t="n">
        <v>46</v>
      </c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 t="n">
        <v>10</v>
      </c>
      <c r="AP584" s="8"/>
      <c r="AQ584" s="8"/>
      <c r="AR584" s="8"/>
      <c r="AS584" s="8"/>
      <c r="AT584" s="8"/>
      <c r="AU584" s="8"/>
    </row>
    <row r="585" customFormat="false" ht="15" hidden="false" customHeight="true" outlineLevel="0" collapsed="false">
      <c r="A585" s="8" t="n">
        <v>584</v>
      </c>
      <c r="B585" s="8" t="n">
        <v>86</v>
      </c>
      <c r="C585" s="8" t="s">
        <v>557</v>
      </c>
      <c r="D585" s="8" t="s">
        <v>286</v>
      </c>
      <c r="E585" s="9" t="s">
        <v>584</v>
      </c>
      <c r="F585" s="9" t="s">
        <v>308</v>
      </c>
      <c r="G585" s="8" t="s">
        <v>309</v>
      </c>
      <c r="H585" s="8" t="s">
        <v>302</v>
      </c>
      <c r="I585" s="8" t="s">
        <v>291</v>
      </c>
      <c r="J585" s="8" t="s">
        <v>292</v>
      </c>
      <c r="K585" s="8" t="s">
        <v>293</v>
      </c>
      <c r="L585" s="9" t="s">
        <v>294</v>
      </c>
      <c r="M585" s="8"/>
      <c r="N585" s="8" t="str">
        <f aca="true">IF(M585="","Active (per Notice 1)",IF(M585&lt;TODAY(),"Expired",IF(M585&lt;TODAY()+180,"Expiring Soon","Active")))</f>
        <v>Active (per Notice 1)</v>
      </c>
      <c r="O585" s="10" t="s">
        <v>295</v>
      </c>
      <c r="P585" s="8" t="s">
        <v>296</v>
      </c>
      <c r="Q585" s="8" t="n">
        <v>3.63</v>
      </c>
      <c r="R585" s="8" t="n">
        <v>4</v>
      </c>
      <c r="S585" s="11" t="n">
        <v>45015</v>
      </c>
      <c r="T585" s="8" t="str">
        <f aca="true">IF(S585="","",IF(EDATE(S585,60)&lt;TODAY(),"Expired",IF(EDATE(S585,60)&lt;TODAY()+180,"Expiring Soon","Valid")))</f>
        <v>Valid</v>
      </c>
      <c r="U585" s="8" t="str">
        <f aca="false">IF(P585="","",IF(P585="A++","Top Tier",IF(P585="A+","High",IF(P585="A","Strong",IF(LEFT(P585,1)="B","Acceptable",IF(LEFT(P585,1)="C","Below Avg","-"))))))</f>
        <v>Top Tier</v>
      </c>
      <c r="AC585" s="8" t="n">
        <v>76</v>
      </c>
      <c r="AD585" s="8" t="n">
        <v>46</v>
      </c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 t="n">
        <v>10</v>
      </c>
      <c r="AP585" s="8"/>
      <c r="AQ585" s="8"/>
      <c r="AR585" s="8"/>
      <c r="AS585" s="8"/>
      <c r="AT585" s="8"/>
      <c r="AU585" s="8"/>
    </row>
    <row r="586" customFormat="false" ht="15" hidden="false" customHeight="true" outlineLevel="0" collapsed="false">
      <c r="A586" s="8" t="n">
        <v>585</v>
      </c>
      <c r="B586" s="8" t="n">
        <v>86</v>
      </c>
      <c r="C586" s="8" t="s">
        <v>557</v>
      </c>
      <c r="D586" s="8" t="s">
        <v>286</v>
      </c>
      <c r="E586" s="9" t="s">
        <v>584</v>
      </c>
      <c r="F586" s="9" t="s">
        <v>311</v>
      </c>
      <c r="G586" s="8" t="s">
        <v>301</v>
      </c>
      <c r="H586" s="8" t="s">
        <v>302</v>
      </c>
      <c r="I586" s="8" t="s">
        <v>291</v>
      </c>
      <c r="J586" s="8" t="s">
        <v>292</v>
      </c>
      <c r="K586" s="8" t="s">
        <v>293</v>
      </c>
      <c r="L586" s="9" t="s">
        <v>294</v>
      </c>
      <c r="M586" s="8"/>
      <c r="N586" s="8" t="str">
        <f aca="true">IF(M586="","Active (per Notice 1)",IF(M586&lt;TODAY(),"Expired",IF(M586&lt;TODAY()+180,"Expiring Soon","Active")))</f>
        <v>Active (per Notice 1)</v>
      </c>
      <c r="O586" s="10" t="s">
        <v>295</v>
      </c>
      <c r="P586" s="8" t="s">
        <v>296</v>
      </c>
      <c r="Q586" s="8" t="n">
        <v>3.63</v>
      </c>
      <c r="R586" s="8" t="n">
        <v>4</v>
      </c>
      <c r="S586" s="11" t="n">
        <v>45015</v>
      </c>
      <c r="T586" s="8" t="str">
        <f aca="true">IF(S586="","",IF(EDATE(S586,60)&lt;TODAY(),"Expired",IF(EDATE(S586,60)&lt;TODAY()+180,"Expiring Soon","Valid")))</f>
        <v>Valid</v>
      </c>
      <c r="U586" s="8" t="str">
        <f aca="false">IF(P586="","",IF(P586="A++","Top Tier",IF(P586="A+","High",IF(P586="A","Strong",IF(LEFT(P586,1)="B","Acceptable",IF(LEFT(P586,1)="C","Below Avg","-"))))))</f>
        <v>Top Tier</v>
      </c>
      <c r="AC586" s="8" t="n">
        <v>76</v>
      </c>
      <c r="AD586" s="8" t="n">
        <v>46</v>
      </c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 t="n">
        <v>10</v>
      </c>
      <c r="AP586" s="8"/>
      <c r="AQ586" s="8"/>
      <c r="AR586" s="8"/>
      <c r="AS586" s="8"/>
      <c r="AT586" s="8"/>
      <c r="AU586" s="8"/>
    </row>
    <row r="587" customFormat="false" ht="15" hidden="false" customHeight="true" outlineLevel="0" collapsed="false">
      <c r="A587" s="8" t="n">
        <v>586</v>
      </c>
      <c r="B587" s="8" t="n">
        <v>86</v>
      </c>
      <c r="C587" s="8" t="s">
        <v>557</v>
      </c>
      <c r="D587" s="8" t="s">
        <v>286</v>
      </c>
      <c r="E587" s="9" t="s">
        <v>584</v>
      </c>
      <c r="F587" s="9" t="s">
        <v>586</v>
      </c>
      <c r="G587" s="8" t="s">
        <v>301</v>
      </c>
      <c r="H587" s="8" t="s">
        <v>302</v>
      </c>
      <c r="I587" s="8" t="s">
        <v>291</v>
      </c>
      <c r="J587" s="8" t="s">
        <v>292</v>
      </c>
      <c r="K587" s="8" t="s">
        <v>293</v>
      </c>
      <c r="L587" s="9" t="s">
        <v>294</v>
      </c>
      <c r="M587" s="8"/>
      <c r="N587" s="8" t="str">
        <f aca="true">IF(M587="","Active (per Notice 1)",IF(M587&lt;TODAY(),"Expired",IF(M587&lt;TODAY()+180,"Expiring Soon","Active")))</f>
        <v>Active (per Notice 1)</v>
      </c>
      <c r="O587" s="10" t="s">
        <v>295</v>
      </c>
      <c r="P587" s="8" t="s">
        <v>296</v>
      </c>
      <c r="Q587" s="8" t="n">
        <v>3.63</v>
      </c>
      <c r="R587" s="8" t="n">
        <v>4</v>
      </c>
      <c r="S587" s="11" t="n">
        <v>45015</v>
      </c>
      <c r="T587" s="8" t="str">
        <f aca="true">IF(S587="","",IF(EDATE(S587,60)&lt;TODAY(),"Expired",IF(EDATE(S587,60)&lt;TODAY()+180,"Expiring Soon","Valid")))</f>
        <v>Valid</v>
      </c>
      <c r="U587" s="8" t="str">
        <f aca="false">IF(P587="","",IF(P587="A++","Top Tier",IF(P587="A+","High",IF(P587="A","Strong",IF(LEFT(P587,1)="B","Acceptable",IF(LEFT(P587,1)="C","Below Avg","-"))))))</f>
        <v>Top Tier</v>
      </c>
      <c r="AC587" s="8" t="n">
        <v>76</v>
      </c>
      <c r="AD587" s="8" t="n">
        <v>46</v>
      </c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 t="n">
        <v>10</v>
      </c>
      <c r="AP587" s="8"/>
      <c r="AQ587" s="8"/>
      <c r="AR587" s="8"/>
      <c r="AS587" s="8"/>
      <c r="AT587" s="8"/>
      <c r="AU587" s="8"/>
    </row>
    <row r="588" customFormat="false" ht="15" hidden="false" customHeight="true" outlineLevel="0" collapsed="false">
      <c r="A588" s="8" t="n">
        <v>587</v>
      </c>
      <c r="B588" s="8" t="n">
        <v>86</v>
      </c>
      <c r="C588" s="8" t="s">
        <v>557</v>
      </c>
      <c r="D588" s="8" t="s">
        <v>286</v>
      </c>
      <c r="E588" s="9" t="s">
        <v>584</v>
      </c>
      <c r="F588" s="9" t="s">
        <v>348</v>
      </c>
      <c r="G588" s="8" t="s">
        <v>301</v>
      </c>
      <c r="H588" s="8" t="s">
        <v>302</v>
      </c>
      <c r="I588" s="8" t="s">
        <v>291</v>
      </c>
      <c r="J588" s="8" t="s">
        <v>292</v>
      </c>
      <c r="K588" s="8" t="s">
        <v>293</v>
      </c>
      <c r="L588" s="9" t="s">
        <v>294</v>
      </c>
      <c r="M588" s="8"/>
      <c r="N588" s="8" t="str">
        <f aca="true">IF(M588="","Active (per Notice 1)",IF(M588&lt;TODAY(),"Expired",IF(M588&lt;TODAY()+180,"Expiring Soon","Active")))</f>
        <v>Active (per Notice 1)</v>
      </c>
      <c r="O588" s="10" t="s">
        <v>295</v>
      </c>
      <c r="P588" s="8" t="s">
        <v>296</v>
      </c>
      <c r="Q588" s="8" t="n">
        <v>3.63</v>
      </c>
      <c r="R588" s="8" t="n">
        <v>4</v>
      </c>
      <c r="S588" s="11" t="n">
        <v>45015</v>
      </c>
      <c r="T588" s="8" t="str">
        <f aca="true">IF(S588="","",IF(EDATE(S588,60)&lt;TODAY(),"Expired",IF(EDATE(S588,60)&lt;TODAY()+180,"Expiring Soon","Valid")))</f>
        <v>Valid</v>
      </c>
      <c r="U588" s="8" t="str">
        <f aca="false">IF(P588="","",IF(P588="A++","Top Tier",IF(P588="A+","High",IF(P588="A","Strong",IF(LEFT(P588,1)="B","Acceptable",IF(LEFT(P588,1)="C","Below Avg","-"))))))</f>
        <v>Top Tier</v>
      </c>
      <c r="AC588" s="8" t="n">
        <v>76</v>
      </c>
      <c r="AD588" s="8" t="n">
        <v>46</v>
      </c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 t="n">
        <v>10</v>
      </c>
      <c r="AP588" s="8"/>
      <c r="AQ588" s="8"/>
      <c r="AR588" s="8"/>
      <c r="AS588" s="8"/>
      <c r="AT588" s="8"/>
      <c r="AU588" s="8"/>
    </row>
    <row r="589" customFormat="false" ht="15" hidden="false" customHeight="true" outlineLevel="0" collapsed="false">
      <c r="A589" s="8" t="n">
        <v>588</v>
      </c>
      <c r="B589" s="8" t="n">
        <v>86</v>
      </c>
      <c r="C589" s="8" t="s">
        <v>557</v>
      </c>
      <c r="D589" s="8" t="s">
        <v>286</v>
      </c>
      <c r="E589" s="9" t="s">
        <v>584</v>
      </c>
      <c r="F589" s="9" t="s">
        <v>587</v>
      </c>
      <c r="G589" s="8" t="s">
        <v>309</v>
      </c>
      <c r="H589" s="8" t="s">
        <v>302</v>
      </c>
      <c r="I589" s="8" t="s">
        <v>291</v>
      </c>
      <c r="J589" s="8" t="s">
        <v>292</v>
      </c>
      <c r="K589" s="8" t="s">
        <v>293</v>
      </c>
      <c r="L589" s="9" t="s">
        <v>294</v>
      </c>
      <c r="M589" s="8"/>
      <c r="N589" s="8" t="str">
        <f aca="true">IF(M589="","Active (per Notice 1)",IF(M589&lt;TODAY(),"Expired",IF(M589&lt;TODAY()+180,"Expiring Soon","Active")))</f>
        <v>Active (per Notice 1)</v>
      </c>
      <c r="O589" s="10" t="s">
        <v>295</v>
      </c>
      <c r="P589" s="8" t="s">
        <v>296</v>
      </c>
      <c r="Q589" s="8" t="n">
        <v>3.63</v>
      </c>
      <c r="R589" s="8" t="n">
        <v>4</v>
      </c>
      <c r="S589" s="11" t="n">
        <v>45015</v>
      </c>
      <c r="T589" s="8" t="str">
        <f aca="true">IF(S589="","",IF(EDATE(S589,60)&lt;TODAY(),"Expired",IF(EDATE(S589,60)&lt;TODAY()+180,"Expiring Soon","Valid")))</f>
        <v>Valid</v>
      </c>
      <c r="U589" s="8" t="str">
        <f aca="false">IF(P589="","",IF(P589="A++","Top Tier",IF(P589="A+","High",IF(P589="A","Strong",IF(LEFT(P589,1)="B","Acceptable",IF(LEFT(P589,1)="C","Below Avg","-"))))))</f>
        <v>Top Tier</v>
      </c>
      <c r="AC589" s="8" t="n">
        <v>76</v>
      </c>
      <c r="AD589" s="8" t="n">
        <v>46</v>
      </c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 t="n">
        <v>10</v>
      </c>
      <c r="AP589" s="8"/>
      <c r="AQ589" s="8"/>
      <c r="AR589" s="8"/>
      <c r="AS589" s="8"/>
      <c r="AT589" s="8"/>
      <c r="AU589" s="8"/>
    </row>
    <row r="590" customFormat="false" ht="15" hidden="false" customHeight="true" outlineLevel="0" collapsed="false">
      <c r="A590" s="8" t="n">
        <v>589</v>
      </c>
      <c r="B590" s="8" t="n">
        <v>86</v>
      </c>
      <c r="C590" s="8" t="s">
        <v>557</v>
      </c>
      <c r="D590" s="8" t="s">
        <v>286</v>
      </c>
      <c r="E590" s="9" t="s">
        <v>584</v>
      </c>
      <c r="F590" s="9" t="s">
        <v>588</v>
      </c>
      <c r="G590" s="8" t="s">
        <v>301</v>
      </c>
      <c r="H590" s="8" t="s">
        <v>302</v>
      </c>
      <c r="I590" s="8" t="s">
        <v>291</v>
      </c>
      <c r="J590" s="8" t="s">
        <v>292</v>
      </c>
      <c r="K590" s="8" t="s">
        <v>293</v>
      </c>
      <c r="L590" s="9" t="s">
        <v>294</v>
      </c>
      <c r="M590" s="8"/>
      <c r="N590" s="8" t="str">
        <f aca="true">IF(M590="","Active (per Notice 1)",IF(M590&lt;TODAY(),"Expired",IF(M590&lt;TODAY()+180,"Expiring Soon","Active")))</f>
        <v>Active (per Notice 1)</v>
      </c>
      <c r="O590" s="10" t="s">
        <v>295</v>
      </c>
      <c r="P590" s="8" t="s">
        <v>296</v>
      </c>
      <c r="Q590" s="8" t="n">
        <v>3.63</v>
      </c>
      <c r="R590" s="8" t="n">
        <v>4</v>
      </c>
      <c r="S590" s="11" t="n">
        <v>45015</v>
      </c>
      <c r="T590" s="8" t="str">
        <f aca="true">IF(S590="","",IF(EDATE(S590,60)&lt;TODAY(),"Expired",IF(EDATE(S590,60)&lt;TODAY()+180,"Expiring Soon","Valid")))</f>
        <v>Valid</v>
      </c>
      <c r="U590" s="8" t="str">
        <f aca="false">IF(P590="","",IF(P590="A++","Top Tier",IF(P590="A+","High",IF(P590="A","Strong",IF(LEFT(P590,1)="B","Acceptable",IF(LEFT(P590,1)="C","Below Avg","-"))))))</f>
        <v>Top Tier</v>
      </c>
      <c r="AC590" s="8" t="n">
        <v>76</v>
      </c>
      <c r="AD590" s="8" t="n">
        <v>46</v>
      </c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 t="n">
        <v>10</v>
      </c>
      <c r="AP590" s="8"/>
      <c r="AQ590" s="8"/>
      <c r="AR590" s="8"/>
      <c r="AS590" s="8"/>
      <c r="AT590" s="8"/>
      <c r="AU590" s="8"/>
    </row>
    <row r="591" customFormat="false" ht="15" hidden="false" customHeight="true" outlineLevel="0" collapsed="false">
      <c r="A591" s="8" t="n">
        <v>590</v>
      </c>
      <c r="B591" s="8" t="n">
        <v>86</v>
      </c>
      <c r="C591" s="8" t="s">
        <v>557</v>
      </c>
      <c r="D591" s="8" t="s">
        <v>286</v>
      </c>
      <c r="E591" s="9" t="s">
        <v>584</v>
      </c>
      <c r="F591" s="9" t="s">
        <v>303</v>
      </c>
      <c r="G591" s="8" t="s">
        <v>304</v>
      </c>
      <c r="H591" s="8" t="s">
        <v>302</v>
      </c>
      <c r="I591" s="8" t="s">
        <v>291</v>
      </c>
      <c r="J591" s="8" t="s">
        <v>292</v>
      </c>
      <c r="K591" s="8" t="s">
        <v>293</v>
      </c>
      <c r="L591" s="9" t="s">
        <v>294</v>
      </c>
      <c r="M591" s="8"/>
      <c r="N591" s="8" t="str">
        <f aca="true">IF(M591="","Active (per Notice 1)",IF(M591&lt;TODAY(),"Expired",IF(M591&lt;TODAY()+180,"Expiring Soon","Active")))</f>
        <v>Active (per Notice 1)</v>
      </c>
      <c r="O591" s="12" t="s">
        <v>305</v>
      </c>
      <c r="P591" s="8" t="s">
        <v>296</v>
      </c>
      <c r="Q591" s="8" t="n">
        <v>3.63</v>
      </c>
      <c r="R591" s="8" t="n">
        <v>4</v>
      </c>
      <c r="S591" s="11" t="n">
        <v>45015</v>
      </c>
      <c r="T591" s="8" t="str">
        <f aca="true">IF(S591="","",IF(EDATE(S591,60)&lt;TODAY(),"Expired",IF(EDATE(S591,60)&lt;TODAY()+180,"Expiring Soon","Valid")))</f>
        <v>Valid</v>
      </c>
      <c r="U591" s="8" t="str">
        <f aca="false">IF(P591="","",IF(P591="A++","Top Tier",IF(P591="A+","High",IF(P591="A","Strong",IF(LEFT(P591,1)="B","Acceptable",IF(LEFT(P591,1)="C","Below Avg","-"))))))</f>
        <v>Top Tier</v>
      </c>
      <c r="AC591" s="8" t="n">
        <v>76</v>
      </c>
      <c r="AD591" s="8" t="n">
        <v>46</v>
      </c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 t="n">
        <v>10</v>
      </c>
      <c r="AP591" s="8"/>
      <c r="AQ591" s="8"/>
      <c r="AR591" s="8"/>
      <c r="AS591" s="8"/>
      <c r="AT591" s="8"/>
      <c r="AU591" s="8"/>
    </row>
    <row r="592" customFormat="false" ht="15" hidden="false" customHeight="true" outlineLevel="0" collapsed="false">
      <c r="A592" s="8" t="n">
        <v>591</v>
      </c>
      <c r="B592" s="8" t="n">
        <v>86</v>
      </c>
      <c r="C592" s="8" t="s">
        <v>557</v>
      </c>
      <c r="D592" s="8" t="s">
        <v>286</v>
      </c>
      <c r="E592" s="9" t="s">
        <v>584</v>
      </c>
      <c r="F592" s="9" t="s">
        <v>418</v>
      </c>
      <c r="G592" s="8" t="s">
        <v>307</v>
      </c>
      <c r="H592" s="8" t="s">
        <v>302</v>
      </c>
      <c r="I592" s="8" t="s">
        <v>291</v>
      </c>
      <c r="J592" s="8" t="s">
        <v>292</v>
      </c>
      <c r="K592" s="8" t="s">
        <v>293</v>
      </c>
      <c r="L592" s="9" t="s">
        <v>294</v>
      </c>
      <c r="M592" s="8"/>
      <c r="N592" s="8" t="str">
        <f aca="true">IF(M592="","Active (per Notice 1)",IF(M592&lt;TODAY(),"Expired",IF(M592&lt;TODAY()+180,"Expiring Soon","Active")))</f>
        <v>Active (per Notice 1)</v>
      </c>
      <c r="O592" s="12" t="s">
        <v>305</v>
      </c>
      <c r="P592" s="8" t="s">
        <v>296</v>
      </c>
      <c r="Q592" s="8" t="n">
        <v>3.63</v>
      </c>
      <c r="R592" s="8" t="n">
        <v>4</v>
      </c>
      <c r="S592" s="11" t="n">
        <v>45015</v>
      </c>
      <c r="T592" s="8" t="str">
        <f aca="true">IF(S592="","",IF(EDATE(S592,60)&lt;TODAY(),"Expired",IF(EDATE(S592,60)&lt;TODAY()+180,"Expiring Soon","Valid")))</f>
        <v>Valid</v>
      </c>
      <c r="U592" s="8" t="str">
        <f aca="false">IF(P592="","",IF(P592="A++","Top Tier",IF(P592="A+","High",IF(P592="A","Strong",IF(LEFT(P592,1)="B","Acceptable",IF(LEFT(P592,1)="C","Below Avg","-"))))))</f>
        <v>Top Tier</v>
      </c>
      <c r="AC592" s="8" t="n">
        <v>76</v>
      </c>
      <c r="AD592" s="8" t="n">
        <v>46</v>
      </c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 t="n">
        <v>10</v>
      </c>
      <c r="AP592" s="8"/>
      <c r="AQ592" s="8"/>
      <c r="AR592" s="8"/>
      <c r="AS592" s="8"/>
      <c r="AT592" s="8"/>
      <c r="AU592" s="8"/>
    </row>
    <row r="593" customFormat="false" ht="15" hidden="false" customHeight="true" outlineLevel="0" collapsed="false">
      <c r="A593" s="8" t="n">
        <v>592</v>
      </c>
      <c r="B593" s="8" t="n">
        <v>87</v>
      </c>
      <c r="C593" s="8" t="s">
        <v>557</v>
      </c>
      <c r="D593" s="8" t="s">
        <v>315</v>
      </c>
      <c r="E593" s="9" t="s">
        <v>589</v>
      </c>
      <c r="F593" s="9" t="s">
        <v>359</v>
      </c>
      <c r="G593" s="8" t="s">
        <v>289</v>
      </c>
      <c r="H593" s="8" t="s">
        <v>290</v>
      </c>
      <c r="I593" s="8" t="s">
        <v>291</v>
      </c>
      <c r="J593" s="8" t="s">
        <v>292</v>
      </c>
      <c r="K593" s="8" t="s">
        <v>293</v>
      </c>
      <c r="L593" s="9" t="s">
        <v>294</v>
      </c>
      <c r="M593" s="8"/>
      <c r="N593" s="8" t="str">
        <f aca="true">IF(M593="","Active (per Notice 1)",IF(M593&lt;TODAY(),"Expired",IF(M593&lt;TODAY()+180,"Expiring Soon","Active")))</f>
        <v>Active (per Notice 1)</v>
      </c>
      <c r="O593" s="10" t="s">
        <v>295</v>
      </c>
      <c r="P593" s="8" t="s">
        <v>296</v>
      </c>
      <c r="Q593" s="8" t="n">
        <v>3.66</v>
      </c>
      <c r="R593" s="8" t="n">
        <v>4</v>
      </c>
      <c r="S593" s="11" t="n">
        <v>44439</v>
      </c>
      <c r="T593" s="8" t="str">
        <f aca="true">IF(S593="","",IF(EDATE(S593,60)&lt;TODAY(),"Expired",IF(EDATE(S593,60)&lt;TODAY()+180,"Expiring Soon","Valid")))</f>
        <v>Expiring Soon</v>
      </c>
      <c r="U593" s="8" t="str">
        <f aca="false">IF(P593="","",IF(P593="A++","Top Tier",IF(P593="A+","High",IF(P593="A","Strong",IF(LEFT(P593,1)="B","Acceptable",IF(LEFT(P593,1)="C","Below Avg","-"))))))</f>
        <v>Top Tier</v>
      </c>
      <c r="V593" s="8" t="s">
        <v>440</v>
      </c>
      <c r="AC593" s="8" t="n">
        <v>21</v>
      </c>
      <c r="AD593" s="8" t="n">
        <v>14</v>
      </c>
      <c r="AE593" s="8" t="n">
        <v>14</v>
      </c>
      <c r="AF593" s="8" t="n">
        <v>16</v>
      </c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</row>
    <row r="594" customFormat="false" ht="15" hidden="false" customHeight="true" outlineLevel="0" collapsed="false">
      <c r="A594" s="8" t="n">
        <v>593</v>
      </c>
      <c r="B594" s="8" t="n">
        <v>87</v>
      </c>
      <c r="C594" s="8" t="s">
        <v>557</v>
      </c>
      <c r="D594" s="8" t="s">
        <v>315</v>
      </c>
      <c r="E594" s="9" t="s">
        <v>589</v>
      </c>
      <c r="F594" s="9" t="s">
        <v>306</v>
      </c>
      <c r="G594" s="8" t="s">
        <v>307</v>
      </c>
      <c r="H594" s="8" t="s">
        <v>302</v>
      </c>
      <c r="I594" s="8" t="s">
        <v>291</v>
      </c>
      <c r="J594" s="8" t="s">
        <v>292</v>
      </c>
      <c r="K594" s="8" t="s">
        <v>293</v>
      </c>
      <c r="L594" s="9" t="s">
        <v>294</v>
      </c>
      <c r="M594" s="8"/>
      <c r="N594" s="8" t="str">
        <f aca="true">IF(M594="","Active (per Notice 1)",IF(M594&lt;TODAY(),"Expired",IF(M594&lt;TODAY()+180,"Expiring Soon","Active")))</f>
        <v>Active (per Notice 1)</v>
      </c>
      <c r="O594" s="13" t="s">
        <v>292</v>
      </c>
      <c r="P594" s="8" t="s">
        <v>296</v>
      </c>
      <c r="Q594" s="8" t="n">
        <v>3.66</v>
      </c>
      <c r="R594" s="8" t="n">
        <v>4</v>
      </c>
      <c r="S594" s="11" t="n">
        <v>44439</v>
      </c>
      <c r="T594" s="8" t="str">
        <f aca="true">IF(S594="","",IF(EDATE(S594,60)&lt;TODAY(),"Expired",IF(EDATE(S594,60)&lt;TODAY()+180,"Expiring Soon","Valid")))</f>
        <v>Expiring Soon</v>
      </c>
      <c r="U594" s="8" t="str">
        <f aca="false">IF(P594="","",IF(P594="A++","Top Tier",IF(P594="A+","High",IF(P594="A","Strong",IF(LEFT(P594,1)="B","Acceptable",IF(LEFT(P594,1)="C","Below Avg","-"))))))</f>
        <v>Top Tier</v>
      </c>
      <c r="V594" s="8" t="s">
        <v>440</v>
      </c>
      <c r="AC594" s="8" t="n">
        <v>21</v>
      </c>
      <c r="AD594" s="8" t="n">
        <v>14</v>
      </c>
      <c r="AE594" s="8" t="n">
        <v>14</v>
      </c>
      <c r="AF594" s="8" t="n">
        <v>16</v>
      </c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</row>
    <row r="595" customFormat="false" ht="15" hidden="false" customHeight="true" outlineLevel="0" collapsed="false">
      <c r="A595" s="8" t="n">
        <v>594</v>
      </c>
      <c r="B595" s="8" t="n">
        <v>87</v>
      </c>
      <c r="C595" s="8" t="s">
        <v>557</v>
      </c>
      <c r="D595" s="8" t="s">
        <v>315</v>
      </c>
      <c r="E595" s="9" t="s">
        <v>589</v>
      </c>
      <c r="F595" s="9" t="s">
        <v>303</v>
      </c>
      <c r="G595" s="8" t="s">
        <v>304</v>
      </c>
      <c r="H595" s="8" t="s">
        <v>302</v>
      </c>
      <c r="I595" s="8" t="s">
        <v>291</v>
      </c>
      <c r="J595" s="8" t="s">
        <v>292</v>
      </c>
      <c r="K595" s="8" t="s">
        <v>293</v>
      </c>
      <c r="L595" s="9" t="s">
        <v>294</v>
      </c>
      <c r="M595" s="8"/>
      <c r="N595" s="8" t="str">
        <f aca="true">IF(M595="","Active (per Notice 1)",IF(M595&lt;TODAY(),"Expired",IF(M595&lt;TODAY()+180,"Expiring Soon","Active")))</f>
        <v>Active (per Notice 1)</v>
      </c>
      <c r="O595" s="13" t="s">
        <v>292</v>
      </c>
      <c r="P595" s="8" t="s">
        <v>296</v>
      </c>
      <c r="Q595" s="8" t="n">
        <v>3.66</v>
      </c>
      <c r="R595" s="8" t="n">
        <v>4</v>
      </c>
      <c r="S595" s="11" t="n">
        <v>44439</v>
      </c>
      <c r="T595" s="8" t="str">
        <f aca="true">IF(S595="","",IF(EDATE(S595,60)&lt;TODAY(),"Expired",IF(EDATE(S595,60)&lt;TODAY()+180,"Expiring Soon","Valid")))</f>
        <v>Expiring Soon</v>
      </c>
      <c r="U595" s="8" t="str">
        <f aca="false">IF(P595="","",IF(P595="A++","Top Tier",IF(P595="A+","High",IF(P595="A","Strong",IF(LEFT(P595,1)="B","Acceptable",IF(LEFT(P595,1)="C","Below Avg","-"))))))</f>
        <v>Top Tier</v>
      </c>
      <c r="V595" s="8" t="s">
        <v>380</v>
      </c>
      <c r="W595" s="9" t="s">
        <v>590</v>
      </c>
      <c r="X595" s="14" t="s">
        <v>591</v>
      </c>
      <c r="AC595" s="8" t="n">
        <v>21</v>
      </c>
      <c r="AD595" s="8" t="n">
        <v>14</v>
      </c>
      <c r="AE595" s="8" t="n">
        <v>14</v>
      </c>
      <c r="AF595" s="8" t="n">
        <v>16</v>
      </c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</row>
    <row r="596" customFormat="false" ht="15" hidden="false" customHeight="true" outlineLevel="0" collapsed="false">
      <c r="A596" s="8" t="n">
        <v>595</v>
      </c>
      <c r="B596" s="8" t="n">
        <v>87</v>
      </c>
      <c r="C596" s="8" t="s">
        <v>557</v>
      </c>
      <c r="D596" s="8" t="s">
        <v>315</v>
      </c>
      <c r="E596" s="9" t="s">
        <v>589</v>
      </c>
      <c r="F596" s="9" t="s">
        <v>401</v>
      </c>
      <c r="G596" s="8" t="s">
        <v>386</v>
      </c>
      <c r="H596" s="8" t="s">
        <v>302</v>
      </c>
      <c r="I596" s="8" t="s">
        <v>291</v>
      </c>
      <c r="J596" s="8" t="s">
        <v>292</v>
      </c>
      <c r="K596" s="8" t="s">
        <v>293</v>
      </c>
      <c r="L596" s="9" t="s">
        <v>294</v>
      </c>
      <c r="M596" s="8"/>
      <c r="N596" s="8" t="str">
        <f aca="true">IF(M596="","Active (per Notice 1)",IF(M596&lt;TODAY(),"Expired",IF(M596&lt;TODAY()+180,"Expiring Soon","Active")))</f>
        <v>Active (per Notice 1)</v>
      </c>
      <c r="O596" s="10" t="s">
        <v>295</v>
      </c>
      <c r="P596" s="8" t="s">
        <v>296</v>
      </c>
      <c r="Q596" s="8" t="n">
        <v>3.66</v>
      </c>
      <c r="R596" s="8" t="n">
        <v>4</v>
      </c>
      <c r="S596" s="11" t="n">
        <v>44439</v>
      </c>
      <c r="T596" s="8" t="str">
        <f aca="true">IF(S596="","",IF(EDATE(S596,60)&lt;TODAY(),"Expired",IF(EDATE(S596,60)&lt;TODAY()+180,"Expiring Soon","Valid")))</f>
        <v>Expiring Soon</v>
      </c>
      <c r="U596" s="8" t="str">
        <f aca="false">IF(P596="","",IF(P596="A++","Top Tier",IF(P596="A+","High",IF(P596="A","Strong",IF(LEFT(P596,1)="B","Acceptable",IF(LEFT(P596,1)="C","Below Avg","-"))))))</f>
        <v>Top Tier</v>
      </c>
      <c r="V596" s="8" t="s">
        <v>440</v>
      </c>
      <c r="AC596" s="8" t="n">
        <v>21</v>
      </c>
      <c r="AD596" s="8" t="n">
        <v>14</v>
      </c>
      <c r="AE596" s="8" t="n">
        <v>14</v>
      </c>
      <c r="AF596" s="8" t="n">
        <v>16</v>
      </c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</row>
    <row r="597" customFormat="false" ht="15" hidden="false" customHeight="true" outlineLevel="0" collapsed="false">
      <c r="A597" s="8" t="n">
        <v>596</v>
      </c>
      <c r="B597" s="8" t="n">
        <v>88</v>
      </c>
      <c r="C597" s="8" t="s">
        <v>557</v>
      </c>
      <c r="D597" s="8" t="s">
        <v>286</v>
      </c>
      <c r="E597" s="9" t="s">
        <v>592</v>
      </c>
      <c r="F597" s="9" t="s">
        <v>299</v>
      </c>
      <c r="G597" s="8" t="s">
        <v>289</v>
      </c>
      <c r="H597" s="8" t="s">
        <v>290</v>
      </c>
      <c r="I597" s="8" t="s">
        <v>291</v>
      </c>
      <c r="J597" s="8" t="s">
        <v>292</v>
      </c>
      <c r="K597" s="8" t="s">
        <v>293</v>
      </c>
      <c r="L597" s="9" t="s">
        <v>294</v>
      </c>
      <c r="M597" s="8"/>
      <c r="N597" s="8" t="str">
        <f aca="true">IF(M597="","Active (per Notice 1)",IF(M597&lt;TODAY(),"Expired",IF(M597&lt;TODAY()+180,"Expiring Soon","Active")))</f>
        <v>Active (per Notice 1)</v>
      </c>
      <c r="O597" s="10" t="s">
        <v>295</v>
      </c>
      <c r="P597" s="8" t="s">
        <v>327</v>
      </c>
      <c r="Q597" s="8" t="n">
        <v>3.46</v>
      </c>
      <c r="R597" s="8" t="n">
        <v>4</v>
      </c>
      <c r="S597" s="11" t="n">
        <v>45828</v>
      </c>
      <c r="T597" s="8" t="str">
        <f aca="true">IF(S597="","",IF(EDATE(S597,60)&lt;TODAY(),"Expired",IF(EDATE(S597,60)&lt;TODAY()+180,"Expiring Soon","Valid")))</f>
        <v>Valid</v>
      </c>
      <c r="U597" s="8" t="str">
        <f aca="false">IF(P597="","",IF(P597="A++","Top Tier",IF(P597="A+","High",IF(P597="A","Strong",IF(LEFT(P597,1)="B","Acceptable",IF(LEFT(P597,1)="C","Below Avg","-"))))))</f>
        <v>High</v>
      </c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 t="n">
        <v>33</v>
      </c>
      <c r="AP597" s="8"/>
      <c r="AQ597" s="8"/>
      <c r="AR597" s="8"/>
      <c r="AS597" s="8"/>
      <c r="AT597" s="8"/>
      <c r="AU597" s="8"/>
    </row>
    <row r="598" customFormat="false" ht="15" hidden="false" customHeight="true" outlineLevel="0" collapsed="false">
      <c r="A598" s="8" t="n">
        <v>597</v>
      </c>
      <c r="B598" s="8" t="n">
        <v>88</v>
      </c>
      <c r="C598" s="8" t="s">
        <v>557</v>
      </c>
      <c r="D598" s="8" t="s">
        <v>286</v>
      </c>
      <c r="E598" s="9" t="s">
        <v>592</v>
      </c>
      <c r="F598" s="9" t="s">
        <v>326</v>
      </c>
      <c r="G598" s="8" t="s">
        <v>318</v>
      </c>
      <c r="H598" s="8" t="s">
        <v>290</v>
      </c>
      <c r="I598" s="8" t="s">
        <v>291</v>
      </c>
      <c r="J598" s="8" t="s">
        <v>292</v>
      </c>
      <c r="K598" s="8" t="s">
        <v>293</v>
      </c>
      <c r="L598" s="9" t="s">
        <v>294</v>
      </c>
      <c r="M598" s="8"/>
      <c r="N598" s="8" t="str">
        <f aca="true">IF(M598="","Active (per Notice 1)",IF(M598&lt;TODAY(),"Expired",IF(M598&lt;TODAY()+180,"Expiring Soon","Active")))</f>
        <v>Active (per Notice 1)</v>
      </c>
      <c r="O598" s="12" t="s">
        <v>305</v>
      </c>
      <c r="P598" s="8" t="s">
        <v>327</v>
      </c>
      <c r="Q598" s="8" t="n">
        <v>3.46</v>
      </c>
      <c r="R598" s="8" t="n">
        <v>4</v>
      </c>
      <c r="S598" s="11" t="n">
        <v>45828</v>
      </c>
      <c r="T598" s="8" t="str">
        <f aca="true">IF(S598="","",IF(EDATE(S598,60)&lt;TODAY(),"Expired",IF(EDATE(S598,60)&lt;TODAY()+180,"Expiring Soon","Valid")))</f>
        <v>Valid</v>
      </c>
      <c r="U598" s="8" t="str">
        <f aca="false">IF(P598="","",IF(P598="A++","Top Tier",IF(P598="A+","High",IF(P598="A","Strong",IF(LEFT(P598,1)="B","Acceptable",IF(LEFT(P598,1)="C","Below Avg","-"))))))</f>
        <v>High</v>
      </c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 t="n">
        <v>33</v>
      </c>
      <c r="AP598" s="8"/>
      <c r="AQ598" s="8"/>
      <c r="AR598" s="8"/>
      <c r="AS598" s="8"/>
      <c r="AT598" s="8"/>
      <c r="AU598" s="8"/>
    </row>
    <row r="599" customFormat="false" ht="15" hidden="false" customHeight="true" outlineLevel="0" collapsed="false">
      <c r="A599" s="8" t="n">
        <v>598</v>
      </c>
      <c r="B599" s="8" t="n">
        <v>88</v>
      </c>
      <c r="C599" s="8" t="s">
        <v>557</v>
      </c>
      <c r="D599" s="8" t="s">
        <v>286</v>
      </c>
      <c r="E599" s="9" t="s">
        <v>592</v>
      </c>
      <c r="F599" s="9" t="s">
        <v>384</v>
      </c>
      <c r="G599" s="8" t="s">
        <v>298</v>
      </c>
      <c r="H599" s="8" t="s">
        <v>290</v>
      </c>
      <c r="I599" s="8" t="s">
        <v>291</v>
      </c>
      <c r="J599" s="8" t="s">
        <v>292</v>
      </c>
      <c r="K599" s="8" t="s">
        <v>293</v>
      </c>
      <c r="L599" s="9" t="s">
        <v>294</v>
      </c>
      <c r="M599" s="8"/>
      <c r="N599" s="8" t="str">
        <f aca="true">IF(M599="","Active (per Notice 1)",IF(M599&lt;TODAY(),"Expired",IF(M599&lt;TODAY()+180,"Expiring Soon","Active")))</f>
        <v>Active (per Notice 1)</v>
      </c>
      <c r="O599" s="10" t="s">
        <v>295</v>
      </c>
      <c r="P599" s="8" t="s">
        <v>327</v>
      </c>
      <c r="Q599" s="8" t="n">
        <v>3.46</v>
      </c>
      <c r="R599" s="8" t="n">
        <v>4</v>
      </c>
      <c r="S599" s="11" t="n">
        <v>45828</v>
      </c>
      <c r="T599" s="8" t="str">
        <f aca="true">IF(S599="","",IF(EDATE(S599,60)&lt;TODAY(),"Expired",IF(EDATE(S599,60)&lt;TODAY()+180,"Expiring Soon","Valid")))</f>
        <v>Valid</v>
      </c>
      <c r="U599" s="8" t="str">
        <f aca="false">IF(P599="","",IF(P599="A++","Top Tier",IF(P599="A+","High",IF(P599="A","Strong",IF(LEFT(P599,1)="B","Acceptable",IF(LEFT(P599,1)="C","Below Avg","-"))))))</f>
        <v>High</v>
      </c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 t="n">
        <v>33</v>
      </c>
      <c r="AP599" s="8"/>
      <c r="AQ599" s="8"/>
      <c r="AR599" s="8"/>
      <c r="AS599" s="8"/>
      <c r="AT599" s="8"/>
      <c r="AU599" s="8"/>
    </row>
    <row r="600" customFormat="false" ht="15" hidden="false" customHeight="true" outlineLevel="0" collapsed="false">
      <c r="A600" s="8" t="n">
        <v>599</v>
      </c>
      <c r="B600" s="8" t="n">
        <v>88</v>
      </c>
      <c r="C600" s="8" t="s">
        <v>557</v>
      </c>
      <c r="D600" s="8" t="s">
        <v>286</v>
      </c>
      <c r="E600" s="9" t="s">
        <v>592</v>
      </c>
      <c r="F600" s="9" t="s">
        <v>560</v>
      </c>
      <c r="G600" s="8" t="s">
        <v>301</v>
      </c>
      <c r="H600" s="8" t="s">
        <v>302</v>
      </c>
      <c r="I600" s="8" t="s">
        <v>291</v>
      </c>
      <c r="J600" s="8" t="s">
        <v>292</v>
      </c>
      <c r="K600" s="8" t="s">
        <v>293</v>
      </c>
      <c r="L600" s="9" t="s">
        <v>294</v>
      </c>
      <c r="M600" s="8"/>
      <c r="N600" s="8" t="str">
        <f aca="true">IF(M600="","Active (per Notice 1)",IF(M600&lt;TODAY(),"Expired",IF(M600&lt;TODAY()+180,"Expiring Soon","Active")))</f>
        <v>Active (per Notice 1)</v>
      </c>
      <c r="O600" s="10" t="s">
        <v>295</v>
      </c>
      <c r="P600" s="8" t="s">
        <v>327</v>
      </c>
      <c r="Q600" s="8" t="n">
        <v>3.46</v>
      </c>
      <c r="R600" s="8" t="n">
        <v>4</v>
      </c>
      <c r="S600" s="11" t="n">
        <v>45828</v>
      </c>
      <c r="T600" s="8" t="str">
        <f aca="true">IF(S600="","",IF(EDATE(S600,60)&lt;TODAY(),"Expired",IF(EDATE(S600,60)&lt;TODAY()+180,"Expiring Soon","Valid")))</f>
        <v>Valid</v>
      </c>
      <c r="U600" s="8" t="str">
        <f aca="false">IF(P600="","",IF(P600="A++","Top Tier",IF(P600="A+","High",IF(P600="A","Strong",IF(LEFT(P600,1)="B","Acceptable",IF(LEFT(P600,1)="C","Below Avg","-"))))))</f>
        <v>High</v>
      </c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 t="n">
        <v>33</v>
      </c>
      <c r="AP600" s="8"/>
      <c r="AQ600" s="8"/>
      <c r="AR600" s="8"/>
      <c r="AS600" s="8"/>
      <c r="AT600" s="8"/>
      <c r="AU600" s="8"/>
    </row>
    <row r="601" customFormat="false" ht="15" hidden="false" customHeight="true" outlineLevel="0" collapsed="false">
      <c r="A601" s="8" t="n">
        <v>600</v>
      </c>
      <c r="B601" s="8" t="n">
        <v>88</v>
      </c>
      <c r="C601" s="8" t="s">
        <v>557</v>
      </c>
      <c r="D601" s="8" t="s">
        <v>286</v>
      </c>
      <c r="E601" s="9" t="s">
        <v>592</v>
      </c>
      <c r="F601" s="9" t="s">
        <v>312</v>
      </c>
      <c r="G601" s="8" t="s">
        <v>301</v>
      </c>
      <c r="H601" s="8" t="s">
        <v>302</v>
      </c>
      <c r="I601" s="8" t="s">
        <v>291</v>
      </c>
      <c r="J601" s="8" t="s">
        <v>292</v>
      </c>
      <c r="K601" s="8" t="s">
        <v>293</v>
      </c>
      <c r="L601" s="9" t="s">
        <v>294</v>
      </c>
      <c r="M601" s="8"/>
      <c r="N601" s="8" t="str">
        <f aca="true">IF(M601="","Active (per Notice 1)",IF(M601&lt;TODAY(),"Expired",IF(M601&lt;TODAY()+180,"Expiring Soon","Active")))</f>
        <v>Active (per Notice 1)</v>
      </c>
      <c r="O601" s="10" t="s">
        <v>295</v>
      </c>
      <c r="P601" s="8" t="s">
        <v>327</v>
      </c>
      <c r="Q601" s="8" t="n">
        <v>3.46</v>
      </c>
      <c r="R601" s="8" t="n">
        <v>4</v>
      </c>
      <c r="S601" s="11" t="n">
        <v>45828</v>
      </c>
      <c r="T601" s="8" t="str">
        <f aca="true">IF(S601="","",IF(EDATE(S601,60)&lt;TODAY(),"Expired",IF(EDATE(S601,60)&lt;TODAY()+180,"Expiring Soon","Valid")))</f>
        <v>Valid</v>
      </c>
      <c r="U601" s="8" t="str">
        <f aca="false">IF(P601="","",IF(P601="A++","Top Tier",IF(P601="A+","High",IF(P601="A","Strong",IF(LEFT(P601,1)="B","Acceptable",IF(LEFT(P601,1)="C","Below Avg","-"))))))</f>
        <v>High</v>
      </c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 t="n">
        <v>33</v>
      </c>
      <c r="AP601" s="8"/>
      <c r="AQ601" s="8"/>
      <c r="AR601" s="8"/>
      <c r="AS601" s="8"/>
      <c r="AT601" s="8"/>
      <c r="AU601" s="8"/>
    </row>
    <row r="602" customFormat="false" ht="15" hidden="false" customHeight="true" outlineLevel="0" collapsed="false">
      <c r="A602" s="8" t="n">
        <v>601</v>
      </c>
      <c r="B602" s="8" t="n">
        <v>88</v>
      </c>
      <c r="C602" s="8" t="s">
        <v>557</v>
      </c>
      <c r="D602" s="8" t="s">
        <v>286</v>
      </c>
      <c r="E602" s="9" t="s">
        <v>592</v>
      </c>
      <c r="F602" s="9" t="s">
        <v>347</v>
      </c>
      <c r="G602" s="8" t="s">
        <v>301</v>
      </c>
      <c r="H602" s="8" t="s">
        <v>302</v>
      </c>
      <c r="I602" s="8" t="s">
        <v>291</v>
      </c>
      <c r="J602" s="8" t="s">
        <v>292</v>
      </c>
      <c r="K602" s="8" t="s">
        <v>293</v>
      </c>
      <c r="L602" s="9" t="s">
        <v>294</v>
      </c>
      <c r="M602" s="8"/>
      <c r="N602" s="8" t="str">
        <f aca="true">IF(M602="","Active (per Notice 1)",IF(M602&lt;TODAY(),"Expired",IF(M602&lt;TODAY()+180,"Expiring Soon","Active")))</f>
        <v>Active (per Notice 1)</v>
      </c>
      <c r="O602" s="10" t="s">
        <v>295</v>
      </c>
      <c r="P602" s="8" t="s">
        <v>327</v>
      </c>
      <c r="Q602" s="8" t="n">
        <v>3.46</v>
      </c>
      <c r="R602" s="8" t="n">
        <v>4</v>
      </c>
      <c r="S602" s="11" t="n">
        <v>45828</v>
      </c>
      <c r="T602" s="8" t="str">
        <f aca="true">IF(S602="","",IF(EDATE(S602,60)&lt;TODAY(),"Expired",IF(EDATE(S602,60)&lt;TODAY()+180,"Expiring Soon","Valid")))</f>
        <v>Valid</v>
      </c>
      <c r="U602" s="8" t="str">
        <f aca="false">IF(P602="","",IF(P602="A++","Top Tier",IF(P602="A+","High",IF(P602="A","Strong",IF(LEFT(P602,1)="B","Acceptable",IF(LEFT(P602,1)="C","Below Avg","-"))))))</f>
        <v>High</v>
      </c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 t="n">
        <v>33</v>
      </c>
      <c r="AP602" s="8"/>
      <c r="AQ602" s="8"/>
      <c r="AR602" s="8"/>
      <c r="AS602" s="8"/>
      <c r="AT602" s="8"/>
      <c r="AU602" s="8"/>
    </row>
    <row r="603" customFormat="false" ht="15" hidden="false" customHeight="true" outlineLevel="0" collapsed="false">
      <c r="A603" s="8" t="n">
        <v>602</v>
      </c>
      <c r="B603" s="8" t="n">
        <v>88</v>
      </c>
      <c r="C603" s="8" t="s">
        <v>557</v>
      </c>
      <c r="D603" s="8" t="s">
        <v>286</v>
      </c>
      <c r="E603" s="9" t="s">
        <v>592</v>
      </c>
      <c r="F603" s="9" t="s">
        <v>311</v>
      </c>
      <c r="G603" s="8" t="s">
        <v>301</v>
      </c>
      <c r="H603" s="8" t="s">
        <v>302</v>
      </c>
      <c r="I603" s="8" t="s">
        <v>291</v>
      </c>
      <c r="J603" s="8" t="s">
        <v>292</v>
      </c>
      <c r="K603" s="8" t="s">
        <v>293</v>
      </c>
      <c r="L603" s="9" t="s">
        <v>294</v>
      </c>
      <c r="M603" s="8"/>
      <c r="N603" s="8" t="str">
        <f aca="true">IF(M603="","Active (per Notice 1)",IF(M603&lt;TODAY(),"Expired",IF(M603&lt;TODAY()+180,"Expiring Soon","Active")))</f>
        <v>Active (per Notice 1)</v>
      </c>
      <c r="O603" s="10" t="s">
        <v>295</v>
      </c>
      <c r="P603" s="8" t="s">
        <v>327</v>
      </c>
      <c r="Q603" s="8" t="n">
        <v>3.46</v>
      </c>
      <c r="R603" s="8" t="n">
        <v>4</v>
      </c>
      <c r="S603" s="11" t="n">
        <v>45828</v>
      </c>
      <c r="T603" s="8" t="str">
        <f aca="true">IF(S603="","",IF(EDATE(S603,60)&lt;TODAY(),"Expired",IF(EDATE(S603,60)&lt;TODAY()+180,"Expiring Soon","Valid")))</f>
        <v>Valid</v>
      </c>
      <c r="U603" s="8" t="str">
        <f aca="false">IF(P603="","",IF(P603="A++","Top Tier",IF(P603="A+","High",IF(P603="A","Strong",IF(LEFT(P603,1)="B","Acceptable",IF(LEFT(P603,1)="C","Below Avg","-"))))))</f>
        <v>High</v>
      </c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 t="n">
        <v>33</v>
      </c>
      <c r="AP603" s="8"/>
      <c r="AQ603" s="8"/>
      <c r="AR603" s="8"/>
      <c r="AS603" s="8"/>
      <c r="AT603" s="8"/>
      <c r="AU603" s="8"/>
    </row>
    <row r="604" customFormat="false" ht="15" hidden="false" customHeight="true" outlineLevel="0" collapsed="false">
      <c r="A604" s="8" t="n">
        <v>603</v>
      </c>
      <c r="B604" s="8" t="n">
        <v>88</v>
      </c>
      <c r="C604" s="8" t="s">
        <v>557</v>
      </c>
      <c r="D604" s="8" t="s">
        <v>286</v>
      </c>
      <c r="E604" s="9" t="s">
        <v>592</v>
      </c>
      <c r="F604" s="9" t="s">
        <v>308</v>
      </c>
      <c r="G604" s="8" t="s">
        <v>309</v>
      </c>
      <c r="H604" s="8" t="s">
        <v>302</v>
      </c>
      <c r="I604" s="8" t="s">
        <v>291</v>
      </c>
      <c r="J604" s="8" t="s">
        <v>292</v>
      </c>
      <c r="K604" s="8" t="s">
        <v>293</v>
      </c>
      <c r="L604" s="9" t="s">
        <v>294</v>
      </c>
      <c r="M604" s="8"/>
      <c r="N604" s="8" t="str">
        <f aca="true">IF(M604="","Active (per Notice 1)",IF(M604&lt;TODAY(),"Expired",IF(M604&lt;TODAY()+180,"Expiring Soon","Active")))</f>
        <v>Active (per Notice 1)</v>
      </c>
      <c r="O604" s="10" t="s">
        <v>295</v>
      </c>
      <c r="P604" s="8" t="s">
        <v>327</v>
      </c>
      <c r="Q604" s="8" t="n">
        <v>3.46</v>
      </c>
      <c r="R604" s="8" t="n">
        <v>4</v>
      </c>
      <c r="S604" s="11" t="n">
        <v>45828</v>
      </c>
      <c r="T604" s="8" t="str">
        <f aca="true">IF(S604="","",IF(EDATE(S604,60)&lt;TODAY(),"Expired",IF(EDATE(S604,60)&lt;TODAY()+180,"Expiring Soon","Valid")))</f>
        <v>Valid</v>
      </c>
      <c r="U604" s="8" t="str">
        <f aca="false">IF(P604="","",IF(P604="A++","Top Tier",IF(P604="A+","High",IF(P604="A","Strong",IF(LEFT(P604,1)="B","Acceptable",IF(LEFT(P604,1)="C","Below Avg","-"))))))</f>
        <v>High</v>
      </c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 t="n">
        <v>33</v>
      </c>
      <c r="AP604" s="8"/>
      <c r="AQ604" s="8"/>
      <c r="AR604" s="8"/>
      <c r="AS604" s="8"/>
      <c r="AT604" s="8"/>
      <c r="AU604" s="8"/>
    </row>
    <row r="605" customFormat="false" ht="15" hidden="false" customHeight="true" outlineLevel="0" collapsed="false">
      <c r="A605" s="8" t="n">
        <v>604</v>
      </c>
      <c r="B605" s="8" t="n">
        <v>88</v>
      </c>
      <c r="C605" s="8" t="s">
        <v>557</v>
      </c>
      <c r="D605" s="8" t="s">
        <v>286</v>
      </c>
      <c r="E605" s="9" t="s">
        <v>592</v>
      </c>
      <c r="F605" s="9" t="s">
        <v>314</v>
      </c>
      <c r="G605" s="8" t="s">
        <v>301</v>
      </c>
      <c r="H605" s="8" t="s">
        <v>302</v>
      </c>
      <c r="I605" s="8" t="s">
        <v>291</v>
      </c>
      <c r="J605" s="8" t="s">
        <v>292</v>
      </c>
      <c r="K605" s="8" t="s">
        <v>293</v>
      </c>
      <c r="L605" s="9" t="s">
        <v>294</v>
      </c>
      <c r="M605" s="8"/>
      <c r="N605" s="8" t="str">
        <f aca="true">IF(M605="","Active (per Notice 1)",IF(M605&lt;TODAY(),"Expired",IF(M605&lt;TODAY()+180,"Expiring Soon","Active")))</f>
        <v>Active (per Notice 1)</v>
      </c>
      <c r="O605" s="10" t="s">
        <v>295</v>
      </c>
      <c r="P605" s="8" t="s">
        <v>327</v>
      </c>
      <c r="Q605" s="8" t="n">
        <v>3.46</v>
      </c>
      <c r="R605" s="8" t="n">
        <v>4</v>
      </c>
      <c r="S605" s="11" t="n">
        <v>45828</v>
      </c>
      <c r="T605" s="8" t="str">
        <f aca="true">IF(S605="","",IF(EDATE(S605,60)&lt;TODAY(),"Expired",IF(EDATE(S605,60)&lt;TODAY()+180,"Expiring Soon","Valid")))</f>
        <v>Valid</v>
      </c>
      <c r="U605" s="8" t="str">
        <f aca="false">IF(P605="","",IF(P605="A++","Top Tier",IF(P605="A+","High",IF(P605="A","Strong",IF(LEFT(P605,1)="B","Acceptable",IF(LEFT(P605,1)="C","Below Avg","-"))))))</f>
        <v>High</v>
      </c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 t="n">
        <v>33</v>
      </c>
      <c r="AP605" s="8"/>
      <c r="AQ605" s="8"/>
      <c r="AR605" s="8"/>
      <c r="AS605" s="8"/>
      <c r="AT605" s="8"/>
      <c r="AU605" s="8"/>
    </row>
    <row r="606" customFormat="false" ht="15" hidden="false" customHeight="true" outlineLevel="0" collapsed="false">
      <c r="A606" s="8" t="n">
        <v>605</v>
      </c>
      <c r="B606" s="8" t="n">
        <v>88</v>
      </c>
      <c r="C606" s="8" t="s">
        <v>557</v>
      </c>
      <c r="D606" s="8" t="s">
        <v>286</v>
      </c>
      <c r="E606" s="9" t="s">
        <v>592</v>
      </c>
      <c r="F606" s="9" t="s">
        <v>332</v>
      </c>
      <c r="G606" s="8" t="s">
        <v>304</v>
      </c>
      <c r="H606" s="8" t="s">
        <v>302</v>
      </c>
      <c r="I606" s="8" t="s">
        <v>291</v>
      </c>
      <c r="J606" s="8" t="s">
        <v>292</v>
      </c>
      <c r="K606" s="8" t="s">
        <v>293</v>
      </c>
      <c r="L606" s="9" t="s">
        <v>294</v>
      </c>
      <c r="M606" s="8"/>
      <c r="N606" s="8" t="str">
        <f aca="true">IF(M606="","Active (per Notice 1)",IF(M606&lt;TODAY(),"Expired",IF(M606&lt;TODAY()+180,"Expiring Soon","Active")))</f>
        <v>Active (per Notice 1)</v>
      </c>
      <c r="O606" s="12" t="s">
        <v>305</v>
      </c>
      <c r="P606" s="8" t="s">
        <v>327</v>
      </c>
      <c r="Q606" s="8" t="n">
        <v>3.46</v>
      </c>
      <c r="R606" s="8" t="n">
        <v>4</v>
      </c>
      <c r="S606" s="11" t="n">
        <v>45828</v>
      </c>
      <c r="T606" s="8" t="str">
        <f aca="true">IF(S606="","",IF(EDATE(S606,60)&lt;TODAY(),"Expired",IF(EDATE(S606,60)&lt;TODAY()+180,"Expiring Soon","Valid")))</f>
        <v>Valid</v>
      </c>
      <c r="U606" s="8" t="str">
        <f aca="false">IF(P606="","",IF(P606="A++","Top Tier",IF(P606="A+","High",IF(P606="A","Strong",IF(LEFT(P606,1)="B","Acceptable",IF(LEFT(P606,1)="C","Below Avg","-"))))))</f>
        <v>High</v>
      </c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 t="n">
        <v>33</v>
      </c>
      <c r="AP606" s="8"/>
      <c r="AQ606" s="8"/>
      <c r="AR606" s="8"/>
      <c r="AS606" s="8"/>
      <c r="AT606" s="8"/>
      <c r="AU606" s="8"/>
    </row>
    <row r="607" customFormat="false" ht="23.25" hidden="false" customHeight="true" outlineLevel="0" collapsed="false">
      <c r="A607" s="8" t="n">
        <v>606</v>
      </c>
      <c r="B607" s="8" t="n">
        <v>89</v>
      </c>
      <c r="C607" s="8" t="s">
        <v>557</v>
      </c>
      <c r="D607" s="8" t="s">
        <v>315</v>
      </c>
      <c r="E607" s="9" t="s">
        <v>593</v>
      </c>
      <c r="F607" s="9" t="s">
        <v>359</v>
      </c>
      <c r="G607" s="8" t="s">
        <v>289</v>
      </c>
      <c r="H607" s="8" t="s">
        <v>290</v>
      </c>
      <c r="I607" s="8" t="s">
        <v>291</v>
      </c>
      <c r="J607" s="8" t="s">
        <v>292</v>
      </c>
      <c r="K607" s="8" t="s">
        <v>293</v>
      </c>
      <c r="L607" s="9" t="s">
        <v>294</v>
      </c>
      <c r="M607" s="8"/>
      <c r="N607" s="8" t="str">
        <f aca="true">IF(M607="","Active (per Notice 1)",IF(M607&lt;TODAY(),"Expired",IF(M607&lt;TODAY()+180,"Expiring Soon","Active")))</f>
        <v>Active (per Notice 1)</v>
      </c>
      <c r="O607" s="10" t="s">
        <v>295</v>
      </c>
      <c r="P607" s="8" t="s">
        <v>327</v>
      </c>
      <c r="Q607" s="8" t="n">
        <v>3.48</v>
      </c>
      <c r="R607" s="8" t="n">
        <v>2</v>
      </c>
      <c r="S607" s="11" t="n">
        <v>45205</v>
      </c>
      <c r="T607" s="8" t="str">
        <f aca="true">IF(S607="","",IF(EDATE(S607,60)&lt;TODAY(),"Expired",IF(EDATE(S607,60)&lt;TODAY()+180,"Expiring Soon","Valid")))</f>
        <v>Valid</v>
      </c>
      <c r="U607" s="8" t="str">
        <f aca="false">IF(P607="","",IF(P607="A++","Top Tier",IF(P607="A+","High",IF(P607="A","Strong",IF(LEFT(P607,1)="B","Acceptable",IF(LEFT(P607,1)="C","Below Avg","-"))))))</f>
        <v>High</v>
      </c>
      <c r="Y607" s="8" t="n">
        <v>7</v>
      </c>
      <c r="Z607" s="11" t="n">
        <v>45838</v>
      </c>
      <c r="AA607" s="8" t="s">
        <v>404</v>
      </c>
      <c r="AB607" s="8" t="s">
        <v>329</v>
      </c>
      <c r="AT607" s="8"/>
      <c r="AU607" s="8"/>
    </row>
    <row r="608" customFormat="false" ht="23.25" hidden="false" customHeight="true" outlineLevel="0" collapsed="false">
      <c r="A608" s="8" t="n">
        <v>607</v>
      </c>
      <c r="B608" s="8" t="n">
        <v>89</v>
      </c>
      <c r="C608" s="8" t="s">
        <v>557</v>
      </c>
      <c r="D608" s="8" t="s">
        <v>315</v>
      </c>
      <c r="E608" s="9" t="s">
        <v>593</v>
      </c>
      <c r="F608" s="9" t="s">
        <v>326</v>
      </c>
      <c r="G608" s="8" t="s">
        <v>318</v>
      </c>
      <c r="H608" s="8" t="s">
        <v>290</v>
      </c>
      <c r="I608" s="8" t="s">
        <v>291</v>
      </c>
      <c r="J608" s="8" t="s">
        <v>292</v>
      </c>
      <c r="K608" s="8" t="s">
        <v>293</v>
      </c>
      <c r="L608" s="9" t="s">
        <v>294</v>
      </c>
      <c r="M608" s="8"/>
      <c r="N608" s="8" t="str">
        <f aca="true">IF(M608="","Active (per Notice 1)",IF(M608&lt;TODAY(),"Expired",IF(M608&lt;TODAY()+180,"Expiring Soon","Active")))</f>
        <v>Active (per Notice 1)</v>
      </c>
      <c r="O608" s="13" t="s">
        <v>292</v>
      </c>
      <c r="P608" s="8" t="s">
        <v>327</v>
      </c>
      <c r="Q608" s="8" t="n">
        <v>3.48</v>
      </c>
      <c r="R608" s="8" t="n">
        <v>2</v>
      </c>
      <c r="S608" s="11" t="n">
        <v>45205</v>
      </c>
      <c r="T608" s="8" t="str">
        <f aca="true">IF(S608="","",IF(EDATE(S608,60)&lt;TODAY(),"Expired",IF(EDATE(S608,60)&lt;TODAY()+180,"Expiring Soon","Valid")))</f>
        <v>Valid</v>
      </c>
      <c r="U608" s="8" t="str">
        <f aca="false">IF(P608="","",IF(P608="A++","Top Tier",IF(P608="A+","High",IF(P608="A","Strong",IF(LEFT(P608,1)="B","Acceptable",IF(LEFT(P608,1)="C","Below Avg","-"))))))</f>
        <v>High</v>
      </c>
      <c r="Y608" s="8" t="n">
        <v>7</v>
      </c>
      <c r="Z608" s="11" t="n">
        <v>45838</v>
      </c>
      <c r="AA608" s="8" t="s">
        <v>404</v>
      </c>
      <c r="AB608" s="8" t="s">
        <v>329</v>
      </c>
      <c r="AT608" s="8"/>
      <c r="AU608" s="8"/>
    </row>
    <row r="609" customFormat="false" ht="23.25" hidden="false" customHeight="true" outlineLevel="0" collapsed="false">
      <c r="A609" s="8" t="n">
        <v>608</v>
      </c>
      <c r="B609" s="8" t="n">
        <v>89</v>
      </c>
      <c r="C609" s="8" t="s">
        <v>557</v>
      </c>
      <c r="D609" s="8" t="s">
        <v>315</v>
      </c>
      <c r="E609" s="9" t="s">
        <v>593</v>
      </c>
      <c r="F609" s="9" t="s">
        <v>397</v>
      </c>
      <c r="G609" s="8" t="s">
        <v>320</v>
      </c>
      <c r="H609" s="8" t="s">
        <v>290</v>
      </c>
      <c r="I609" s="8" t="s">
        <v>291</v>
      </c>
      <c r="J609" s="8" t="s">
        <v>292</v>
      </c>
      <c r="K609" s="8" t="s">
        <v>293</v>
      </c>
      <c r="L609" s="9" t="s">
        <v>294</v>
      </c>
      <c r="M609" s="8"/>
      <c r="N609" s="8" t="str">
        <f aca="true">IF(M609="","Active (per Notice 1)",IF(M609&lt;TODAY(),"Expired",IF(M609&lt;TODAY()+180,"Expiring Soon","Active")))</f>
        <v>Active (per Notice 1)</v>
      </c>
      <c r="O609" s="13" t="s">
        <v>292</v>
      </c>
      <c r="P609" s="8" t="s">
        <v>327</v>
      </c>
      <c r="Q609" s="8" t="n">
        <v>3.48</v>
      </c>
      <c r="R609" s="8" t="n">
        <v>2</v>
      </c>
      <c r="S609" s="11" t="n">
        <v>45205</v>
      </c>
      <c r="T609" s="8" t="str">
        <f aca="true">IF(S609="","",IF(EDATE(S609,60)&lt;TODAY(),"Expired",IF(EDATE(S609,60)&lt;TODAY()+180,"Expiring Soon","Valid")))</f>
        <v>Valid</v>
      </c>
      <c r="U609" s="8" t="str">
        <f aca="false">IF(P609="","",IF(P609="A++","Top Tier",IF(P609="A+","High",IF(P609="A","Strong",IF(LEFT(P609,1)="B","Acceptable",IF(LEFT(P609,1)="C","Below Avg","-"))))))</f>
        <v>High</v>
      </c>
      <c r="Y609" s="8" t="n">
        <v>7</v>
      </c>
      <c r="Z609" s="11" t="n">
        <v>45838</v>
      </c>
      <c r="AA609" s="8" t="s">
        <v>404</v>
      </c>
      <c r="AB609" s="8" t="s">
        <v>329</v>
      </c>
      <c r="AT609" s="8"/>
      <c r="AU609" s="8"/>
    </row>
    <row r="610" customFormat="false" ht="23.25" hidden="false" customHeight="true" outlineLevel="0" collapsed="false">
      <c r="A610" s="8" t="n">
        <v>609</v>
      </c>
      <c r="B610" s="8" t="n">
        <v>89</v>
      </c>
      <c r="C610" s="8" t="s">
        <v>557</v>
      </c>
      <c r="D610" s="8" t="s">
        <v>315</v>
      </c>
      <c r="E610" s="9" t="s">
        <v>593</v>
      </c>
      <c r="F610" s="9" t="s">
        <v>332</v>
      </c>
      <c r="G610" s="8" t="s">
        <v>304</v>
      </c>
      <c r="H610" s="8" t="s">
        <v>302</v>
      </c>
      <c r="I610" s="8" t="s">
        <v>291</v>
      </c>
      <c r="J610" s="8" t="s">
        <v>292</v>
      </c>
      <c r="K610" s="8" t="s">
        <v>293</v>
      </c>
      <c r="L610" s="9" t="s">
        <v>294</v>
      </c>
      <c r="M610" s="8"/>
      <c r="N610" s="8" t="str">
        <f aca="true">IF(M610="","Active (per Notice 1)",IF(M610&lt;TODAY(),"Expired",IF(M610&lt;TODAY()+180,"Expiring Soon","Active")))</f>
        <v>Active (per Notice 1)</v>
      </c>
      <c r="O610" s="13" t="s">
        <v>292</v>
      </c>
      <c r="P610" s="8" t="s">
        <v>327</v>
      </c>
      <c r="Q610" s="8" t="n">
        <v>3.48</v>
      </c>
      <c r="R610" s="8" t="n">
        <v>2</v>
      </c>
      <c r="S610" s="11" t="n">
        <v>45205</v>
      </c>
      <c r="T610" s="8" t="str">
        <f aca="true">IF(S610="","",IF(EDATE(S610,60)&lt;TODAY(),"Expired",IF(EDATE(S610,60)&lt;TODAY()+180,"Expiring Soon","Valid")))</f>
        <v>Valid</v>
      </c>
      <c r="U610" s="8" t="str">
        <f aca="false">IF(P610="","",IF(P610="A++","Top Tier",IF(P610="A+","High",IF(P610="A","Strong",IF(LEFT(P610,1)="B","Acceptable",IF(LEFT(P610,1)="C","Below Avg","-"))))))</f>
        <v>High</v>
      </c>
      <c r="Y610" s="8" t="n">
        <v>7</v>
      </c>
      <c r="Z610" s="11" t="n">
        <v>45838</v>
      </c>
      <c r="AA610" s="8" t="s">
        <v>404</v>
      </c>
      <c r="AB610" s="8" t="s">
        <v>329</v>
      </c>
      <c r="AT610" s="8"/>
      <c r="AU610" s="8"/>
    </row>
    <row r="611" customFormat="false" ht="23.25" hidden="false" customHeight="true" outlineLevel="0" collapsed="false">
      <c r="A611" s="8" t="n">
        <v>610</v>
      </c>
      <c r="B611" s="8" t="n">
        <v>89</v>
      </c>
      <c r="C611" s="8" t="s">
        <v>557</v>
      </c>
      <c r="D611" s="8" t="s">
        <v>315</v>
      </c>
      <c r="E611" s="9" t="s">
        <v>593</v>
      </c>
      <c r="F611" s="9" t="s">
        <v>398</v>
      </c>
      <c r="G611" s="8" t="s">
        <v>307</v>
      </c>
      <c r="H611" s="8" t="s">
        <v>302</v>
      </c>
      <c r="I611" s="8" t="s">
        <v>291</v>
      </c>
      <c r="J611" s="8" t="s">
        <v>292</v>
      </c>
      <c r="K611" s="8" t="s">
        <v>293</v>
      </c>
      <c r="L611" s="9" t="s">
        <v>294</v>
      </c>
      <c r="M611" s="8"/>
      <c r="N611" s="8" t="str">
        <f aca="true">IF(M611="","Active (per Notice 1)",IF(M611&lt;TODAY(),"Expired",IF(M611&lt;TODAY()+180,"Expiring Soon","Active")))</f>
        <v>Active (per Notice 1)</v>
      </c>
      <c r="O611" s="13" t="s">
        <v>292</v>
      </c>
      <c r="P611" s="8" t="s">
        <v>327</v>
      </c>
      <c r="Q611" s="8" t="n">
        <v>3.48</v>
      </c>
      <c r="R611" s="8" t="n">
        <v>2</v>
      </c>
      <c r="S611" s="11" t="n">
        <v>45205</v>
      </c>
      <c r="T611" s="8" t="str">
        <f aca="true">IF(S611="","",IF(EDATE(S611,60)&lt;TODAY(),"Expired",IF(EDATE(S611,60)&lt;TODAY()+180,"Expiring Soon","Valid")))</f>
        <v>Valid</v>
      </c>
      <c r="U611" s="8" t="str">
        <f aca="false">IF(P611="","",IF(P611="A++","Top Tier",IF(P611="A+","High",IF(P611="A","Strong",IF(LEFT(P611,1)="B","Acceptable",IF(LEFT(P611,1)="C","Below Avg","-"))))))</f>
        <v>High</v>
      </c>
      <c r="Y611" s="8" t="n">
        <v>7</v>
      </c>
      <c r="Z611" s="11" t="n">
        <v>45838</v>
      </c>
      <c r="AA611" s="8" t="s">
        <v>404</v>
      </c>
      <c r="AB611" s="8" t="s">
        <v>329</v>
      </c>
      <c r="AT611" s="8"/>
      <c r="AU611" s="8"/>
    </row>
    <row r="612" customFormat="false" ht="15" hidden="false" customHeight="true" outlineLevel="0" collapsed="false">
      <c r="A612" s="8" t="n">
        <v>611</v>
      </c>
      <c r="B612" s="8" t="n">
        <v>90</v>
      </c>
      <c r="C612" s="8" t="s">
        <v>557</v>
      </c>
      <c r="D612" s="8" t="s">
        <v>315</v>
      </c>
      <c r="E612" s="9" t="s">
        <v>594</v>
      </c>
      <c r="F612" s="9" t="s">
        <v>359</v>
      </c>
      <c r="G612" s="8" t="s">
        <v>289</v>
      </c>
      <c r="H612" s="8" t="s">
        <v>290</v>
      </c>
      <c r="I612" s="8" t="s">
        <v>291</v>
      </c>
      <c r="J612" s="8" t="s">
        <v>292</v>
      </c>
      <c r="K612" s="8" t="s">
        <v>293</v>
      </c>
      <c r="L612" s="9" t="s">
        <v>294</v>
      </c>
      <c r="M612" s="8"/>
      <c r="N612" s="8" t="str">
        <f aca="true">IF(M612="","Active (per Notice 1)",IF(M612&lt;TODAY(),"Expired",IF(M612&lt;TODAY()+180,"Expiring Soon","Active")))</f>
        <v>Active (per Notice 1)</v>
      </c>
      <c r="O612" s="10" t="s">
        <v>295</v>
      </c>
      <c r="P612" s="8" t="s">
        <v>296</v>
      </c>
      <c r="Q612" s="8" t="n">
        <v>3.53</v>
      </c>
      <c r="R612" s="8" t="n">
        <v>2</v>
      </c>
      <c r="S612" s="11" t="n">
        <v>44789</v>
      </c>
      <c r="T612" s="8" t="str">
        <f aca="true">IF(S612="","",IF(EDATE(S612,60)&lt;TODAY(),"Expired",IF(EDATE(S612,60)&lt;TODAY()+180,"Expiring Soon","Valid")))</f>
        <v>Valid</v>
      </c>
      <c r="U612" s="8" t="str">
        <f aca="false">IF(P612="","",IF(P612="A++","Top Tier",IF(P612="A+","High",IF(P612="A","Strong",IF(LEFT(P612,1)="B","Acceptable",IF(LEFT(P612,1)="C","Below Avg","-"))))))</f>
        <v>Top Tier</v>
      </c>
      <c r="Y612" s="8" t="n">
        <v>6</v>
      </c>
      <c r="Z612" s="11" t="n">
        <v>45838</v>
      </c>
      <c r="AA612" s="8" t="s">
        <v>357</v>
      </c>
      <c r="AB612" s="8" t="s">
        <v>329</v>
      </c>
      <c r="AT612" s="8"/>
      <c r="AU612" s="8"/>
    </row>
    <row r="613" customFormat="false" ht="15" hidden="false" customHeight="true" outlineLevel="0" collapsed="false">
      <c r="A613" s="8" t="n">
        <v>612</v>
      </c>
      <c r="B613" s="8" t="n">
        <v>90</v>
      </c>
      <c r="C613" s="8" t="s">
        <v>557</v>
      </c>
      <c r="D613" s="8" t="s">
        <v>315</v>
      </c>
      <c r="E613" s="9" t="s">
        <v>594</v>
      </c>
      <c r="F613" s="9" t="s">
        <v>303</v>
      </c>
      <c r="G613" s="8" t="s">
        <v>304</v>
      </c>
      <c r="H613" s="8" t="s">
        <v>302</v>
      </c>
      <c r="I613" s="8" t="s">
        <v>291</v>
      </c>
      <c r="J613" s="8" t="s">
        <v>292</v>
      </c>
      <c r="K613" s="8" t="s">
        <v>293</v>
      </c>
      <c r="L613" s="9" t="s">
        <v>294</v>
      </c>
      <c r="M613" s="8"/>
      <c r="N613" s="8" t="str">
        <f aca="true">IF(M613="","Active (per Notice 1)",IF(M613&lt;TODAY(),"Expired",IF(M613&lt;TODAY()+180,"Expiring Soon","Active")))</f>
        <v>Active (per Notice 1)</v>
      </c>
      <c r="O613" s="13" t="s">
        <v>292</v>
      </c>
      <c r="P613" s="8" t="s">
        <v>296</v>
      </c>
      <c r="Q613" s="8" t="n">
        <v>3.53</v>
      </c>
      <c r="R613" s="8" t="n">
        <v>2</v>
      </c>
      <c r="S613" s="11" t="n">
        <v>44789</v>
      </c>
      <c r="T613" s="8" t="str">
        <f aca="true">IF(S613="","",IF(EDATE(S613,60)&lt;TODAY(),"Expired",IF(EDATE(S613,60)&lt;TODAY()+180,"Expiring Soon","Valid")))</f>
        <v>Valid</v>
      </c>
      <c r="U613" s="8" t="str">
        <f aca="false">IF(P613="","",IF(P613="A++","Top Tier",IF(P613="A+","High",IF(P613="A","Strong",IF(LEFT(P613,1)="B","Acceptable",IF(LEFT(P613,1)="C","Below Avg","-"))))))</f>
        <v>Top Tier</v>
      </c>
      <c r="Y613" s="8" t="n">
        <v>6</v>
      </c>
      <c r="Z613" s="11" t="n">
        <v>45838</v>
      </c>
      <c r="AA613" s="8" t="s">
        <v>357</v>
      </c>
      <c r="AB613" s="8" t="s">
        <v>329</v>
      </c>
      <c r="AT613" s="8"/>
      <c r="AU613" s="8"/>
    </row>
    <row r="614" customFormat="false" ht="23.25" hidden="false" customHeight="true" outlineLevel="0" collapsed="false">
      <c r="A614" s="8" t="n">
        <v>613</v>
      </c>
      <c r="B614" s="8" t="n">
        <v>91</v>
      </c>
      <c r="C614" s="8" t="s">
        <v>557</v>
      </c>
      <c r="D614" s="8" t="s">
        <v>315</v>
      </c>
      <c r="E614" s="9" t="s">
        <v>595</v>
      </c>
      <c r="F614" s="9" t="s">
        <v>408</v>
      </c>
      <c r="G614" s="8" t="s">
        <v>298</v>
      </c>
      <c r="H614" s="8" t="s">
        <v>290</v>
      </c>
      <c r="I614" s="8" t="s">
        <v>291</v>
      </c>
      <c r="J614" s="8" t="s">
        <v>292</v>
      </c>
      <c r="K614" s="8" t="s">
        <v>293</v>
      </c>
      <c r="L614" s="9" t="s">
        <v>294</v>
      </c>
      <c r="M614" s="8"/>
      <c r="N614" s="8" t="str">
        <f aca="true">IF(M614="","Active (per Notice 1)",IF(M614&lt;TODAY(),"Expired",IF(M614&lt;TODAY()+180,"Expiring Soon","Active")))</f>
        <v>Active (per Notice 1)</v>
      </c>
      <c r="O614" s="10" t="s">
        <v>295</v>
      </c>
      <c r="P614" s="8" t="s">
        <v>327</v>
      </c>
      <c r="Q614" s="8" t="n">
        <v>3.5</v>
      </c>
      <c r="R614" s="8" t="n">
        <v>2</v>
      </c>
      <c r="S614" s="11" t="n">
        <v>45253</v>
      </c>
      <c r="T614" s="8" t="str">
        <f aca="true">IF(S614="","",IF(EDATE(S614,60)&lt;TODAY(),"Expired",IF(EDATE(S614,60)&lt;TODAY()+180,"Expiring Soon","Valid")))</f>
        <v>Valid</v>
      </c>
      <c r="U614" s="8" t="str">
        <f aca="false">IF(P614="","",IF(P614="A++","Top Tier",IF(P614="A+","High",IF(P614="A","Strong",IF(LEFT(P614,1)="B","Acceptable",IF(LEFT(P614,1)="C","Below Avg","-"))))))</f>
        <v>High</v>
      </c>
      <c r="AC614" s="8"/>
      <c r="AD614" s="8"/>
      <c r="AE614" s="8"/>
      <c r="AF614" s="8"/>
      <c r="AG614" s="8"/>
      <c r="AH614" s="8"/>
      <c r="AI614" s="8"/>
      <c r="AJ614" s="8" t="n">
        <v>16</v>
      </c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</row>
    <row r="615" customFormat="false" ht="23.25" hidden="false" customHeight="true" outlineLevel="0" collapsed="false">
      <c r="A615" s="8" t="n">
        <v>614</v>
      </c>
      <c r="B615" s="8" t="n">
        <v>91</v>
      </c>
      <c r="C615" s="8" t="s">
        <v>557</v>
      </c>
      <c r="D615" s="8" t="s">
        <v>315</v>
      </c>
      <c r="E615" s="9" t="s">
        <v>595</v>
      </c>
      <c r="F615" s="9" t="s">
        <v>299</v>
      </c>
      <c r="G615" s="8" t="s">
        <v>289</v>
      </c>
      <c r="H615" s="8" t="s">
        <v>290</v>
      </c>
      <c r="I615" s="8" t="s">
        <v>291</v>
      </c>
      <c r="J615" s="8" t="s">
        <v>292</v>
      </c>
      <c r="K615" s="8" t="s">
        <v>293</v>
      </c>
      <c r="L615" s="9" t="s">
        <v>294</v>
      </c>
      <c r="M615" s="8"/>
      <c r="N615" s="8" t="str">
        <f aca="true">IF(M615="","Active (per Notice 1)",IF(M615&lt;TODAY(),"Expired",IF(M615&lt;TODAY()+180,"Expiring Soon","Active")))</f>
        <v>Active (per Notice 1)</v>
      </c>
      <c r="O615" s="10" t="s">
        <v>295</v>
      </c>
      <c r="P615" s="8" t="s">
        <v>327</v>
      </c>
      <c r="Q615" s="8" t="n">
        <v>3.5</v>
      </c>
      <c r="R615" s="8" t="n">
        <v>2</v>
      </c>
      <c r="S615" s="11" t="n">
        <v>45253</v>
      </c>
      <c r="T615" s="8" t="str">
        <f aca="true">IF(S615="","",IF(EDATE(S615,60)&lt;TODAY(),"Expired",IF(EDATE(S615,60)&lt;TODAY()+180,"Expiring Soon","Valid")))</f>
        <v>Valid</v>
      </c>
      <c r="U615" s="8" t="str">
        <f aca="false">IF(P615="","",IF(P615="A++","Top Tier",IF(P615="A+","High",IF(P615="A","Strong",IF(LEFT(P615,1)="B","Acceptable",IF(LEFT(P615,1)="C","Below Avg","-"))))))</f>
        <v>High</v>
      </c>
      <c r="AC615" s="8"/>
      <c r="AD615" s="8"/>
      <c r="AE615" s="8"/>
      <c r="AF615" s="8"/>
      <c r="AG615" s="8"/>
      <c r="AH615" s="8"/>
      <c r="AI615" s="8"/>
      <c r="AJ615" s="8" t="n">
        <v>16</v>
      </c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</row>
    <row r="616" customFormat="false" ht="23.25" hidden="false" customHeight="true" outlineLevel="0" collapsed="false">
      <c r="A616" s="8" t="n">
        <v>615</v>
      </c>
      <c r="B616" s="8" t="n">
        <v>91</v>
      </c>
      <c r="C616" s="8" t="s">
        <v>557</v>
      </c>
      <c r="D616" s="8" t="s">
        <v>315</v>
      </c>
      <c r="E616" s="9" t="s">
        <v>595</v>
      </c>
      <c r="F616" s="9" t="s">
        <v>312</v>
      </c>
      <c r="G616" s="8" t="s">
        <v>301</v>
      </c>
      <c r="H616" s="8" t="s">
        <v>302</v>
      </c>
      <c r="I616" s="8" t="s">
        <v>291</v>
      </c>
      <c r="J616" s="8" t="s">
        <v>292</v>
      </c>
      <c r="K616" s="8" t="s">
        <v>293</v>
      </c>
      <c r="L616" s="9" t="s">
        <v>294</v>
      </c>
      <c r="M616" s="8"/>
      <c r="N616" s="8" t="str">
        <f aca="true">IF(M616="","Active (per Notice 1)",IF(M616&lt;TODAY(),"Expired",IF(M616&lt;TODAY()+180,"Expiring Soon","Active")))</f>
        <v>Active (per Notice 1)</v>
      </c>
      <c r="O616" s="10" t="s">
        <v>295</v>
      </c>
      <c r="P616" s="8" t="s">
        <v>327</v>
      </c>
      <c r="Q616" s="8" t="n">
        <v>3.5</v>
      </c>
      <c r="R616" s="8" t="n">
        <v>2</v>
      </c>
      <c r="S616" s="11" t="n">
        <v>45253</v>
      </c>
      <c r="T616" s="8" t="str">
        <f aca="true">IF(S616="","",IF(EDATE(S616,60)&lt;TODAY(),"Expired",IF(EDATE(S616,60)&lt;TODAY()+180,"Expiring Soon","Valid")))</f>
        <v>Valid</v>
      </c>
      <c r="U616" s="8" t="str">
        <f aca="false">IF(P616="","",IF(P616="A++","Top Tier",IF(P616="A+","High",IF(P616="A","Strong",IF(LEFT(P616,1)="B","Acceptable",IF(LEFT(P616,1)="C","Below Avg","-"))))))</f>
        <v>High</v>
      </c>
      <c r="AC616" s="8"/>
      <c r="AD616" s="8"/>
      <c r="AE616" s="8"/>
      <c r="AF616" s="8"/>
      <c r="AG616" s="8"/>
      <c r="AH616" s="8"/>
      <c r="AI616" s="8"/>
      <c r="AJ616" s="8" t="n">
        <v>16</v>
      </c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</row>
    <row r="617" customFormat="false" ht="15" hidden="false" customHeight="true" outlineLevel="0" collapsed="false">
      <c r="A617" s="8" t="n">
        <v>616</v>
      </c>
      <c r="B617" s="8" t="n">
        <v>92</v>
      </c>
      <c r="C617" s="8" t="s">
        <v>557</v>
      </c>
      <c r="D617" s="8" t="s">
        <v>286</v>
      </c>
      <c r="E617" s="9" t="s">
        <v>596</v>
      </c>
      <c r="F617" s="9" t="s">
        <v>597</v>
      </c>
      <c r="G617" s="8" t="s">
        <v>304</v>
      </c>
      <c r="H617" s="8" t="s">
        <v>302</v>
      </c>
      <c r="I617" s="8" t="s">
        <v>291</v>
      </c>
      <c r="J617" s="8" t="s">
        <v>292</v>
      </c>
      <c r="K617" s="8" t="s">
        <v>293</v>
      </c>
      <c r="L617" s="9" t="s">
        <v>294</v>
      </c>
      <c r="M617" s="8"/>
      <c r="N617" s="8" t="str">
        <f aca="true">IF(M617="","Active (per Notice 1)",IF(M617&lt;TODAY(),"Expired",IF(M617&lt;TODAY()+180,"Expiring Soon","Active")))</f>
        <v>Active (per Notice 1)</v>
      </c>
      <c r="O617" s="13" t="s">
        <v>292</v>
      </c>
      <c r="P617" s="8" t="s">
        <v>296</v>
      </c>
      <c r="Q617" s="8" t="n">
        <v>3.54</v>
      </c>
      <c r="R617" s="8" t="n">
        <v>3</v>
      </c>
      <c r="S617" s="11" t="n">
        <v>45159</v>
      </c>
      <c r="T617" s="8" t="str">
        <f aca="true">IF(S617="","",IF(EDATE(S617,60)&lt;TODAY(),"Expired",IF(EDATE(S617,60)&lt;TODAY()+180,"Expiring Soon","Valid")))</f>
        <v>Valid</v>
      </c>
      <c r="U617" s="8" t="str">
        <f aca="false">IF(P617="","",IF(P617="A++","Top Tier",IF(P617="A+","High",IF(P617="A","Strong",IF(LEFT(P617,1)="B","Acceptable",IF(LEFT(P617,1)="C","Below Avg","-"))))))</f>
        <v>Top Tier</v>
      </c>
      <c r="Y617" s="8" t="n">
        <v>8</v>
      </c>
      <c r="Z617" s="11" t="n">
        <v>45838</v>
      </c>
      <c r="AA617" s="8" t="s">
        <v>357</v>
      </c>
      <c r="AB617" s="8" t="s">
        <v>329</v>
      </c>
      <c r="AC617" s="8" t="n">
        <v>29</v>
      </c>
      <c r="AD617" s="8" t="n">
        <v>20</v>
      </c>
      <c r="AE617" s="8" t="n">
        <v>26</v>
      </c>
      <c r="AF617" s="8" t="n">
        <v>20</v>
      </c>
      <c r="AG617" s="8" t="n">
        <v>88</v>
      </c>
      <c r="AH617" s="8"/>
      <c r="AI617" s="8"/>
      <c r="AJ617" s="8"/>
      <c r="AK617" s="8"/>
      <c r="AL617" s="8" t="n">
        <v>28</v>
      </c>
      <c r="AM617" s="8"/>
      <c r="AN617" s="8" t="n">
        <v>9</v>
      </c>
      <c r="AO617" s="8" t="n">
        <v>2</v>
      </c>
      <c r="AP617" s="8"/>
      <c r="AQ617" s="8"/>
      <c r="AR617" s="8"/>
      <c r="AS617" s="8"/>
      <c r="AT617" s="8"/>
      <c r="AU617" s="8"/>
    </row>
    <row r="618" customFormat="false" ht="15" hidden="false" customHeight="true" outlineLevel="0" collapsed="false">
      <c r="A618" s="8" t="n">
        <v>617</v>
      </c>
      <c r="B618" s="8" t="n">
        <v>92</v>
      </c>
      <c r="C618" s="8" t="s">
        <v>557</v>
      </c>
      <c r="D618" s="8" t="s">
        <v>286</v>
      </c>
      <c r="E618" s="9" t="s">
        <v>596</v>
      </c>
      <c r="F618" s="9" t="s">
        <v>459</v>
      </c>
      <c r="G618" s="8" t="s">
        <v>304</v>
      </c>
      <c r="H618" s="8" t="s">
        <v>302</v>
      </c>
      <c r="I618" s="8" t="s">
        <v>291</v>
      </c>
      <c r="J618" s="8" t="s">
        <v>292</v>
      </c>
      <c r="K618" s="8" t="s">
        <v>293</v>
      </c>
      <c r="L618" s="9" t="s">
        <v>294</v>
      </c>
      <c r="M618" s="8"/>
      <c r="N618" s="8" t="str">
        <f aca="true">IF(M618="","Active (per Notice 1)",IF(M618&lt;TODAY(),"Expired",IF(M618&lt;TODAY()+180,"Expiring Soon","Active")))</f>
        <v>Active (per Notice 1)</v>
      </c>
      <c r="O618" s="13" t="s">
        <v>292</v>
      </c>
      <c r="P618" s="8" t="s">
        <v>296</v>
      </c>
      <c r="Q618" s="8" t="n">
        <v>3.54</v>
      </c>
      <c r="R618" s="8" t="n">
        <v>3</v>
      </c>
      <c r="S618" s="11" t="n">
        <v>45159</v>
      </c>
      <c r="T618" s="8" t="str">
        <f aca="true">IF(S618="","",IF(EDATE(S618,60)&lt;TODAY(),"Expired",IF(EDATE(S618,60)&lt;TODAY()+180,"Expiring Soon","Valid")))</f>
        <v>Valid</v>
      </c>
      <c r="U618" s="8" t="str">
        <f aca="false">IF(P618="","",IF(P618="A++","Top Tier",IF(P618="A+","High",IF(P618="A","Strong",IF(LEFT(P618,1)="B","Acceptable",IF(LEFT(P618,1)="C","Below Avg","-"))))))</f>
        <v>Top Tier</v>
      </c>
      <c r="Y618" s="8" t="n">
        <v>8</v>
      </c>
      <c r="Z618" s="11" t="n">
        <v>45838</v>
      </c>
      <c r="AA618" s="8" t="s">
        <v>357</v>
      </c>
      <c r="AB618" s="8" t="s">
        <v>329</v>
      </c>
      <c r="AC618" s="8" t="n">
        <v>29</v>
      </c>
      <c r="AD618" s="8" t="n">
        <v>20</v>
      </c>
      <c r="AE618" s="8" t="n">
        <v>26</v>
      </c>
      <c r="AF618" s="8" t="n">
        <v>20</v>
      </c>
      <c r="AG618" s="8" t="n">
        <v>88</v>
      </c>
      <c r="AH618" s="8"/>
      <c r="AI618" s="8"/>
      <c r="AJ618" s="8"/>
      <c r="AK618" s="8"/>
      <c r="AL618" s="8" t="n">
        <v>28</v>
      </c>
      <c r="AM618" s="8"/>
      <c r="AN618" s="8" t="n">
        <v>9</v>
      </c>
      <c r="AO618" s="8" t="n">
        <v>2</v>
      </c>
      <c r="AP618" s="8"/>
      <c r="AQ618" s="8"/>
      <c r="AR618" s="8"/>
      <c r="AS618" s="8"/>
      <c r="AT618" s="8"/>
      <c r="AU618" s="8"/>
    </row>
    <row r="619" customFormat="false" ht="23.25" hidden="false" customHeight="true" outlineLevel="0" collapsed="false">
      <c r="A619" s="8" t="n">
        <v>618</v>
      </c>
      <c r="B619" s="8" t="n">
        <v>93</v>
      </c>
      <c r="C619" s="8" t="s">
        <v>557</v>
      </c>
      <c r="D619" s="8" t="s">
        <v>315</v>
      </c>
      <c r="E619" s="9" t="s">
        <v>598</v>
      </c>
      <c r="F619" s="9" t="s">
        <v>478</v>
      </c>
      <c r="G619" s="8" t="s">
        <v>318</v>
      </c>
      <c r="H619" s="8" t="s">
        <v>290</v>
      </c>
      <c r="I619" s="8" t="s">
        <v>291</v>
      </c>
      <c r="J619" s="8" t="s">
        <v>292</v>
      </c>
      <c r="K619" s="8" t="s">
        <v>293</v>
      </c>
      <c r="L619" s="9" t="s">
        <v>294</v>
      </c>
      <c r="M619" s="8"/>
      <c r="N619" s="8" t="str">
        <f aca="true">IF(M619="","Active (per Notice 1)",IF(M619&lt;TODAY(),"Expired",IF(M619&lt;TODAY()+180,"Expiring Soon","Active")))</f>
        <v>Active (per Notice 1)</v>
      </c>
      <c r="O619" s="13" t="s">
        <v>292</v>
      </c>
      <c r="P619" s="8" t="s">
        <v>296</v>
      </c>
      <c r="Q619" s="8" t="n">
        <v>3.52</v>
      </c>
      <c r="R619" s="8" t="n">
        <v>2</v>
      </c>
      <c r="S619" s="11" t="n">
        <v>45595</v>
      </c>
      <c r="T619" s="8" t="str">
        <f aca="true">IF(S619="","",IF(EDATE(S619,60)&lt;TODAY(),"Expired",IF(EDATE(S619,60)&lt;TODAY()+180,"Expiring Soon","Valid")))</f>
        <v>Valid</v>
      </c>
      <c r="U619" s="8" t="str">
        <f aca="false">IF(P619="","",IF(P619="A++","Top Tier",IF(P619="A+","High",IF(P619="A","Strong",IF(LEFT(P619,1)="B","Acceptable",IF(LEFT(P619,1)="C","Below Avg","-"))))))</f>
        <v>Top Tier</v>
      </c>
      <c r="Y619" s="8" t="n">
        <v>6</v>
      </c>
      <c r="Z619" s="11" t="n">
        <v>46203</v>
      </c>
      <c r="AA619" s="8" t="s">
        <v>328</v>
      </c>
      <c r="AB619" s="8" t="s">
        <v>405</v>
      </c>
      <c r="AC619" s="8"/>
      <c r="AD619" s="8"/>
      <c r="AE619" s="8"/>
      <c r="AF619" s="8"/>
      <c r="AG619" s="8"/>
      <c r="AH619" s="8" t="n">
        <v>61</v>
      </c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</row>
    <row r="620" customFormat="false" ht="23.25" hidden="false" customHeight="true" outlineLevel="0" collapsed="false">
      <c r="A620" s="8" t="n">
        <v>619</v>
      </c>
      <c r="B620" s="8" t="n">
        <v>93</v>
      </c>
      <c r="C620" s="8" t="s">
        <v>557</v>
      </c>
      <c r="D620" s="8" t="s">
        <v>315</v>
      </c>
      <c r="E620" s="9" t="s">
        <v>598</v>
      </c>
      <c r="F620" s="9" t="s">
        <v>303</v>
      </c>
      <c r="G620" s="8" t="s">
        <v>304</v>
      </c>
      <c r="H620" s="8" t="s">
        <v>302</v>
      </c>
      <c r="I620" s="8" t="s">
        <v>291</v>
      </c>
      <c r="J620" s="8" t="s">
        <v>292</v>
      </c>
      <c r="K620" s="8" t="s">
        <v>293</v>
      </c>
      <c r="L620" s="9" t="s">
        <v>294</v>
      </c>
      <c r="M620" s="8"/>
      <c r="N620" s="8" t="str">
        <f aca="true">IF(M620="","Active (per Notice 1)",IF(M620&lt;TODAY(),"Expired",IF(M620&lt;TODAY()+180,"Expiring Soon","Active")))</f>
        <v>Active (per Notice 1)</v>
      </c>
      <c r="O620" s="13" t="s">
        <v>292</v>
      </c>
      <c r="P620" s="8" t="s">
        <v>296</v>
      </c>
      <c r="Q620" s="8" t="n">
        <v>3.52</v>
      </c>
      <c r="R620" s="8" t="n">
        <v>2</v>
      </c>
      <c r="S620" s="11" t="n">
        <v>45595</v>
      </c>
      <c r="T620" s="8" t="str">
        <f aca="true">IF(S620="","",IF(EDATE(S620,60)&lt;TODAY(),"Expired",IF(EDATE(S620,60)&lt;TODAY()+180,"Expiring Soon","Valid")))</f>
        <v>Valid</v>
      </c>
      <c r="U620" s="8" t="str">
        <f aca="false">IF(P620="","",IF(P620="A++","Top Tier",IF(P620="A+","High",IF(P620="A","Strong",IF(LEFT(P620,1)="B","Acceptable",IF(LEFT(P620,1)="C","Below Avg","-"))))))</f>
        <v>Top Tier</v>
      </c>
      <c r="Y620" s="8" t="n">
        <v>6</v>
      </c>
      <c r="Z620" s="11" t="n">
        <v>46203</v>
      </c>
      <c r="AA620" s="8" t="s">
        <v>328</v>
      </c>
      <c r="AB620" s="8" t="s">
        <v>405</v>
      </c>
      <c r="AC620" s="8"/>
      <c r="AD620" s="8"/>
      <c r="AE620" s="8"/>
      <c r="AF620" s="8"/>
      <c r="AG620" s="8"/>
      <c r="AH620" s="8" t="n">
        <v>61</v>
      </c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</row>
    <row r="621" customFormat="false" ht="23.25" hidden="false" customHeight="true" outlineLevel="0" collapsed="false">
      <c r="A621" s="8" t="n">
        <v>620</v>
      </c>
      <c r="B621" s="8" t="n">
        <v>94</v>
      </c>
      <c r="C621" s="8" t="s">
        <v>557</v>
      </c>
      <c r="D621" s="8" t="s">
        <v>315</v>
      </c>
      <c r="E621" s="9" t="s">
        <v>599</v>
      </c>
      <c r="F621" s="9" t="s">
        <v>600</v>
      </c>
      <c r="G621" s="8" t="s">
        <v>499</v>
      </c>
      <c r="H621" s="8" t="s">
        <v>290</v>
      </c>
      <c r="I621" s="8" t="s">
        <v>291</v>
      </c>
      <c r="J621" s="8" t="s">
        <v>292</v>
      </c>
      <c r="K621" s="8" t="s">
        <v>293</v>
      </c>
      <c r="L621" s="9" t="s">
        <v>294</v>
      </c>
      <c r="M621" s="8"/>
      <c r="N621" s="8" t="str">
        <f aca="true">IF(M621="","Active (per Notice 1)",IF(M621&lt;TODAY(),"Expired",IF(M621&lt;TODAY()+180,"Expiring Soon","Active")))</f>
        <v>Active (per Notice 1)</v>
      </c>
      <c r="O621" s="10" t="s">
        <v>295</v>
      </c>
      <c r="P621" s="8" t="s">
        <v>296</v>
      </c>
      <c r="Q621" s="8" t="n">
        <v>3.53</v>
      </c>
      <c r="R621" s="8" t="n">
        <v>3</v>
      </c>
      <c r="S621" s="11" t="n">
        <v>44221</v>
      </c>
      <c r="T621" s="8" t="str">
        <f aca="true">IF(S621="","",IF(EDATE(S621,60)&lt;TODAY(),"Expired",IF(EDATE(S621,60)&lt;TODAY()+180,"Expiring Soon","Valid")))</f>
        <v>Expired</v>
      </c>
      <c r="U621" s="8" t="str">
        <f aca="false">IF(P621="","",IF(P621="A++","Top Tier",IF(P621="A+","High",IF(P621="A","Strong",IF(LEFT(P621,1)="B","Acceptable",IF(LEFT(P621,1)="C","Below Avg","-"))))))</f>
        <v>Top Tier</v>
      </c>
      <c r="AC621" s="8"/>
      <c r="AD621" s="8" t="n">
        <v>60</v>
      </c>
      <c r="AE621" s="8"/>
      <c r="AF621" s="8"/>
      <c r="AG621" s="8"/>
      <c r="AH621" s="8" t="n">
        <v>36</v>
      </c>
      <c r="AI621" s="8" t="n">
        <v>21</v>
      </c>
      <c r="AJ621" s="8" t="n">
        <v>13</v>
      </c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</row>
    <row r="622" customFormat="false" ht="15" hidden="false" customHeight="true" outlineLevel="0" collapsed="false">
      <c r="A622" s="8" t="n">
        <v>621</v>
      </c>
      <c r="B622" s="8" t="n">
        <v>95</v>
      </c>
      <c r="C622" s="8" t="s">
        <v>601</v>
      </c>
      <c r="D622" s="8" t="s">
        <v>315</v>
      </c>
      <c r="E622" s="9" t="s">
        <v>602</v>
      </c>
      <c r="F622" s="9" t="s">
        <v>317</v>
      </c>
      <c r="G622" s="8" t="s">
        <v>318</v>
      </c>
      <c r="H622" s="8" t="s">
        <v>290</v>
      </c>
      <c r="I622" s="8" t="s">
        <v>291</v>
      </c>
      <c r="J622" s="8" t="s">
        <v>292</v>
      </c>
      <c r="K622" s="8" t="s">
        <v>293</v>
      </c>
      <c r="L622" s="9" t="s">
        <v>294</v>
      </c>
      <c r="M622" s="8"/>
      <c r="N622" s="8" t="str">
        <f aca="true">IF(M622="","Active (per Notice 1)",IF(M622&lt;TODAY(),"Expired",IF(M622&lt;TODAY()+180,"Expiring Soon","Active")))</f>
        <v>Active (per Notice 1)</v>
      </c>
      <c r="O622" s="13" t="s">
        <v>292</v>
      </c>
      <c r="P622" s="8" t="s">
        <v>296</v>
      </c>
      <c r="Q622" s="8" t="n">
        <v>3.59</v>
      </c>
      <c r="R622" s="8" t="n">
        <v>3</v>
      </c>
      <c r="S622" s="11" t="n">
        <v>44817</v>
      </c>
      <c r="T622" s="8" t="str">
        <f aca="true">IF(S622="","",IF(EDATE(S622,60)&lt;TODAY(),"Expired",IF(EDATE(S622,60)&lt;TODAY()+180,"Expiring Soon","Valid")))</f>
        <v>Valid</v>
      </c>
      <c r="U622" s="8" t="str">
        <f aca="false">IF(P622="","",IF(P622="A++","Top Tier",IF(P622="A+","High",IF(P622="A","Strong",IF(LEFT(P622,1)="B","Acceptable",IF(LEFT(P622,1)="C","Below Avg","-"))))))</f>
        <v>Top Tier</v>
      </c>
      <c r="V622" s="8" t="s">
        <v>380</v>
      </c>
      <c r="W622" s="9" t="s">
        <v>603</v>
      </c>
      <c r="X622" s="14" t="s">
        <v>604</v>
      </c>
      <c r="AC622" s="8"/>
      <c r="AD622" s="8"/>
      <c r="AE622" s="8"/>
      <c r="AF622" s="8"/>
      <c r="AG622" s="8" t="n">
        <v>46</v>
      </c>
      <c r="AH622" s="8"/>
      <c r="AI622" s="8"/>
      <c r="AJ622" s="8"/>
      <c r="AK622" s="8" t="n">
        <v>31</v>
      </c>
      <c r="AL622" s="8"/>
      <c r="AM622" s="8"/>
      <c r="AN622" s="8"/>
      <c r="AO622" s="8"/>
      <c r="AP622" s="8"/>
      <c r="AQ622" s="8"/>
      <c r="AR622" s="8"/>
      <c r="AS622" s="8"/>
      <c r="AT622" s="8"/>
      <c r="AU622" s="8"/>
    </row>
    <row r="623" customFormat="false" ht="15" hidden="false" customHeight="true" outlineLevel="0" collapsed="false">
      <c r="A623" s="8" t="n">
        <v>622</v>
      </c>
      <c r="B623" s="8" t="n">
        <v>95</v>
      </c>
      <c r="C623" s="8" t="s">
        <v>601</v>
      </c>
      <c r="D623" s="8" t="s">
        <v>315</v>
      </c>
      <c r="E623" s="9" t="s">
        <v>602</v>
      </c>
      <c r="F623" s="9" t="s">
        <v>332</v>
      </c>
      <c r="G623" s="8" t="s">
        <v>304</v>
      </c>
      <c r="H623" s="8" t="s">
        <v>302</v>
      </c>
      <c r="I623" s="8" t="s">
        <v>291</v>
      </c>
      <c r="J623" s="8" t="s">
        <v>292</v>
      </c>
      <c r="K623" s="8" t="s">
        <v>293</v>
      </c>
      <c r="L623" s="9" t="s">
        <v>294</v>
      </c>
      <c r="M623" s="8"/>
      <c r="N623" s="8" t="str">
        <f aca="true">IF(M623="","Active (per Notice 1)",IF(M623&lt;TODAY(),"Expired",IF(M623&lt;TODAY()+180,"Expiring Soon","Active")))</f>
        <v>Active (per Notice 1)</v>
      </c>
      <c r="O623" s="13" t="s">
        <v>292</v>
      </c>
      <c r="P623" s="8" t="s">
        <v>296</v>
      </c>
      <c r="Q623" s="8" t="n">
        <v>3.59</v>
      </c>
      <c r="R623" s="8" t="n">
        <v>3</v>
      </c>
      <c r="S623" s="11" t="n">
        <v>44817</v>
      </c>
      <c r="T623" s="8" t="str">
        <f aca="true">IF(S623="","",IF(EDATE(S623,60)&lt;TODAY(),"Expired",IF(EDATE(S623,60)&lt;TODAY()+180,"Expiring Soon","Valid")))</f>
        <v>Valid</v>
      </c>
      <c r="U623" s="8" t="str">
        <f aca="false">IF(P623="","",IF(P623="A++","Top Tier",IF(P623="A+","High",IF(P623="A","Strong",IF(LEFT(P623,1)="B","Acceptable",IF(LEFT(P623,1)="C","Below Avg","-"))))))</f>
        <v>Top Tier</v>
      </c>
      <c r="V623" s="8" t="s">
        <v>380</v>
      </c>
      <c r="W623" s="9" t="s">
        <v>603</v>
      </c>
      <c r="X623" s="14" t="s">
        <v>604</v>
      </c>
      <c r="AC623" s="8"/>
      <c r="AD623" s="8"/>
      <c r="AE623" s="8"/>
      <c r="AF623" s="8"/>
      <c r="AG623" s="8" t="n">
        <v>46</v>
      </c>
      <c r="AH623" s="8"/>
      <c r="AI623" s="8"/>
      <c r="AJ623" s="8"/>
      <c r="AK623" s="8" t="n">
        <v>31</v>
      </c>
      <c r="AL623" s="8"/>
      <c r="AM623" s="8"/>
      <c r="AN623" s="8"/>
      <c r="AO623" s="8"/>
      <c r="AP623" s="8"/>
      <c r="AQ623" s="8"/>
      <c r="AR623" s="8"/>
      <c r="AS623" s="8"/>
      <c r="AT623" s="8"/>
      <c r="AU623" s="8"/>
    </row>
    <row r="624" customFormat="false" ht="23.25" hidden="false" customHeight="true" outlineLevel="0" collapsed="false">
      <c r="A624" s="8" t="n">
        <v>623</v>
      </c>
      <c r="B624" s="8" t="n">
        <v>96</v>
      </c>
      <c r="C624" s="8" t="s">
        <v>601</v>
      </c>
      <c r="D624" s="8" t="s">
        <v>315</v>
      </c>
      <c r="E624" s="9" t="s">
        <v>605</v>
      </c>
      <c r="F624" s="9" t="s">
        <v>401</v>
      </c>
      <c r="G624" s="8" t="s">
        <v>386</v>
      </c>
      <c r="H624" s="8" t="s">
        <v>302</v>
      </c>
      <c r="I624" s="8" t="s">
        <v>291</v>
      </c>
      <c r="J624" s="8" t="s">
        <v>292</v>
      </c>
      <c r="K624" s="8" t="s">
        <v>293</v>
      </c>
      <c r="L624" s="9" t="s">
        <v>294</v>
      </c>
      <c r="M624" s="8"/>
      <c r="N624" s="8" t="str">
        <f aca="true">IF(M624="","Active (per Notice 1)",IF(M624&lt;TODAY(),"Expired",IF(M624&lt;TODAY()+180,"Expiring Soon","Active")))</f>
        <v>Active (per Notice 1)</v>
      </c>
      <c r="O624" s="10" t="s">
        <v>295</v>
      </c>
      <c r="P624" s="8" t="s">
        <v>327</v>
      </c>
      <c r="Q624" s="8" t="n">
        <v>3.37</v>
      </c>
      <c r="R624" s="8" t="n">
        <v>2</v>
      </c>
      <c r="S624" s="11" t="n">
        <v>44551</v>
      </c>
      <c r="T624" s="8" t="str">
        <f aca="true">IF(S624="","",IF(EDATE(S624,60)&lt;TODAY(),"Expired",IF(EDATE(S624,60)&lt;TODAY()+180,"Expiring Soon","Valid")))</f>
        <v>Valid</v>
      </c>
      <c r="U624" s="8" t="str">
        <f aca="false">IF(P624="","",IF(P624="A++","Top Tier",IF(P624="A+","High",IF(P624="A","Strong",IF(LEFT(P624,1)="B","Acceptable",IF(LEFT(P624,1)="C","Below Avg","-"))))))</f>
        <v>High</v>
      </c>
      <c r="AT624" s="8"/>
      <c r="AU624" s="8"/>
    </row>
    <row r="625" customFormat="false" ht="15" hidden="false" customHeight="true" outlineLevel="0" collapsed="false">
      <c r="A625" s="8" t="n">
        <v>624</v>
      </c>
      <c r="B625" s="8" t="n">
        <v>97</v>
      </c>
      <c r="C625" s="8" t="s">
        <v>606</v>
      </c>
      <c r="D625" s="8" t="s">
        <v>338</v>
      </c>
      <c r="E625" s="9" t="s">
        <v>607</v>
      </c>
      <c r="F625" s="9" t="s">
        <v>299</v>
      </c>
      <c r="G625" s="8" t="s">
        <v>289</v>
      </c>
      <c r="H625" s="8" t="s">
        <v>290</v>
      </c>
      <c r="I625" s="8" t="s">
        <v>291</v>
      </c>
      <c r="J625" s="8" t="s">
        <v>292</v>
      </c>
      <c r="K625" s="8" t="s">
        <v>293</v>
      </c>
      <c r="L625" s="9" t="s">
        <v>294</v>
      </c>
      <c r="M625" s="8"/>
      <c r="N625" s="8" t="str">
        <f aca="true">IF(M625="","Active (per Notice 1)",IF(M625&lt;TODAY(),"Expired",IF(M625&lt;TODAY()+180,"Expiring Soon","Active")))</f>
        <v>Active (per Notice 1)</v>
      </c>
      <c r="O625" s="10" t="s">
        <v>295</v>
      </c>
      <c r="P625" s="8" t="s">
        <v>327</v>
      </c>
      <c r="Q625" s="8" t="n">
        <v>3.35</v>
      </c>
      <c r="R625" s="8" t="n">
        <v>2</v>
      </c>
      <c r="S625" s="11" t="n">
        <v>44691</v>
      </c>
      <c r="T625" s="8" t="str">
        <f aca="true">IF(S625="","",IF(EDATE(S625,60)&lt;TODAY(),"Expired",IF(EDATE(S625,60)&lt;TODAY()+180,"Expiring Soon","Valid")))</f>
        <v>Valid</v>
      </c>
      <c r="U625" s="8" t="str">
        <f aca="false">IF(P625="","",IF(P625="A++","Top Tier",IF(P625="A+","High",IF(P625="A","Strong",IF(LEFT(P625,1)="B","Acceptable",IF(LEFT(P625,1)="C","Below Avg","-"))))))</f>
        <v>High</v>
      </c>
      <c r="AC625" s="8" t="n">
        <v>19</v>
      </c>
      <c r="AD625" s="8" t="n">
        <v>10</v>
      </c>
      <c r="AE625" s="8" t="n">
        <v>28</v>
      </c>
      <c r="AF625" s="8" t="n">
        <v>34</v>
      </c>
      <c r="AG625" s="8" t="n">
        <v>69</v>
      </c>
      <c r="AH625" s="8"/>
      <c r="AI625" s="8" t="n">
        <v>29</v>
      </c>
      <c r="AJ625" s="8" t="n">
        <v>28</v>
      </c>
      <c r="AK625" s="8" t="n">
        <v>9</v>
      </c>
      <c r="AL625" s="8" t="n">
        <v>26</v>
      </c>
      <c r="AM625" s="8"/>
      <c r="AN625" s="8"/>
      <c r="AO625" s="8"/>
      <c r="AP625" s="8"/>
      <c r="AQ625" s="8"/>
      <c r="AR625" s="8"/>
      <c r="AS625" s="8"/>
      <c r="AT625" s="8"/>
      <c r="AU625" s="8"/>
    </row>
    <row r="626" customFormat="false" ht="15" hidden="false" customHeight="true" outlineLevel="0" collapsed="false">
      <c r="A626" s="8" t="n">
        <v>625</v>
      </c>
      <c r="B626" s="8" t="n">
        <v>97</v>
      </c>
      <c r="C626" s="8" t="s">
        <v>606</v>
      </c>
      <c r="D626" s="8" t="s">
        <v>338</v>
      </c>
      <c r="E626" s="9" t="s">
        <v>607</v>
      </c>
      <c r="F626" s="9" t="s">
        <v>608</v>
      </c>
      <c r="G626" s="8" t="s">
        <v>298</v>
      </c>
      <c r="H626" s="8" t="s">
        <v>290</v>
      </c>
      <c r="I626" s="8" t="s">
        <v>291</v>
      </c>
      <c r="J626" s="8" t="s">
        <v>292</v>
      </c>
      <c r="K626" s="8" t="s">
        <v>293</v>
      </c>
      <c r="L626" s="9" t="s">
        <v>294</v>
      </c>
      <c r="M626" s="8"/>
      <c r="N626" s="8" t="str">
        <f aca="true">IF(M626="","Active (per Notice 1)",IF(M626&lt;TODAY(),"Expired",IF(M626&lt;TODAY()+180,"Expiring Soon","Active")))</f>
        <v>Active (per Notice 1)</v>
      </c>
      <c r="O626" s="10" t="s">
        <v>295</v>
      </c>
      <c r="P626" s="8" t="s">
        <v>327</v>
      </c>
      <c r="Q626" s="8" t="n">
        <v>3.35</v>
      </c>
      <c r="R626" s="8" t="n">
        <v>2</v>
      </c>
      <c r="S626" s="11" t="n">
        <v>44691</v>
      </c>
      <c r="T626" s="8" t="str">
        <f aca="true">IF(S626="","",IF(EDATE(S626,60)&lt;TODAY(),"Expired",IF(EDATE(S626,60)&lt;TODAY()+180,"Expiring Soon","Valid")))</f>
        <v>Valid</v>
      </c>
      <c r="U626" s="8" t="str">
        <f aca="false">IF(P626="","",IF(P626="A++","Top Tier",IF(P626="A+","High",IF(P626="A","Strong",IF(LEFT(P626,1)="B","Acceptable",IF(LEFT(P626,1)="C","Below Avg","-"))))))</f>
        <v>High</v>
      </c>
      <c r="AC626" s="8" t="n">
        <v>19</v>
      </c>
      <c r="AD626" s="8" t="n">
        <v>10</v>
      </c>
      <c r="AE626" s="8" t="n">
        <v>28</v>
      </c>
      <c r="AF626" s="8" t="n">
        <v>34</v>
      </c>
      <c r="AG626" s="8" t="n">
        <v>69</v>
      </c>
      <c r="AH626" s="8"/>
      <c r="AI626" s="8" t="n">
        <v>29</v>
      </c>
      <c r="AJ626" s="8" t="n">
        <v>28</v>
      </c>
      <c r="AK626" s="8" t="n">
        <v>9</v>
      </c>
      <c r="AL626" s="8" t="n">
        <v>26</v>
      </c>
      <c r="AM626" s="8"/>
      <c r="AN626" s="8"/>
      <c r="AO626" s="8"/>
      <c r="AP626" s="8"/>
      <c r="AQ626" s="8"/>
      <c r="AR626" s="8"/>
      <c r="AS626" s="8"/>
      <c r="AT626" s="8"/>
      <c r="AU626" s="8"/>
    </row>
    <row r="627" customFormat="false" ht="15" hidden="false" customHeight="true" outlineLevel="0" collapsed="false">
      <c r="A627" s="8" t="n">
        <v>626</v>
      </c>
      <c r="B627" s="8" t="n">
        <v>97</v>
      </c>
      <c r="C627" s="8" t="s">
        <v>606</v>
      </c>
      <c r="D627" s="8" t="s">
        <v>338</v>
      </c>
      <c r="E627" s="9" t="s">
        <v>607</v>
      </c>
      <c r="F627" s="9" t="s">
        <v>311</v>
      </c>
      <c r="G627" s="8" t="s">
        <v>301</v>
      </c>
      <c r="H627" s="8" t="s">
        <v>302</v>
      </c>
      <c r="I627" s="8" t="s">
        <v>291</v>
      </c>
      <c r="J627" s="8" t="s">
        <v>292</v>
      </c>
      <c r="K627" s="8" t="s">
        <v>293</v>
      </c>
      <c r="L627" s="9" t="s">
        <v>294</v>
      </c>
      <c r="M627" s="8"/>
      <c r="N627" s="8" t="str">
        <f aca="true">IF(M627="","Active (per Notice 1)",IF(M627&lt;TODAY(),"Expired",IF(M627&lt;TODAY()+180,"Expiring Soon","Active")))</f>
        <v>Active (per Notice 1)</v>
      </c>
      <c r="O627" s="10" t="s">
        <v>295</v>
      </c>
      <c r="P627" s="8" t="s">
        <v>327</v>
      </c>
      <c r="Q627" s="8" t="n">
        <v>3.35</v>
      </c>
      <c r="R627" s="8" t="n">
        <v>2</v>
      </c>
      <c r="S627" s="11" t="n">
        <v>44691</v>
      </c>
      <c r="T627" s="8" t="str">
        <f aca="true">IF(S627="","",IF(EDATE(S627,60)&lt;TODAY(),"Expired",IF(EDATE(S627,60)&lt;TODAY()+180,"Expiring Soon","Valid")))</f>
        <v>Valid</v>
      </c>
      <c r="U627" s="8" t="str">
        <f aca="false">IF(P627="","",IF(P627="A++","Top Tier",IF(P627="A+","High",IF(P627="A","Strong",IF(LEFT(P627,1)="B","Acceptable",IF(LEFT(P627,1)="C","Below Avg","-"))))))</f>
        <v>High</v>
      </c>
      <c r="AC627" s="8" t="n">
        <v>19</v>
      </c>
      <c r="AD627" s="8" t="n">
        <v>10</v>
      </c>
      <c r="AE627" s="8" t="n">
        <v>28</v>
      </c>
      <c r="AF627" s="8" t="n">
        <v>34</v>
      </c>
      <c r="AG627" s="8" t="n">
        <v>69</v>
      </c>
      <c r="AH627" s="8"/>
      <c r="AI627" s="8" t="n">
        <v>29</v>
      </c>
      <c r="AJ627" s="8" t="n">
        <v>28</v>
      </c>
      <c r="AK627" s="8" t="n">
        <v>9</v>
      </c>
      <c r="AL627" s="8" t="n">
        <v>26</v>
      </c>
      <c r="AM627" s="8"/>
      <c r="AN627" s="8"/>
      <c r="AO627" s="8"/>
      <c r="AP627" s="8"/>
      <c r="AQ627" s="8"/>
      <c r="AR627" s="8"/>
      <c r="AS627" s="8"/>
      <c r="AT627" s="8"/>
      <c r="AU627" s="8"/>
    </row>
    <row r="628" customFormat="false" ht="15" hidden="false" customHeight="true" outlineLevel="0" collapsed="false">
      <c r="A628" s="8" t="n">
        <v>627</v>
      </c>
      <c r="B628" s="8" t="n">
        <v>97</v>
      </c>
      <c r="C628" s="8" t="s">
        <v>606</v>
      </c>
      <c r="D628" s="8" t="s">
        <v>338</v>
      </c>
      <c r="E628" s="9" t="s">
        <v>607</v>
      </c>
      <c r="F628" s="9" t="s">
        <v>347</v>
      </c>
      <c r="G628" s="8" t="s">
        <v>301</v>
      </c>
      <c r="H628" s="8" t="s">
        <v>302</v>
      </c>
      <c r="I628" s="8" t="s">
        <v>291</v>
      </c>
      <c r="J628" s="8" t="s">
        <v>292</v>
      </c>
      <c r="K628" s="8" t="s">
        <v>293</v>
      </c>
      <c r="L628" s="9" t="s">
        <v>294</v>
      </c>
      <c r="M628" s="8"/>
      <c r="N628" s="8" t="str">
        <f aca="true">IF(M628="","Active (per Notice 1)",IF(M628&lt;TODAY(),"Expired",IF(M628&lt;TODAY()+180,"Expiring Soon","Active")))</f>
        <v>Active (per Notice 1)</v>
      </c>
      <c r="O628" s="10" t="s">
        <v>295</v>
      </c>
      <c r="P628" s="8" t="s">
        <v>327</v>
      </c>
      <c r="Q628" s="8" t="n">
        <v>3.35</v>
      </c>
      <c r="R628" s="8" t="n">
        <v>2</v>
      </c>
      <c r="S628" s="11" t="n">
        <v>44691</v>
      </c>
      <c r="T628" s="8" t="str">
        <f aca="true">IF(S628="","",IF(EDATE(S628,60)&lt;TODAY(),"Expired",IF(EDATE(S628,60)&lt;TODAY()+180,"Expiring Soon","Valid")))</f>
        <v>Valid</v>
      </c>
      <c r="U628" s="8" t="str">
        <f aca="false">IF(P628="","",IF(P628="A++","Top Tier",IF(P628="A+","High",IF(P628="A","Strong",IF(LEFT(P628,1)="B","Acceptable",IF(LEFT(P628,1)="C","Below Avg","-"))))))</f>
        <v>High</v>
      </c>
      <c r="AC628" s="8" t="n">
        <v>19</v>
      </c>
      <c r="AD628" s="8" t="n">
        <v>10</v>
      </c>
      <c r="AE628" s="8" t="n">
        <v>28</v>
      </c>
      <c r="AF628" s="8" t="n">
        <v>34</v>
      </c>
      <c r="AG628" s="8" t="n">
        <v>69</v>
      </c>
      <c r="AH628" s="8"/>
      <c r="AI628" s="8" t="n">
        <v>29</v>
      </c>
      <c r="AJ628" s="8" t="n">
        <v>28</v>
      </c>
      <c r="AK628" s="8" t="n">
        <v>9</v>
      </c>
      <c r="AL628" s="8" t="n">
        <v>26</v>
      </c>
      <c r="AM628" s="8"/>
      <c r="AN628" s="8"/>
      <c r="AO628" s="8"/>
      <c r="AP628" s="8"/>
      <c r="AQ628" s="8"/>
      <c r="AR628" s="8"/>
      <c r="AS628" s="8"/>
      <c r="AT628" s="8"/>
      <c r="AU628" s="8"/>
    </row>
    <row r="629" customFormat="false" ht="15" hidden="false" customHeight="true" outlineLevel="0" collapsed="false">
      <c r="A629" s="8" t="n">
        <v>628</v>
      </c>
      <c r="B629" s="8" t="n">
        <v>97</v>
      </c>
      <c r="C629" s="8" t="s">
        <v>606</v>
      </c>
      <c r="D629" s="8" t="s">
        <v>338</v>
      </c>
      <c r="E629" s="9" t="s">
        <v>607</v>
      </c>
      <c r="F629" s="9" t="s">
        <v>310</v>
      </c>
      <c r="G629" s="8" t="s">
        <v>301</v>
      </c>
      <c r="H629" s="8" t="s">
        <v>302</v>
      </c>
      <c r="I629" s="8" t="s">
        <v>291</v>
      </c>
      <c r="J629" s="8" t="s">
        <v>292</v>
      </c>
      <c r="K629" s="8" t="s">
        <v>293</v>
      </c>
      <c r="L629" s="9" t="s">
        <v>294</v>
      </c>
      <c r="M629" s="8"/>
      <c r="N629" s="8" t="str">
        <f aca="true">IF(M629="","Active (per Notice 1)",IF(M629&lt;TODAY(),"Expired",IF(M629&lt;TODAY()+180,"Expiring Soon","Active")))</f>
        <v>Active (per Notice 1)</v>
      </c>
      <c r="O629" s="10" t="s">
        <v>295</v>
      </c>
      <c r="P629" s="8" t="s">
        <v>327</v>
      </c>
      <c r="Q629" s="8" t="n">
        <v>3.35</v>
      </c>
      <c r="R629" s="8" t="n">
        <v>2</v>
      </c>
      <c r="S629" s="11" t="n">
        <v>44691</v>
      </c>
      <c r="T629" s="8" t="str">
        <f aca="true">IF(S629="","",IF(EDATE(S629,60)&lt;TODAY(),"Expired",IF(EDATE(S629,60)&lt;TODAY()+180,"Expiring Soon","Valid")))</f>
        <v>Valid</v>
      </c>
      <c r="U629" s="8" t="str">
        <f aca="false">IF(P629="","",IF(P629="A++","Top Tier",IF(P629="A+","High",IF(P629="A","Strong",IF(LEFT(P629,1)="B","Acceptable",IF(LEFT(P629,1)="C","Below Avg","-"))))))</f>
        <v>High</v>
      </c>
      <c r="AC629" s="8" t="n">
        <v>19</v>
      </c>
      <c r="AD629" s="8" t="n">
        <v>10</v>
      </c>
      <c r="AE629" s="8" t="n">
        <v>28</v>
      </c>
      <c r="AF629" s="8" t="n">
        <v>34</v>
      </c>
      <c r="AG629" s="8" t="n">
        <v>69</v>
      </c>
      <c r="AH629" s="8"/>
      <c r="AI629" s="8" t="n">
        <v>29</v>
      </c>
      <c r="AJ629" s="8" t="n">
        <v>28</v>
      </c>
      <c r="AK629" s="8" t="n">
        <v>9</v>
      </c>
      <c r="AL629" s="8" t="n">
        <v>26</v>
      </c>
      <c r="AM629" s="8"/>
      <c r="AN629" s="8"/>
      <c r="AO629" s="8"/>
      <c r="AP629" s="8"/>
      <c r="AQ629" s="8"/>
      <c r="AR629" s="8"/>
      <c r="AS629" s="8"/>
      <c r="AT629" s="8"/>
      <c r="AU629" s="8"/>
    </row>
    <row r="630" customFormat="false" ht="15" hidden="false" customHeight="true" outlineLevel="0" collapsed="false">
      <c r="A630" s="8" t="n">
        <v>629</v>
      </c>
      <c r="B630" s="8" t="n">
        <v>97</v>
      </c>
      <c r="C630" s="8" t="s">
        <v>606</v>
      </c>
      <c r="D630" s="8" t="s">
        <v>338</v>
      </c>
      <c r="E630" s="9" t="s">
        <v>607</v>
      </c>
      <c r="F630" s="9" t="s">
        <v>312</v>
      </c>
      <c r="G630" s="8" t="s">
        <v>301</v>
      </c>
      <c r="H630" s="8" t="s">
        <v>302</v>
      </c>
      <c r="I630" s="8" t="s">
        <v>291</v>
      </c>
      <c r="J630" s="8" t="s">
        <v>292</v>
      </c>
      <c r="K630" s="8" t="s">
        <v>293</v>
      </c>
      <c r="L630" s="9" t="s">
        <v>294</v>
      </c>
      <c r="M630" s="8"/>
      <c r="N630" s="8" t="str">
        <f aca="true">IF(M630="","Active (per Notice 1)",IF(M630&lt;TODAY(),"Expired",IF(M630&lt;TODAY()+180,"Expiring Soon","Active")))</f>
        <v>Active (per Notice 1)</v>
      </c>
      <c r="O630" s="10" t="s">
        <v>295</v>
      </c>
      <c r="P630" s="8" t="s">
        <v>327</v>
      </c>
      <c r="Q630" s="8" t="n">
        <v>3.35</v>
      </c>
      <c r="R630" s="8" t="n">
        <v>2</v>
      </c>
      <c r="S630" s="11" t="n">
        <v>44691</v>
      </c>
      <c r="T630" s="8" t="str">
        <f aca="true">IF(S630="","",IF(EDATE(S630,60)&lt;TODAY(),"Expired",IF(EDATE(S630,60)&lt;TODAY()+180,"Expiring Soon","Valid")))</f>
        <v>Valid</v>
      </c>
      <c r="U630" s="8" t="str">
        <f aca="false">IF(P630="","",IF(P630="A++","Top Tier",IF(P630="A+","High",IF(P630="A","Strong",IF(LEFT(P630,1)="B","Acceptable",IF(LEFT(P630,1)="C","Below Avg","-"))))))</f>
        <v>High</v>
      </c>
      <c r="AC630" s="8" t="n">
        <v>19</v>
      </c>
      <c r="AD630" s="8" t="n">
        <v>10</v>
      </c>
      <c r="AE630" s="8" t="n">
        <v>28</v>
      </c>
      <c r="AF630" s="8" t="n">
        <v>34</v>
      </c>
      <c r="AG630" s="8" t="n">
        <v>69</v>
      </c>
      <c r="AH630" s="8"/>
      <c r="AI630" s="8" t="n">
        <v>29</v>
      </c>
      <c r="AJ630" s="8" t="n">
        <v>28</v>
      </c>
      <c r="AK630" s="8" t="n">
        <v>9</v>
      </c>
      <c r="AL630" s="8" t="n">
        <v>26</v>
      </c>
      <c r="AM630" s="8"/>
      <c r="AN630" s="8"/>
      <c r="AO630" s="8"/>
      <c r="AP630" s="8"/>
      <c r="AQ630" s="8"/>
      <c r="AR630" s="8"/>
      <c r="AS630" s="8"/>
      <c r="AT630" s="8"/>
      <c r="AU630" s="8"/>
    </row>
    <row r="631" customFormat="false" ht="15" hidden="false" customHeight="true" outlineLevel="0" collapsed="false">
      <c r="A631" s="8" t="n">
        <v>630</v>
      </c>
      <c r="B631" s="8" t="n">
        <v>97</v>
      </c>
      <c r="C631" s="8" t="s">
        <v>606</v>
      </c>
      <c r="D631" s="8" t="s">
        <v>338</v>
      </c>
      <c r="E631" s="9" t="s">
        <v>607</v>
      </c>
      <c r="F631" s="9" t="s">
        <v>363</v>
      </c>
      <c r="G631" s="8" t="s">
        <v>301</v>
      </c>
      <c r="H631" s="8" t="s">
        <v>302</v>
      </c>
      <c r="I631" s="8" t="s">
        <v>291</v>
      </c>
      <c r="J631" s="8" t="s">
        <v>292</v>
      </c>
      <c r="K631" s="8" t="s">
        <v>293</v>
      </c>
      <c r="L631" s="9" t="s">
        <v>294</v>
      </c>
      <c r="M631" s="8"/>
      <c r="N631" s="8" t="str">
        <f aca="true">IF(M631="","Active (per Notice 1)",IF(M631&lt;TODAY(),"Expired",IF(M631&lt;TODAY()+180,"Expiring Soon","Active")))</f>
        <v>Active (per Notice 1)</v>
      </c>
      <c r="O631" s="10" t="s">
        <v>295</v>
      </c>
      <c r="P631" s="8" t="s">
        <v>327</v>
      </c>
      <c r="Q631" s="8" t="n">
        <v>3.35</v>
      </c>
      <c r="R631" s="8" t="n">
        <v>2</v>
      </c>
      <c r="S631" s="11" t="n">
        <v>44691</v>
      </c>
      <c r="T631" s="8" t="str">
        <f aca="true">IF(S631="","",IF(EDATE(S631,60)&lt;TODAY(),"Expired",IF(EDATE(S631,60)&lt;TODAY()+180,"Expiring Soon","Valid")))</f>
        <v>Valid</v>
      </c>
      <c r="U631" s="8" t="str">
        <f aca="false">IF(P631="","",IF(P631="A++","Top Tier",IF(P631="A+","High",IF(P631="A","Strong",IF(LEFT(P631,1)="B","Acceptable",IF(LEFT(P631,1)="C","Below Avg","-"))))))</f>
        <v>High</v>
      </c>
      <c r="AC631" s="8" t="n">
        <v>19</v>
      </c>
      <c r="AD631" s="8" t="n">
        <v>10</v>
      </c>
      <c r="AE631" s="8" t="n">
        <v>28</v>
      </c>
      <c r="AF631" s="8" t="n">
        <v>34</v>
      </c>
      <c r="AG631" s="8" t="n">
        <v>69</v>
      </c>
      <c r="AH631" s="8"/>
      <c r="AI631" s="8" t="n">
        <v>29</v>
      </c>
      <c r="AJ631" s="8" t="n">
        <v>28</v>
      </c>
      <c r="AK631" s="8" t="n">
        <v>9</v>
      </c>
      <c r="AL631" s="8" t="n">
        <v>26</v>
      </c>
      <c r="AM631" s="8"/>
      <c r="AN631" s="8"/>
      <c r="AO631" s="8"/>
      <c r="AP631" s="8"/>
      <c r="AQ631" s="8"/>
      <c r="AR631" s="8"/>
      <c r="AS631" s="8"/>
      <c r="AT631" s="8"/>
      <c r="AU631" s="8"/>
    </row>
    <row r="632" customFormat="false" ht="15" hidden="false" customHeight="true" outlineLevel="0" collapsed="false">
      <c r="A632" s="8" t="n">
        <v>631</v>
      </c>
      <c r="B632" s="8" t="n">
        <v>97</v>
      </c>
      <c r="C632" s="8" t="s">
        <v>606</v>
      </c>
      <c r="D632" s="8" t="s">
        <v>338</v>
      </c>
      <c r="E632" s="9" t="s">
        <v>607</v>
      </c>
      <c r="F632" s="9" t="s">
        <v>362</v>
      </c>
      <c r="G632" s="8" t="s">
        <v>301</v>
      </c>
      <c r="H632" s="8" t="s">
        <v>302</v>
      </c>
      <c r="I632" s="8" t="s">
        <v>291</v>
      </c>
      <c r="J632" s="8" t="s">
        <v>292</v>
      </c>
      <c r="K632" s="8" t="s">
        <v>293</v>
      </c>
      <c r="L632" s="9" t="s">
        <v>294</v>
      </c>
      <c r="M632" s="8"/>
      <c r="N632" s="8" t="str">
        <f aca="true">IF(M632="","Active (per Notice 1)",IF(M632&lt;TODAY(),"Expired",IF(M632&lt;TODAY()+180,"Expiring Soon","Active")))</f>
        <v>Active (per Notice 1)</v>
      </c>
      <c r="O632" s="10" t="s">
        <v>295</v>
      </c>
      <c r="P632" s="8" t="s">
        <v>327</v>
      </c>
      <c r="Q632" s="8" t="n">
        <v>3.35</v>
      </c>
      <c r="R632" s="8" t="n">
        <v>2</v>
      </c>
      <c r="S632" s="11" t="n">
        <v>44691</v>
      </c>
      <c r="T632" s="8" t="str">
        <f aca="true">IF(S632="","",IF(EDATE(S632,60)&lt;TODAY(),"Expired",IF(EDATE(S632,60)&lt;TODAY()+180,"Expiring Soon","Valid")))</f>
        <v>Valid</v>
      </c>
      <c r="U632" s="8" t="str">
        <f aca="false">IF(P632="","",IF(P632="A++","Top Tier",IF(P632="A+","High",IF(P632="A","Strong",IF(LEFT(P632,1)="B","Acceptable",IF(LEFT(P632,1)="C","Below Avg","-"))))))</f>
        <v>High</v>
      </c>
      <c r="AC632" s="8" t="n">
        <v>19</v>
      </c>
      <c r="AD632" s="8" t="n">
        <v>10</v>
      </c>
      <c r="AE632" s="8" t="n">
        <v>28</v>
      </c>
      <c r="AF632" s="8" t="n">
        <v>34</v>
      </c>
      <c r="AG632" s="8" t="n">
        <v>69</v>
      </c>
      <c r="AH632" s="8"/>
      <c r="AI632" s="8" t="n">
        <v>29</v>
      </c>
      <c r="AJ632" s="8" t="n">
        <v>28</v>
      </c>
      <c r="AK632" s="8" t="n">
        <v>9</v>
      </c>
      <c r="AL632" s="8" t="n">
        <v>26</v>
      </c>
      <c r="AM632" s="8"/>
      <c r="AN632" s="8"/>
      <c r="AO632" s="8"/>
      <c r="AP632" s="8"/>
      <c r="AQ632" s="8"/>
      <c r="AR632" s="8"/>
      <c r="AS632" s="8"/>
      <c r="AT632" s="8"/>
      <c r="AU632" s="8"/>
    </row>
    <row r="633" customFormat="false" ht="15" hidden="false" customHeight="true" outlineLevel="0" collapsed="false">
      <c r="A633" s="8" t="n">
        <v>632</v>
      </c>
      <c r="B633" s="8" t="n">
        <v>97</v>
      </c>
      <c r="C633" s="8" t="s">
        <v>606</v>
      </c>
      <c r="D633" s="8" t="s">
        <v>338</v>
      </c>
      <c r="E633" s="9" t="s">
        <v>607</v>
      </c>
      <c r="F633" s="9" t="s">
        <v>308</v>
      </c>
      <c r="G633" s="8" t="s">
        <v>309</v>
      </c>
      <c r="H633" s="8" t="s">
        <v>302</v>
      </c>
      <c r="I633" s="8" t="s">
        <v>291</v>
      </c>
      <c r="J633" s="8" t="s">
        <v>292</v>
      </c>
      <c r="K633" s="8" t="s">
        <v>293</v>
      </c>
      <c r="L633" s="9" t="s">
        <v>294</v>
      </c>
      <c r="M633" s="8"/>
      <c r="N633" s="8" t="str">
        <f aca="true">IF(M633="","Active (per Notice 1)",IF(M633&lt;TODAY(),"Expired",IF(M633&lt;TODAY()+180,"Expiring Soon","Active")))</f>
        <v>Active (per Notice 1)</v>
      </c>
      <c r="O633" s="10" t="s">
        <v>295</v>
      </c>
      <c r="P633" s="8" t="s">
        <v>327</v>
      </c>
      <c r="Q633" s="8" t="n">
        <v>3.35</v>
      </c>
      <c r="R633" s="8" t="n">
        <v>2</v>
      </c>
      <c r="S633" s="11" t="n">
        <v>44691</v>
      </c>
      <c r="T633" s="8" t="str">
        <f aca="true">IF(S633="","",IF(EDATE(S633,60)&lt;TODAY(),"Expired",IF(EDATE(S633,60)&lt;TODAY()+180,"Expiring Soon","Valid")))</f>
        <v>Valid</v>
      </c>
      <c r="U633" s="8" t="str">
        <f aca="false">IF(P633="","",IF(P633="A++","Top Tier",IF(P633="A+","High",IF(P633="A","Strong",IF(LEFT(P633,1)="B","Acceptable",IF(LEFT(P633,1)="C","Below Avg","-"))))))</f>
        <v>High</v>
      </c>
      <c r="AC633" s="8" t="n">
        <v>19</v>
      </c>
      <c r="AD633" s="8" t="n">
        <v>10</v>
      </c>
      <c r="AE633" s="8" t="n">
        <v>28</v>
      </c>
      <c r="AF633" s="8" t="n">
        <v>34</v>
      </c>
      <c r="AG633" s="8" t="n">
        <v>69</v>
      </c>
      <c r="AH633" s="8"/>
      <c r="AI633" s="8" t="n">
        <v>29</v>
      </c>
      <c r="AJ633" s="8" t="n">
        <v>28</v>
      </c>
      <c r="AK633" s="8" t="n">
        <v>9</v>
      </c>
      <c r="AL633" s="8" t="n">
        <v>26</v>
      </c>
      <c r="AM633" s="8"/>
      <c r="AN633" s="8"/>
      <c r="AO633" s="8"/>
      <c r="AP633" s="8"/>
      <c r="AQ633" s="8"/>
      <c r="AR633" s="8"/>
      <c r="AS633" s="8"/>
      <c r="AT633" s="8"/>
      <c r="AU633" s="8"/>
    </row>
    <row r="634" customFormat="false" ht="15" hidden="false" customHeight="true" outlineLevel="0" collapsed="false">
      <c r="A634" s="8" t="n">
        <v>633</v>
      </c>
      <c r="B634" s="8" t="n">
        <v>97</v>
      </c>
      <c r="C634" s="8" t="s">
        <v>606</v>
      </c>
      <c r="D634" s="8" t="s">
        <v>338</v>
      </c>
      <c r="E634" s="9" t="s">
        <v>607</v>
      </c>
      <c r="F634" s="9" t="s">
        <v>303</v>
      </c>
      <c r="G634" s="8" t="s">
        <v>304</v>
      </c>
      <c r="H634" s="8" t="s">
        <v>302</v>
      </c>
      <c r="I634" s="8" t="s">
        <v>291</v>
      </c>
      <c r="J634" s="8" t="s">
        <v>292</v>
      </c>
      <c r="K634" s="8" t="s">
        <v>293</v>
      </c>
      <c r="L634" s="9" t="s">
        <v>294</v>
      </c>
      <c r="M634" s="8"/>
      <c r="N634" s="8" t="str">
        <f aca="true">IF(M634="","Active (per Notice 1)",IF(M634&lt;TODAY(),"Expired",IF(M634&lt;TODAY()+180,"Expiring Soon","Active")))</f>
        <v>Active (per Notice 1)</v>
      </c>
      <c r="O634" s="12" t="s">
        <v>305</v>
      </c>
      <c r="P634" s="8" t="s">
        <v>327</v>
      </c>
      <c r="Q634" s="8" t="n">
        <v>3.35</v>
      </c>
      <c r="R634" s="8" t="n">
        <v>2</v>
      </c>
      <c r="S634" s="11" t="n">
        <v>44691</v>
      </c>
      <c r="T634" s="8" t="str">
        <f aca="true">IF(S634="","",IF(EDATE(S634,60)&lt;TODAY(),"Expired",IF(EDATE(S634,60)&lt;TODAY()+180,"Expiring Soon","Valid")))</f>
        <v>Valid</v>
      </c>
      <c r="U634" s="8" t="str">
        <f aca="false">IF(P634="","",IF(P634="A++","Top Tier",IF(P634="A+","High",IF(P634="A","Strong",IF(LEFT(P634,1)="B","Acceptable",IF(LEFT(P634,1)="C","Below Avg","-"))))))</f>
        <v>High</v>
      </c>
      <c r="AC634" s="8" t="n">
        <v>19</v>
      </c>
      <c r="AD634" s="8" t="n">
        <v>10</v>
      </c>
      <c r="AE634" s="8" t="n">
        <v>28</v>
      </c>
      <c r="AF634" s="8" t="n">
        <v>34</v>
      </c>
      <c r="AG634" s="8" t="n">
        <v>69</v>
      </c>
      <c r="AH634" s="8"/>
      <c r="AI634" s="8" t="n">
        <v>29</v>
      </c>
      <c r="AJ634" s="8" t="n">
        <v>28</v>
      </c>
      <c r="AK634" s="8" t="n">
        <v>9</v>
      </c>
      <c r="AL634" s="8" t="n">
        <v>26</v>
      </c>
      <c r="AM634" s="8"/>
      <c r="AN634" s="8"/>
      <c r="AO634" s="8"/>
      <c r="AP634" s="8"/>
      <c r="AQ634" s="8"/>
      <c r="AR634" s="8"/>
      <c r="AS634" s="8"/>
      <c r="AT634" s="8"/>
      <c r="AU634" s="8"/>
    </row>
    <row r="635" customFormat="false" ht="15" hidden="false" customHeight="true" outlineLevel="0" collapsed="false">
      <c r="A635" s="8" t="n">
        <v>634</v>
      </c>
      <c r="B635" s="8" t="n">
        <v>97</v>
      </c>
      <c r="C635" s="8" t="s">
        <v>606</v>
      </c>
      <c r="D635" s="8" t="s">
        <v>338</v>
      </c>
      <c r="E635" s="9" t="s">
        <v>607</v>
      </c>
      <c r="F635" s="9" t="s">
        <v>345</v>
      </c>
      <c r="G635" s="8" t="s">
        <v>346</v>
      </c>
      <c r="H635" s="8" t="s">
        <v>302</v>
      </c>
      <c r="I635" s="8" t="s">
        <v>291</v>
      </c>
      <c r="J635" s="8" t="s">
        <v>292</v>
      </c>
      <c r="K635" s="8" t="s">
        <v>293</v>
      </c>
      <c r="L635" s="9" t="s">
        <v>294</v>
      </c>
      <c r="M635" s="8"/>
      <c r="N635" s="8" t="str">
        <f aca="true">IF(M635="","Active (per Notice 1)",IF(M635&lt;TODAY(),"Expired",IF(M635&lt;TODAY()+180,"Expiring Soon","Active")))</f>
        <v>Active (per Notice 1)</v>
      </c>
      <c r="O635" s="10" t="s">
        <v>295</v>
      </c>
      <c r="P635" s="8" t="s">
        <v>327</v>
      </c>
      <c r="Q635" s="8" t="n">
        <v>3.35</v>
      </c>
      <c r="R635" s="8" t="n">
        <v>2</v>
      </c>
      <c r="S635" s="11" t="n">
        <v>44691</v>
      </c>
      <c r="T635" s="8" t="str">
        <f aca="true">IF(S635="","",IF(EDATE(S635,60)&lt;TODAY(),"Expired",IF(EDATE(S635,60)&lt;TODAY()+180,"Expiring Soon","Valid")))</f>
        <v>Valid</v>
      </c>
      <c r="U635" s="8" t="str">
        <f aca="false">IF(P635="","",IF(P635="A++","Top Tier",IF(P635="A+","High",IF(P635="A","Strong",IF(LEFT(P635,1)="B","Acceptable",IF(LEFT(P635,1)="C","Below Avg","-"))))))</f>
        <v>High</v>
      </c>
      <c r="AC635" s="8" t="n">
        <v>19</v>
      </c>
      <c r="AD635" s="8" t="n">
        <v>10</v>
      </c>
      <c r="AE635" s="8" t="n">
        <v>28</v>
      </c>
      <c r="AF635" s="8" t="n">
        <v>34</v>
      </c>
      <c r="AG635" s="8" t="n">
        <v>69</v>
      </c>
      <c r="AH635" s="8"/>
      <c r="AI635" s="8" t="n">
        <v>29</v>
      </c>
      <c r="AJ635" s="8" t="n">
        <v>28</v>
      </c>
      <c r="AK635" s="8" t="n">
        <v>9</v>
      </c>
      <c r="AL635" s="8" t="n">
        <v>26</v>
      </c>
      <c r="AM635" s="8"/>
      <c r="AN635" s="8"/>
      <c r="AO635" s="8"/>
      <c r="AP635" s="8"/>
      <c r="AQ635" s="8"/>
      <c r="AR635" s="8"/>
      <c r="AS635" s="8"/>
      <c r="AT635" s="8"/>
      <c r="AU635" s="8"/>
    </row>
    <row r="636" customFormat="false" ht="15" hidden="false" customHeight="true" outlineLevel="0" collapsed="false">
      <c r="A636" s="8" t="n">
        <v>635</v>
      </c>
      <c r="B636" s="8" t="n">
        <v>98</v>
      </c>
      <c r="C636" s="8" t="s">
        <v>606</v>
      </c>
      <c r="D636" s="8" t="s">
        <v>333</v>
      </c>
      <c r="E636" s="9" t="s">
        <v>609</v>
      </c>
      <c r="F636" s="9" t="s">
        <v>397</v>
      </c>
      <c r="G636" s="8" t="s">
        <v>320</v>
      </c>
      <c r="H636" s="8" t="s">
        <v>290</v>
      </c>
      <c r="I636" s="8" t="s">
        <v>291</v>
      </c>
      <c r="J636" s="8" t="s">
        <v>292</v>
      </c>
      <c r="K636" s="8" t="s">
        <v>293</v>
      </c>
      <c r="L636" s="9" t="s">
        <v>294</v>
      </c>
      <c r="M636" s="8"/>
      <c r="N636" s="8" t="str">
        <f aca="true">IF(M636="","Active (per Notice 1)",IF(M636&lt;TODAY(),"Expired",IF(M636&lt;TODAY()+180,"Expiring Soon","Active")))</f>
        <v>Active (per Notice 1)</v>
      </c>
      <c r="O636" s="12" t="s">
        <v>305</v>
      </c>
      <c r="P636" s="8"/>
      <c r="Q636" s="8"/>
      <c r="AC636" s="8" t="n">
        <v>37</v>
      </c>
      <c r="AD636" s="8" t="n">
        <v>22</v>
      </c>
      <c r="AE636" s="8" t="n">
        <v>38</v>
      </c>
      <c r="AF636" s="8" t="n">
        <v>37</v>
      </c>
      <c r="AG636" s="8" t="n">
        <v>49</v>
      </c>
      <c r="AH636" s="8" t="n">
        <v>18</v>
      </c>
      <c r="AI636" s="8"/>
      <c r="AJ636" s="8"/>
      <c r="AK636" s="8"/>
      <c r="AL636" s="8"/>
      <c r="AM636" s="8" t="n">
        <v>15</v>
      </c>
      <c r="AN636" s="8"/>
      <c r="AO636" s="8"/>
      <c r="AP636" s="8"/>
      <c r="AQ636" s="8"/>
      <c r="AR636" s="8"/>
      <c r="AS636" s="8"/>
      <c r="AT636" s="8"/>
      <c r="AU636" s="8"/>
    </row>
    <row r="637" customFormat="false" ht="15" hidden="false" customHeight="true" outlineLevel="0" collapsed="false">
      <c r="A637" s="8" t="n">
        <v>636</v>
      </c>
      <c r="B637" s="8" t="n">
        <v>98</v>
      </c>
      <c r="C637" s="8" t="s">
        <v>606</v>
      </c>
      <c r="D637" s="8" t="s">
        <v>333</v>
      </c>
      <c r="E637" s="9" t="s">
        <v>609</v>
      </c>
      <c r="F637" s="9" t="s">
        <v>326</v>
      </c>
      <c r="G637" s="8" t="s">
        <v>318</v>
      </c>
      <c r="H637" s="8" t="s">
        <v>290</v>
      </c>
      <c r="I637" s="8" t="s">
        <v>291</v>
      </c>
      <c r="J637" s="8" t="s">
        <v>292</v>
      </c>
      <c r="K637" s="8" t="s">
        <v>293</v>
      </c>
      <c r="L637" s="9" t="s">
        <v>294</v>
      </c>
      <c r="M637" s="8"/>
      <c r="N637" s="8" t="str">
        <f aca="true">IF(M637="","Active (per Notice 1)",IF(M637&lt;TODAY(),"Expired",IF(M637&lt;TODAY()+180,"Expiring Soon","Active")))</f>
        <v>Active (per Notice 1)</v>
      </c>
      <c r="O637" s="12" t="s">
        <v>305</v>
      </c>
      <c r="P637" s="8"/>
      <c r="Q637" s="8"/>
      <c r="AC637" s="8" t="n">
        <v>37</v>
      </c>
      <c r="AD637" s="8" t="n">
        <v>22</v>
      </c>
      <c r="AE637" s="8" t="n">
        <v>38</v>
      </c>
      <c r="AF637" s="8" t="n">
        <v>37</v>
      </c>
      <c r="AG637" s="8" t="n">
        <v>49</v>
      </c>
      <c r="AH637" s="8" t="n">
        <v>18</v>
      </c>
      <c r="AI637" s="8"/>
      <c r="AJ637" s="8"/>
      <c r="AK637" s="8"/>
      <c r="AL637" s="8"/>
      <c r="AM637" s="8" t="n">
        <v>15</v>
      </c>
      <c r="AN637" s="8"/>
      <c r="AO637" s="8"/>
      <c r="AP637" s="8"/>
      <c r="AQ637" s="8"/>
      <c r="AR637" s="8"/>
      <c r="AS637" s="8"/>
      <c r="AT637" s="8"/>
      <c r="AU637" s="8"/>
    </row>
    <row r="638" customFormat="false" ht="15" hidden="false" customHeight="true" outlineLevel="0" collapsed="false">
      <c r="A638" s="8" t="n">
        <v>637</v>
      </c>
      <c r="B638" s="8" t="n">
        <v>98</v>
      </c>
      <c r="C638" s="8" t="s">
        <v>606</v>
      </c>
      <c r="D638" s="8" t="s">
        <v>333</v>
      </c>
      <c r="E638" s="9" t="s">
        <v>609</v>
      </c>
      <c r="F638" s="9" t="s">
        <v>610</v>
      </c>
      <c r="G638" s="8" t="s">
        <v>298</v>
      </c>
      <c r="H638" s="8" t="s">
        <v>290</v>
      </c>
      <c r="I638" s="8" t="s">
        <v>291</v>
      </c>
      <c r="J638" s="8" t="s">
        <v>292</v>
      </c>
      <c r="K638" s="8" t="s">
        <v>293</v>
      </c>
      <c r="L638" s="9" t="s">
        <v>294</v>
      </c>
      <c r="M638" s="8"/>
      <c r="N638" s="8" t="str">
        <f aca="true">IF(M638="","Active (per Notice 1)",IF(M638&lt;TODAY(),"Expired",IF(M638&lt;TODAY()+180,"Expiring Soon","Active")))</f>
        <v>Active (per Notice 1)</v>
      </c>
      <c r="O638" s="10" t="s">
        <v>295</v>
      </c>
      <c r="P638" s="8"/>
      <c r="Q638" s="8"/>
      <c r="AC638" s="8" t="n">
        <v>37</v>
      </c>
      <c r="AD638" s="8" t="n">
        <v>22</v>
      </c>
      <c r="AE638" s="8" t="n">
        <v>38</v>
      </c>
      <c r="AF638" s="8" t="n">
        <v>37</v>
      </c>
      <c r="AG638" s="8" t="n">
        <v>49</v>
      </c>
      <c r="AH638" s="8" t="n">
        <v>18</v>
      </c>
      <c r="AI638" s="8"/>
      <c r="AJ638" s="8"/>
      <c r="AK638" s="8"/>
      <c r="AL638" s="8"/>
      <c r="AM638" s="8" t="n">
        <v>15</v>
      </c>
      <c r="AN638" s="8"/>
      <c r="AO638" s="8"/>
      <c r="AP638" s="8"/>
      <c r="AQ638" s="8"/>
      <c r="AR638" s="8"/>
      <c r="AS638" s="8"/>
      <c r="AT638" s="8"/>
      <c r="AU638" s="8"/>
    </row>
    <row r="639" customFormat="false" ht="15" hidden="false" customHeight="true" outlineLevel="0" collapsed="false">
      <c r="A639" s="8" t="n">
        <v>638</v>
      </c>
      <c r="B639" s="8" t="n">
        <v>98</v>
      </c>
      <c r="C639" s="8" t="s">
        <v>606</v>
      </c>
      <c r="D639" s="8" t="s">
        <v>333</v>
      </c>
      <c r="E639" s="9" t="s">
        <v>609</v>
      </c>
      <c r="F639" s="9" t="s">
        <v>314</v>
      </c>
      <c r="G639" s="8" t="s">
        <v>301</v>
      </c>
      <c r="H639" s="8" t="s">
        <v>302</v>
      </c>
      <c r="I639" s="8" t="s">
        <v>291</v>
      </c>
      <c r="J639" s="8" t="s">
        <v>292</v>
      </c>
      <c r="K639" s="8" t="s">
        <v>293</v>
      </c>
      <c r="L639" s="9" t="s">
        <v>294</v>
      </c>
      <c r="M639" s="8"/>
      <c r="N639" s="8" t="str">
        <f aca="true">IF(M639="","Active (per Notice 1)",IF(M639&lt;TODAY(),"Expired",IF(M639&lt;TODAY()+180,"Expiring Soon","Active")))</f>
        <v>Active (per Notice 1)</v>
      </c>
      <c r="O639" s="10" t="s">
        <v>295</v>
      </c>
      <c r="P639" s="8"/>
      <c r="Q639" s="8"/>
      <c r="AC639" s="8" t="n">
        <v>37</v>
      </c>
      <c r="AD639" s="8" t="n">
        <v>22</v>
      </c>
      <c r="AE639" s="8" t="n">
        <v>38</v>
      </c>
      <c r="AF639" s="8" t="n">
        <v>37</v>
      </c>
      <c r="AG639" s="8" t="n">
        <v>49</v>
      </c>
      <c r="AH639" s="8" t="n">
        <v>18</v>
      </c>
      <c r="AI639" s="8"/>
      <c r="AJ639" s="8"/>
      <c r="AK639" s="8"/>
      <c r="AL639" s="8"/>
      <c r="AM639" s="8" t="n">
        <v>15</v>
      </c>
      <c r="AN639" s="8"/>
      <c r="AO639" s="8"/>
      <c r="AP639" s="8"/>
      <c r="AQ639" s="8"/>
      <c r="AR639" s="8"/>
      <c r="AS639" s="8"/>
      <c r="AT639" s="8"/>
      <c r="AU639" s="8"/>
    </row>
    <row r="640" customFormat="false" ht="23.25" hidden="false" customHeight="true" outlineLevel="0" collapsed="false">
      <c r="A640" s="8" t="n">
        <v>639</v>
      </c>
      <c r="B640" s="8" t="n">
        <v>98</v>
      </c>
      <c r="C640" s="8" t="s">
        <v>606</v>
      </c>
      <c r="D640" s="8" t="s">
        <v>333</v>
      </c>
      <c r="E640" s="9" t="s">
        <v>609</v>
      </c>
      <c r="F640" s="9" t="s">
        <v>611</v>
      </c>
      <c r="G640" s="8" t="s">
        <v>309</v>
      </c>
      <c r="H640" s="8" t="s">
        <v>302</v>
      </c>
      <c r="I640" s="8" t="s">
        <v>291</v>
      </c>
      <c r="J640" s="8" t="s">
        <v>292</v>
      </c>
      <c r="K640" s="8" t="s">
        <v>293</v>
      </c>
      <c r="L640" s="9" t="s">
        <v>294</v>
      </c>
      <c r="M640" s="8"/>
      <c r="N640" s="8" t="str">
        <f aca="true">IF(M640="","Active (per Notice 1)",IF(M640&lt;TODAY(),"Expired",IF(M640&lt;TODAY()+180,"Expiring Soon","Active")))</f>
        <v>Active (per Notice 1)</v>
      </c>
      <c r="O640" s="10" t="s">
        <v>295</v>
      </c>
      <c r="P640" s="8"/>
      <c r="Q640" s="8"/>
      <c r="AC640" s="8" t="n">
        <v>37</v>
      </c>
      <c r="AD640" s="8" t="n">
        <v>22</v>
      </c>
      <c r="AE640" s="8" t="n">
        <v>38</v>
      </c>
      <c r="AF640" s="8" t="n">
        <v>37</v>
      </c>
      <c r="AG640" s="8" t="n">
        <v>49</v>
      </c>
      <c r="AH640" s="8" t="n">
        <v>18</v>
      </c>
      <c r="AI640" s="8"/>
      <c r="AJ640" s="8"/>
      <c r="AK640" s="8"/>
      <c r="AL640" s="8"/>
      <c r="AM640" s="8" t="n">
        <v>15</v>
      </c>
      <c r="AN640" s="8"/>
      <c r="AO640" s="8"/>
      <c r="AP640" s="8"/>
      <c r="AQ640" s="8"/>
      <c r="AR640" s="8"/>
      <c r="AS640" s="8"/>
      <c r="AT640" s="8"/>
      <c r="AU640" s="8"/>
    </row>
    <row r="641" customFormat="false" ht="15" hidden="false" customHeight="true" outlineLevel="0" collapsed="false">
      <c r="A641" s="8" t="n">
        <v>640</v>
      </c>
      <c r="B641" s="8" t="n">
        <v>98</v>
      </c>
      <c r="C641" s="8" t="s">
        <v>606</v>
      </c>
      <c r="D641" s="8" t="s">
        <v>333</v>
      </c>
      <c r="E641" s="9" t="s">
        <v>609</v>
      </c>
      <c r="F641" s="9" t="s">
        <v>311</v>
      </c>
      <c r="G641" s="8" t="s">
        <v>301</v>
      </c>
      <c r="H641" s="8" t="s">
        <v>302</v>
      </c>
      <c r="I641" s="8" t="s">
        <v>291</v>
      </c>
      <c r="J641" s="8" t="s">
        <v>292</v>
      </c>
      <c r="K641" s="8" t="s">
        <v>293</v>
      </c>
      <c r="L641" s="9" t="s">
        <v>294</v>
      </c>
      <c r="M641" s="8"/>
      <c r="N641" s="8" t="str">
        <f aca="true">IF(M641="","Active (per Notice 1)",IF(M641&lt;TODAY(),"Expired",IF(M641&lt;TODAY()+180,"Expiring Soon","Active")))</f>
        <v>Active (per Notice 1)</v>
      </c>
      <c r="O641" s="10" t="s">
        <v>295</v>
      </c>
      <c r="P641" s="8"/>
      <c r="Q641" s="8"/>
      <c r="AC641" s="8" t="n">
        <v>37</v>
      </c>
      <c r="AD641" s="8" t="n">
        <v>22</v>
      </c>
      <c r="AE641" s="8" t="n">
        <v>38</v>
      </c>
      <c r="AF641" s="8" t="n">
        <v>37</v>
      </c>
      <c r="AG641" s="8" t="n">
        <v>49</v>
      </c>
      <c r="AH641" s="8" t="n">
        <v>18</v>
      </c>
      <c r="AI641" s="8"/>
      <c r="AJ641" s="8"/>
      <c r="AK641" s="8"/>
      <c r="AL641" s="8"/>
      <c r="AM641" s="8" t="n">
        <v>15</v>
      </c>
      <c r="AN641" s="8"/>
      <c r="AO641" s="8"/>
      <c r="AP641" s="8"/>
      <c r="AQ641" s="8"/>
      <c r="AR641" s="8"/>
      <c r="AS641" s="8"/>
      <c r="AT641" s="8"/>
      <c r="AU641" s="8"/>
    </row>
    <row r="642" customFormat="false" ht="15" hidden="false" customHeight="true" outlineLevel="0" collapsed="false">
      <c r="A642" s="8" t="n">
        <v>641</v>
      </c>
      <c r="B642" s="8" t="n">
        <v>98</v>
      </c>
      <c r="C642" s="8" t="s">
        <v>606</v>
      </c>
      <c r="D642" s="8" t="s">
        <v>333</v>
      </c>
      <c r="E642" s="9" t="s">
        <v>609</v>
      </c>
      <c r="F642" s="9" t="s">
        <v>306</v>
      </c>
      <c r="G642" s="8" t="s">
        <v>307</v>
      </c>
      <c r="H642" s="8" t="s">
        <v>302</v>
      </c>
      <c r="I642" s="8" t="s">
        <v>291</v>
      </c>
      <c r="J642" s="8" t="s">
        <v>292</v>
      </c>
      <c r="K642" s="8" t="s">
        <v>293</v>
      </c>
      <c r="L642" s="9" t="s">
        <v>294</v>
      </c>
      <c r="M642" s="8"/>
      <c r="N642" s="8" t="str">
        <f aca="true">IF(M642="","Active (per Notice 1)",IF(M642&lt;TODAY(),"Expired",IF(M642&lt;TODAY()+180,"Expiring Soon","Active")))</f>
        <v>Active (per Notice 1)</v>
      </c>
      <c r="O642" s="12" t="s">
        <v>305</v>
      </c>
      <c r="P642" s="8"/>
      <c r="Q642" s="8"/>
      <c r="AC642" s="8" t="n">
        <v>37</v>
      </c>
      <c r="AD642" s="8" t="n">
        <v>22</v>
      </c>
      <c r="AE642" s="8" t="n">
        <v>38</v>
      </c>
      <c r="AF642" s="8" t="n">
        <v>37</v>
      </c>
      <c r="AG642" s="8" t="n">
        <v>49</v>
      </c>
      <c r="AH642" s="8" t="n">
        <v>18</v>
      </c>
      <c r="AI642" s="8"/>
      <c r="AJ642" s="8"/>
      <c r="AK642" s="8"/>
      <c r="AL642" s="8"/>
      <c r="AM642" s="8" t="n">
        <v>15</v>
      </c>
      <c r="AN642" s="8"/>
      <c r="AO642" s="8"/>
      <c r="AP642" s="8"/>
      <c r="AQ642" s="8"/>
      <c r="AR642" s="8"/>
      <c r="AS642" s="8"/>
      <c r="AT642" s="8"/>
      <c r="AU642" s="8"/>
    </row>
    <row r="643" customFormat="false" ht="15" hidden="false" customHeight="true" outlineLevel="0" collapsed="false">
      <c r="A643" s="8" t="n">
        <v>642</v>
      </c>
      <c r="B643" s="8" t="n">
        <v>98</v>
      </c>
      <c r="C643" s="8" t="s">
        <v>606</v>
      </c>
      <c r="D643" s="8" t="s">
        <v>333</v>
      </c>
      <c r="E643" s="9" t="s">
        <v>609</v>
      </c>
      <c r="F643" s="9" t="s">
        <v>303</v>
      </c>
      <c r="G643" s="8" t="s">
        <v>304</v>
      </c>
      <c r="H643" s="8" t="s">
        <v>302</v>
      </c>
      <c r="I643" s="8" t="s">
        <v>291</v>
      </c>
      <c r="J643" s="8" t="s">
        <v>292</v>
      </c>
      <c r="K643" s="8" t="s">
        <v>293</v>
      </c>
      <c r="L643" s="9" t="s">
        <v>294</v>
      </c>
      <c r="M643" s="8"/>
      <c r="N643" s="8" t="str">
        <f aca="true">IF(M643="","Active (per Notice 1)",IF(M643&lt;TODAY(),"Expired",IF(M643&lt;TODAY()+180,"Expiring Soon","Active")))</f>
        <v>Active (per Notice 1)</v>
      </c>
      <c r="O643" s="12" t="s">
        <v>305</v>
      </c>
      <c r="P643" s="8"/>
      <c r="Q643" s="8"/>
      <c r="AC643" s="8" t="n">
        <v>37</v>
      </c>
      <c r="AD643" s="8" t="n">
        <v>22</v>
      </c>
      <c r="AE643" s="8" t="n">
        <v>38</v>
      </c>
      <c r="AF643" s="8" t="n">
        <v>37</v>
      </c>
      <c r="AG643" s="8" t="n">
        <v>49</v>
      </c>
      <c r="AH643" s="8" t="n">
        <v>18</v>
      </c>
      <c r="AI643" s="8"/>
      <c r="AJ643" s="8"/>
      <c r="AK643" s="8"/>
      <c r="AL643" s="8"/>
      <c r="AM643" s="8" t="n">
        <v>15</v>
      </c>
      <c r="AN643" s="8"/>
      <c r="AO643" s="8"/>
      <c r="AP643" s="8"/>
      <c r="AQ643" s="8"/>
      <c r="AR643" s="8"/>
      <c r="AS643" s="8"/>
      <c r="AT643" s="8"/>
      <c r="AU643" s="8"/>
    </row>
    <row r="644" customFormat="false" ht="15" hidden="false" customHeight="true" outlineLevel="0" collapsed="false">
      <c r="A644" s="8" t="n">
        <v>643</v>
      </c>
      <c r="B644" s="8" t="n">
        <v>98</v>
      </c>
      <c r="C644" s="8" t="s">
        <v>606</v>
      </c>
      <c r="D644" s="8" t="s">
        <v>333</v>
      </c>
      <c r="E644" s="9" t="s">
        <v>609</v>
      </c>
      <c r="F644" s="9" t="s">
        <v>612</v>
      </c>
      <c r="G644" s="8" t="s">
        <v>462</v>
      </c>
      <c r="H644" s="8" t="s">
        <v>302</v>
      </c>
      <c r="I644" s="8" t="s">
        <v>291</v>
      </c>
      <c r="J644" s="8" t="s">
        <v>292</v>
      </c>
      <c r="K644" s="8" t="s">
        <v>293</v>
      </c>
      <c r="L644" s="9" t="s">
        <v>294</v>
      </c>
      <c r="M644" s="8"/>
      <c r="N644" s="8" t="str">
        <f aca="true">IF(M644="","Active (per Notice 1)",IF(M644&lt;TODAY(),"Expired",IF(M644&lt;TODAY()+180,"Expiring Soon","Active")))</f>
        <v>Active (per Notice 1)</v>
      </c>
      <c r="O644" s="12" t="s">
        <v>305</v>
      </c>
      <c r="P644" s="8"/>
      <c r="Q644" s="8"/>
      <c r="AC644" s="8" t="n">
        <v>37</v>
      </c>
      <c r="AD644" s="8" t="n">
        <v>22</v>
      </c>
      <c r="AE644" s="8" t="n">
        <v>38</v>
      </c>
      <c r="AF644" s="8" t="n">
        <v>37</v>
      </c>
      <c r="AG644" s="8" t="n">
        <v>49</v>
      </c>
      <c r="AH644" s="8" t="n">
        <v>18</v>
      </c>
      <c r="AI644" s="8"/>
      <c r="AJ644" s="8"/>
      <c r="AK644" s="8"/>
      <c r="AL644" s="8"/>
      <c r="AM644" s="8" t="n">
        <v>15</v>
      </c>
      <c r="AN644" s="8"/>
      <c r="AO644" s="8"/>
      <c r="AP644" s="8"/>
      <c r="AQ644" s="8"/>
      <c r="AR644" s="8"/>
      <c r="AS644" s="8"/>
      <c r="AT644" s="8"/>
      <c r="AU644" s="8"/>
    </row>
    <row r="645" customFormat="false" ht="15" hidden="false" customHeight="true" outlineLevel="0" collapsed="false">
      <c r="A645" s="8" t="n">
        <v>644</v>
      </c>
      <c r="B645" s="8" t="n">
        <v>98</v>
      </c>
      <c r="C645" s="8" t="s">
        <v>606</v>
      </c>
      <c r="D645" s="8" t="s">
        <v>333</v>
      </c>
      <c r="E645" s="9" t="s">
        <v>609</v>
      </c>
      <c r="F645" s="9" t="s">
        <v>613</v>
      </c>
      <c r="G645" s="8" t="s">
        <v>462</v>
      </c>
      <c r="H645" s="8" t="s">
        <v>302</v>
      </c>
      <c r="I645" s="8" t="s">
        <v>291</v>
      </c>
      <c r="J645" s="8" t="s">
        <v>292</v>
      </c>
      <c r="K645" s="8" t="s">
        <v>293</v>
      </c>
      <c r="L645" s="9" t="s">
        <v>294</v>
      </c>
      <c r="M645" s="8"/>
      <c r="N645" s="8" t="str">
        <f aca="true">IF(M645="","Active (per Notice 1)",IF(M645&lt;TODAY(),"Expired",IF(M645&lt;TODAY()+180,"Expiring Soon","Active")))</f>
        <v>Active (per Notice 1)</v>
      </c>
      <c r="O645" s="12" t="s">
        <v>305</v>
      </c>
      <c r="P645" s="8"/>
      <c r="Q645" s="8"/>
      <c r="AC645" s="8" t="n">
        <v>37</v>
      </c>
      <c r="AD645" s="8" t="n">
        <v>22</v>
      </c>
      <c r="AE645" s="8" t="n">
        <v>38</v>
      </c>
      <c r="AF645" s="8" t="n">
        <v>37</v>
      </c>
      <c r="AG645" s="8" t="n">
        <v>49</v>
      </c>
      <c r="AH645" s="8" t="n">
        <v>18</v>
      </c>
      <c r="AI645" s="8"/>
      <c r="AJ645" s="8"/>
      <c r="AK645" s="8"/>
      <c r="AL645" s="8"/>
      <c r="AM645" s="8" t="n">
        <v>15</v>
      </c>
      <c r="AN645" s="8"/>
      <c r="AO645" s="8"/>
      <c r="AP645" s="8"/>
      <c r="AQ645" s="8"/>
      <c r="AR645" s="8"/>
      <c r="AS645" s="8"/>
      <c r="AT645" s="8"/>
      <c r="AU645" s="8"/>
    </row>
    <row r="646" customFormat="false" ht="15" hidden="false" customHeight="true" outlineLevel="0" collapsed="false">
      <c r="A646" s="8" t="n">
        <v>645</v>
      </c>
      <c r="B646" s="8" t="n">
        <v>98</v>
      </c>
      <c r="C646" s="8" t="s">
        <v>606</v>
      </c>
      <c r="D646" s="8" t="s">
        <v>333</v>
      </c>
      <c r="E646" s="9" t="s">
        <v>609</v>
      </c>
      <c r="F646" s="9" t="s">
        <v>614</v>
      </c>
      <c r="G646" s="8" t="s">
        <v>462</v>
      </c>
      <c r="H646" s="8" t="s">
        <v>302</v>
      </c>
      <c r="I646" s="8" t="s">
        <v>291</v>
      </c>
      <c r="J646" s="8" t="s">
        <v>292</v>
      </c>
      <c r="K646" s="8" t="s">
        <v>293</v>
      </c>
      <c r="L646" s="9" t="s">
        <v>294</v>
      </c>
      <c r="M646" s="8"/>
      <c r="N646" s="8" t="str">
        <f aca="true">IF(M646="","Active (per Notice 1)",IF(M646&lt;TODAY(),"Expired",IF(M646&lt;TODAY()+180,"Expiring Soon","Active")))</f>
        <v>Active (per Notice 1)</v>
      </c>
      <c r="O646" s="12" t="s">
        <v>305</v>
      </c>
      <c r="P646" s="8"/>
      <c r="Q646" s="8"/>
      <c r="AC646" s="8" t="n">
        <v>37</v>
      </c>
      <c r="AD646" s="8" t="n">
        <v>22</v>
      </c>
      <c r="AE646" s="8" t="n">
        <v>38</v>
      </c>
      <c r="AF646" s="8" t="n">
        <v>37</v>
      </c>
      <c r="AG646" s="8" t="n">
        <v>49</v>
      </c>
      <c r="AH646" s="8" t="n">
        <v>18</v>
      </c>
      <c r="AI646" s="8"/>
      <c r="AJ646" s="8"/>
      <c r="AK646" s="8"/>
      <c r="AL646" s="8"/>
      <c r="AM646" s="8" t="n">
        <v>15</v>
      </c>
      <c r="AN646" s="8"/>
      <c r="AO646" s="8"/>
      <c r="AP646" s="8"/>
      <c r="AQ646" s="8"/>
      <c r="AR646" s="8"/>
      <c r="AS646" s="8"/>
      <c r="AT646" s="8"/>
      <c r="AU646" s="8"/>
    </row>
    <row r="647" customFormat="false" ht="15" hidden="false" customHeight="true" outlineLevel="0" collapsed="false">
      <c r="A647" s="8" t="n">
        <v>646</v>
      </c>
      <c r="B647" s="8" t="n">
        <v>98</v>
      </c>
      <c r="C647" s="8" t="s">
        <v>606</v>
      </c>
      <c r="D647" s="8" t="s">
        <v>333</v>
      </c>
      <c r="E647" s="9" t="s">
        <v>609</v>
      </c>
      <c r="F647" s="9" t="s">
        <v>615</v>
      </c>
      <c r="G647" s="8" t="s">
        <v>462</v>
      </c>
      <c r="H647" s="8" t="s">
        <v>302</v>
      </c>
      <c r="I647" s="8" t="s">
        <v>291</v>
      </c>
      <c r="J647" s="8" t="s">
        <v>292</v>
      </c>
      <c r="K647" s="8" t="s">
        <v>293</v>
      </c>
      <c r="L647" s="9" t="s">
        <v>294</v>
      </c>
      <c r="M647" s="8"/>
      <c r="N647" s="8" t="str">
        <f aca="true">IF(M647="","Active (per Notice 1)",IF(M647&lt;TODAY(),"Expired",IF(M647&lt;TODAY()+180,"Expiring Soon","Active")))</f>
        <v>Active (per Notice 1)</v>
      </c>
      <c r="O647" s="12" t="s">
        <v>305</v>
      </c>
      <c r="P647" s="8"/>
      <c r="Q647" s="8"/>
      <c r="AC647" s="8" t="n">
        <v>37</v>
      </c>
      <c r="AD647" s="8" t="n">
        <v>22</v>
      </c>
      <c r="AE647" s="8" t="n">
        <v>38</v>
      </c>
      <c r="AF647" s="8" t="n">
        <v>37</v>
      </c>
      <c r="AG647" s="8" t="n">
        <v>49</v>
      </c>
      <c r="AH647" s="8" t="n">
        <v>18</v>
      </c>
      <c r="AI647" s="8"/>
      <c r="AJ647" s="8"/>
      <c r="AK647" s="8"/>
      <c r="AL647" s="8"/>
      <c r="AM647" s="8" t="n">
        <v>15</v>
      </c>
      <c r="AN647" s="8"/>
      <c r="AO647" s="8"/>
      <c r="AP647" s="8"/>
      <c r="AQ647" s="8"/>
      <c r="AR647" s="8"/>
      <c r="AS647" s="8"/>
      <c r="AT647" s="8"/>
      <c r="AU647" s="8"/>
    </row>
    <row r="648" customFormat="false" ht="15" hidden="false" customHeight="true" outlineLevel="0" collapsed="false">
      <c r="A648" s="8" t="n">
        <v>647</v>
      </c>
      <c r="B648" s="8" t="n">
        <v>99</v>
      </c>
      <c r="C648" s="8" t="s">
        <v>606</v>
      </c>
      <c r="D648" s="8" t="s">
        <v>333</v>
      </c>
      <c r="E648" s="9" t="s">
        <v>616</v>
      </c>
      <c r="F648" s="9" t="s">
        <v>326</v>
      </c>
      <c r="G648" s="8" t="s">
        <v>318</v>
      </c>
      <c r="H648" s="8" t="s">
        <v>290</v>
      </c>
      <c r="I648" s="8" t="s">
        <v>291</v>
      </c>
      <c r="J648" s="8" t="s">
        <v>292</v>
      </c>
      <c r="K648" s="8" t="s">
        <v>293</v>
      </c>
      <c r="L648" s="9" t="s">
        <v>294</v>
      </c>
      <c r="M648" s="8"/>
      <c r="N648" s="8" t="str">
        <f aca="true">IF(M648="","Active (per Notice 1)",IF(M648&lt;TODAY(),"Expired",IF(M648&lt;TODAY()+180,"Expiring Soon","Active")))</f>
        <v>Active (per Notice 1)</v>
      </c>
      <c r="O648" s="12" t="s">
        <v>305</v>
      </c>
      <c r="P648" s="8" t="s">
        <v>424</v>
      </c>
      <c r="Q648" s="8" t="n">
        <v>3.27</v>
      </c>
      <c r="R648" s="8" t="n">
        <v>2</v>
      </c>
      <c r="S648" s="11" t="n">
        <v>44943</v>
      </c>
      <c r="T648" s="8" t="str">
        <f aca="true">IF(S648="","",IF(EDATE(S648,60)&lt;TODAY(),"Expired",IF(EDATE(S648,60)&lt;TODAY()+180,"Expiring Soon","Valid")))</f>
        <v>Valid</v>
      </c>
      <c r="U648" s="8" t="str">
        <f aca="false">IF(P648="","",IF(P648="A++","Top Tier",IF(P648="A+","High",IF(P648="A","Strong",IF(LEFT(P648,1)="B","Acceptable",IF(LEFT(P648,1)="C","Below Avg","-"))))))</f>
        <v>Strong</v>
      </c>
      <c r="AC648" s="8"/>
      <c r="AD648" s="8" t="n">
        <v>87</v>
      </c>
      <c r="AE648" s="8"/>
      <c r="AF648" s="8"/>
      <c r="AG648" s="8"/>
      <c r="AH648" s="8" t="n">
        <v>57</v>
      </c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</row>
    <row r="649" customFormat="false" ht="15" hidden="false" customHeight="true" outlineLevel="0" collapsed="false">
      <c r="A649" s="8" t="n">
        <v>648</v>
      </c>
      <c r="B649" s="8" t="n">
        <v>99</v>
      </c>
      <c r="C649" s="8" t="s">
        <v>606</v>
      </c>
      <c r="D649" s="8" t="s">
        <v>333</v>
      </c>
      <c r="E649" s="9" t="s">
        <v>616</v>
      </c>
      <c r="F649" s="9" t="s">
        <v>397</v>
      </c>
      <c r="G649" s="8" t="s">
        <v>320</v>
      </c>
      <c r="H649" s="8" t="s">
        <v>290</v>
      </c>
      <c r="I649" s="8" t="s">
        <v>291</v>
      </c>
      <c r="J649" s="8" t="s">
        <v>292</v>
      </c>
      <c r="K649" s="8" t="s">
        <v>293</v>
      </c>
      <c r="L649" s="9" t="s">
        <v>294</v>
      </c>
      <c r="M649" s="8"/>
      <c r="N649" s="8" t="str">
        <f aca="true">IF(M649="","Active (per Notice 1)",IF(M649&lt;TODAY(),"Expired",IF(M649&lt;TODAY()+180,"Expiring Soon","Active")))</f>
        <v>Active (per Notice 1)</v>
      </c>
      <c r="O649" s="12" t="s">
        <v>305</v>
      </c>
      <c r="P649" s="8" t="s">
        <v>424</v>
      </c>
      <c r="Q649" s="8" t="n">
        <v>3.27</v>
      </c>
      <c r="R649" s="8" t="n">
        <v>2</v>
      </c>
      <c r="S649" s="11" t="n">
        <v>44943</v>
      </c>
      <c r="T649" s="8" t="str">
        <f aca="true">IF(S649="","",IF(EDATE(S649,60)&lt;TODAY(),"Expired",IF(EDATE(S649,60)&lt;TODAY()+180,"Expiring Soon","Valid")))</f>
        <v>Valid</v>
      </c>
      <c r="U649" s="8" t="str">
        <f aca="false">IF(P649="","",IF(P649="A++","Top Tier",IF(P649="A+","High",IF(P649="A","Strong",IF(LEFT(P649,1)="B","Acceptable",IF(LEFT(P649,1)="C","Below Avg","-"))))))</f>
        <v>Strong</v>
      </c>
      <c r="AC649" s="8"/>
      <c r="AD649" s="8" t="n">
        <v>87</v>
      </c>
      <c r="AE649" s="8"/>
      <c r="AF649" s="8"/>
      <c r="AG649" s="8"/>
      <c r="AH649" s="8" t="n">
        <v>57</v>
      </c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</row>
    <row r="650" customFormat="false" ht="15" hidden="false" customHeight="true" outlineLevel="0" collapsed="false">
      <c r="A650" s="8" t="n">
        <v>649</v>
      </c>
      <c r="B650" s="8" t="n">
        <v>99</v>
      </c>
      <c r="C650" s="8" t="s">
        <v>606</v>
      </c>
      <c r="D650" s="8" t="s">
        <v>333</v>
      </c>
      <c r="E650" s="9" t="s">
        <v>616</v>
      </c>
      <c r="F650" s="9" t="s">
        <v>617</v>
      </c>
      <c r="G650" s="8" t="s">
        <v>298</v>
      </c>
      <c r="H650" s="8" t="s">
        <v>290</v>
      </c>
      <c r="I650" s="8" t="s">
        <v>291</v>
      </c>
      <c r="J650" s="8" t="s">
        <v>292</v>
      </c>
      <c r="K650" s="8" t="s">
        <v>293</v>
      </c>
      <c r="L650" s="9" t="s">
        <v>294</v>
      </c>
      <c r="M650" s="8"/>
      <c r="N650" s="8" t="str">
        <f aca="true">IF(M650="","Active (per Notice 1)",IF(M650&lt;TODAY(),"Expired",IF(M650&lt;TODAY()+180,"Expiring Soon","Active")))</f>
        <v>Active (per Notice 1)</v>
      </c>
      <c r="O650" s="10" t="s">
        <v>295</v>
      </c>
      <c r="P650" s="8" t="s">
        <v>424</v>
      </c>
      <c r="Q650" s="8" t="n">
        <v>3.27</v>
      </c>
      <c r="R650" s="8" t="n">
        <v>2</v>
      </c>
      <c r="S650" s="11" t="n">
        <v>44943</v>
      </c>
      <c r="T650" s="8" t="str">
        <f aca="true">IF(S650="","",IF(EDATE(S650,60)&lt;TODAY(),"Expired",IF(EDATE(S650,60)&lt;TODAY()+180,"Expiring Soon","Valid")))</f>
        <v>Valid</v>
      </c>
      <c r="U650" s="8" t="str">
        <f aca="false">IF(P650="","",IF(P650="A++","Top Tier",IF(P650="A+","High",IF(P650="A","Strong",IF(LEFT(P650,1)="B","Acceptable",IF(LEFT(P650,1)="C","Below Avg","-"))))))</f>
        <v>Strong</v>
      </c>
      <c r="AC650" s="8"/>
      <c r="AD650" s="8" t="n">
        <v>87</v>
      </c>
      <c r="AE650" s="8"/>
      <c r="AF650" s="8"/>
      <c r="AG650" s="8"/>
      <c r="AH650" s="8" t="n">
        <v>57</v>
      </c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</row>
    <row r="651" customFormat="false" ht="15" hidden="false" customHeight="true" outlineLevel="0" collapsed="false">
      <c r="A651" s="8" t="n">
        <v>650</v>
      </c>
      <c r="B651" s="8" t="n">
        <v>99</v>
      </c>
      <c r="C651" s="8" t="s">
        <v>606</v>
      </c>
      <c r="D651" s="8" t="s">
        <v>333</v>
      </c>
      <c r="E651" s="9" t="s">
        <v>616</v>
      </c>
      <c r="F651" s="9" t="s">
        <v>364</v>
      </c>
      <c r="G651" s="8" t="s">
        <v>309</v>
      </c>
      <c r="H651" s="8" t="s">
        <v>302</v>
      </c>
      <c r="I651" s="8" t="s">
        <v>291</v>
      </c>
      <c r="J651" s="8" t="s">
        <v>292</v>
      </c>
      <c r="K651" s="8" t="s">
        <v>293</v>
      </c>
      <c r="L651" s="9" t="s">
        <v>294</v>
      </c>
      <c r="M651" s="8"/>
      <c r="N651" s="8" t="str">
        <f aca="true">IF(M651="","Active (per Notice 1)",IF(M651&lt;TODAY(),"Expired",IF(M651&lt;TODAY()+180,"Expiring Soon","Active")))</f>
        <v>Active (per Notice 1)</v>
      </c>
      <c r="O651" s="10" t="s">
        <v>295</v>
      </c>
      <c r="P651" s="8" t="s">
        <v>424</v>
      </c>
      <c r="Q651" s="8" t="n">
        <v>3.27</v>
      </c>
      <c r="R651" s="8" t="n">
        <v>2</v>
      </c>
      <c r="S651" s="11" t="n">
        <v>44943</v>
      </c>
      <c r="T651" s="8" t="str">
        <f aca="true">IF(S651="","",IF(EDATE(S651,60)&lt;TODAY(),"Expired",IF(EDATE(S651,60)&lt;TODAY()+180,"Expiring Soon","Valid")))</f>
        <v>Valid</v>
      </c>
      <c r="U651" s="8" t="str">
        <f aca="false">IF(P651="","",IF(P651="A++","Top Tier",IF(P651="A+","High",IF(P651="A","Strong",IF(LEFT(P651,1)="B","Acceptable",IF(LEFT(P651,1)="C","Below Avg","-"))))))</f>
        <v>Strong</v>
      </c>
      <c r="AC651" s="8"/>
      <c r="AD651" s="8" t="n">
        <v>87</v>
      </c>
      <c r="AE651" s="8"/>
      <c r="AF651" s="8"/>
      <c r="AG651" s="8"/>
      <c r="AH651" s="8" t="n">
        <v>57</v>
      </c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</row>
    <row r="652" customFormat="false" ht="15" hidden="false" customHeight="true" outlineLevel="0" collapsed="false">
      <c r="A652" s="8" t="n">
        <v>651</v>
      </c>
      <c r="B652" s="8" t="n">
        <v>99</v>
      </c>
      <c r="C652" s="8" t="s">
        <v>606</v>
      </c>
      <c r="D652" s="8" t="s">
        <v>333</v>
      </c>
      <c r="E652" s="9" t="s">
        <v>616</v>
      </c>
      <c r="F652" s="9" t="s">
        <v>303</v>
      </c>
      <c r="G652" s="8" t="s">
        <v>304</v>
      </c>
      <c r="H652" s="8" t="s">
        <v>302</v>
      </c>
      <c r="I652" s="8" t="s">
        <v>291</v>
      </c>
      <c r="J652" s="8" t="s">
        <v>292</v>
      </c>
      <c r="K652" s="8" t="s">
        <v>293</v>
      </c>
      <c r="L652" s="9" t="s">
        <v>294</v>
      </c>
      <c r="M652" s="8"/>
      <c r="N652" s="8" t="str">
        <f aca="true">IF(M652="","Active (per Notice 1)",IF(M652&lt;TODAY(),"Expired",IF(M652&lt;TODAY()+180,"Expiring Soon","Active")))</f>
        <v>Active (per Notice 1)</v>
      </c>
      <c r="O652" s="12" t="s">
        <v>305</v>
      </c>
      <c r="P652" s="8" t="s">
        <v>424</v>
      </c>
      <c r="Q652" s="8" t="n">
        <v>3.27</v>
      </c>
      <c r="R652" s="8" t="n">
        <v>2</v>
      </c>
      <c r="S652" s="11" t="n">
        <v>44943</v>
      </c>
      <c r="T652" s="8" t="str">
        <f aca="true">IF(S652="","",IF(EDATE(S652,60)&lt;TODAY(),"Expired",IF(EDATE(S652,60)&lt;TODAY()+180,"Expiring Soon","Valid")))</f>
        <v>Valid</v>
      </c>
      <c r="U652" s="8" t="str">
        <f aca="false">IF(P652="","",IF(P652="A++","Top Tier",IF(P652="A+","High",IF(P652="A","Strong",IF(LEFT(P652,1)="B","Acceptable",IF(LEFT(P652,1)="C","Below Avg","-"))))))</f>
        <v>Strong</v>
      </c>
      <c r="AC652" s="8"/>
      <c r="AD652" s="8" t="n">
        <v>87</v>
      </c>
      <c r="AE652" s="8"/>
      <c r="AF652" s="8"/>
      <c r="AG652" s="8"/>
      <c r="AH652" s="8" t="n">
        <v>57</v>
      </c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</row>
    <row r="653" customFormat="false" ht="15" hidden="false" customHeight="true" outlineLevel="0" collapsed="false">
      <c r="A653" s="8" t="n">
        <v>652</v>
      </c>
      <c r="B653" s="8" t="n">
        <v>99</v>
      </c>
      <c r="C653" s="8" t="s">
        <v>606</v>
      </c>
      <c r="D653" s="8" t="s">
        <v>333</v>
      </c>
      <c r="E653" s="9" t="s">
        <v>616</v>
      </c>
      <c r="F653" s="9" t="s">
        <v>306</v>
      </c>
      <c r="G653" s="8" t="s">
        <v>307</v>
      </c>
      <c r="H653" s="8" t="s">
        <v>302</v>
      </c>
      <c r="I653" s="8" t="s">
        <v>291</v>
      </c>
      <c r="J653" s="8" t="s">
        <v>292</v>
      </c>
      <c r="K653" s="8" t="s">
        <v>293</v>
      </c>
      <c r="L653" s="9" t="s">
        <v>294</v>
      </c>
      <c r="M653" s="8"/>
      <c r="N653" s="8" t="str">
        <f aca="true">IF(M653="","Active (per Notice 1)",IF(M653&lt;TODAY(),"Expired",IF(M653&lt;TODAY()+180,"Expiring Soon","Active")))</f>
        <v>Active (per Notice 1)</v>
      </c>
      <c r="O653" s="12" t="s">
        <v>305</v>
      </c>
      <c r="P653" s="8" t="s">
        <v>424</v>
      </c>
      <c r="Q653" s="8" t="n">
        <v>3.27</v>
      </c>
      <c r="R653" s="8" t="n">
        <v>2</v>
      </c>
      <c r="S653" s="11" t="n">
        <v>44943</v>
      </c>
      <c r="T653" s="8" t="str">
        <f aca="true">IF(S653="","",IF(EDATE(S653,60)&lt;TODAY(),"Expired",IF(EDATE(S653,60)&lt;TODAY()+180,"Expiring Soon","Valid")))</f>
        <v>Valid</v>
      </c>
      <c r="U653" s="8" t="str">
        <f aca="false">IF(P653="","",IF(P653="A++","Top Tier",IF(P653="A+","High",IF(P653="A","Strong",IF(LEFT(P653,1)="B","Acceptable",IF(LEFT(P653,1)="C","Below Avg","-"))))))</f>
        <v>Strong</v>
      </c>
      <c r="AC653" s="8"/>
      <c r="AD653" s="8" t="n">
        <v>87</v>
      </c>
      <c r="AE653" s="8"/>
      <c r="AF653" s="8"/>
      <c r="AG653" s="8"/>
      <c r="AH653" s="8" t="n">
        <v>57</v>
      </c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</row>
    <row r="654" customFormat="false" ht="15" hidden="false" customHeight="true" outlineLevel="0" collapsed="false">
      <c r="A654" s="8" t="n">
        <v>653</v>
      </c>
      <c r="B654" s="8" t="n">
        <v>99</v>
      </c>
      <c r="C654" s="8" t="s">
        <v>606</v>
      </c>
      <c r="D654" s="8" t="s">
        <v>333</v>
      </c>
      <c r="E654" s="9" t="s">
        <v>616</v>
      </c>
      <c r="F654" s="9" t="s">
        <v>312</v>
      </c>
      <c r="G654" s="8" t="s">
        <v>301</v>
      </c>
      <c r="H654" s="8" t="s">
        <v>302</v>
      </c>
      <c r="I654" s="8" t="s">
        <v>291</v>
      </c>
      <c r="J654" s="8" t="s">
        <v>292</v>
      </c>
      <c r="K654" s="8" t="s">
        <v>293</v>
      </c>
      <c r="L654" s="9" t="s">
        <v>294</v>
      </c>
      <c r="M654" s="8"/>
      <c r="N654" s="8" t="str">
        <f aca="true">IF(M654="","Active (per Notice 1)",IF(M654&lt;TODAY(),"Expired",IF(M654&lt;TODAY()+180,"Expiring Soon","Active")))</f>
        <v>Active (per Notice 1)</v>
      </c>
      <c r="O654" s="10" t="s">
        <v>295</v>
      </c>
      <c r="P654" s="8" t="s">
        <v>424</v>
      </c>
      <c r="Q654" s="8" t="n">
        <v>3.27</v>
      </c>
      <c r="R654" s="8" t="n">
        <v>2</v>
      </c>
      <c r="S654" s="11" t="n">
        <v>44943</v>
      </c>
      <c r="T654" s="8" t="str">
        <f aca="true">IF(S654="","",IF(EDATE(S654,60)&lt;TODAY(),"Expired",IF(EDATE(S654,60)&lt;TODAY()+180,"Expiring Soon","Valid")))</f>
        <v>Valid</v>
      </c>
      <c r="U654" s="8" t="str">
        <f aca="false">IF(P654="","",IF(P654="A++","Top Tier",IF(P654="A+","High",IF(P654="A","Strong",IF(LEFT(P654,1)="B","Acceptable",IF(LEFT(P654,1)="C","Below Avg","-"))))))</f>
        <v>Strong</v>
      </c>
      <c r="AC654" s="8"/>
      <c r="AD654" s="8" t="n">
        <v>87</v>
      </c>
      <c r="AE654" s="8"/>
      <c r="AF654" s="8"/>
      <c r="AG654" s="8"/>
      <c r="AH654" s="8" t="n">
        <v>57</v>
      </c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</row>
    <row r="655" customFormat="false" ht="15" hidden="false" customHeight="true" outlineLevel="0" collapsed="false">
      <c r="A655" s="8" t="n">
        <v>654</v>
      </c>
      <c r="B655" s="8" t="n">
        <v>100</v>
      </c>
      <c r="C655" s="8" t="s">
        <v>606</v>
      </c>
      <c r="D655" s="8" t="s">
        <v>333</v>
      </c>
      <c r="E655" s="9" t="s">
        <v>618</v>
      </c>
      <c r="F655" s="9" t="s">
        <v>317</v>
      </c>
      <c r="G655" s="8" t="s">
        <v>318</v>
      </c>
      <c r="H655" s="8" t="s">
        <v>290</v>
      </c>
      <c r="I655" s="8" t="s">
        <v>291</v>
      </c>
      <c r="J655" s="8" t="s">
        <v>292</v>
      </c>
      <c r="K655" s="8" t="s">
        <v>293</v>
      </c>
      <c r="L655" s="9" t="s">
        <v>294</v>
      </c>
      <c r="M655" s="8"/>
      <c r="N655" s="8" t="str">
        <f aca="true">IF(M655="","Active (per Notice 1)",IF(M655&lt;TODAY(),"Expired",IF(M655&lt;TODAY()+180,"Expiring Soon","Active")))</f>
        <v>Active (per Notice 1)</v>
      </c>
      <c r="O655" s="12" t="s">
        <v>305</v>
      </c>
      <c r="P655" s="8" t="s">
        <v>327</v>
      </c>
      <c r="Q655" s="8" t="n">
        <v>3.34</v>
      </c>
      <c r="R655" s="8" t="n">
        <v>1</v>
      </c>
      <c r="S655" s="11" t="n">
        <v>45015</v>
      </c>
      <c r="T655" s="8" t="str">
        <f aca="true">IF(S655="","",IF(EDATE(S655,60)&lt;TODAY(),"Expired",IF(EDATE(S655,60)&lt;TODAY()+180,"Expiring Soon","Valid")))</f>
        <v>Valid</v>
      </c>
      <c r="U655" s="8" t="str">
        <f aca="false">IF(P655="","",IF(P655="A++","Top Tier",IF(P655="A+","High",IF(P655="A","Strong",IF(LEFT(P655,1)="B","Acceptable",IF(LEFT(P655,1)="C","Below Avg","-"))))))</f>
        <v>High</v>
      </c>
      <c r="AT655" s="8"/>
      <c r="AU655" s="8"/>
    </row>
    <row r="656" customFormat="false" ht="15" hidden="false" customHeight="true" outlineLevel="0" collapsed="false">
      <c r="A656" s="8" t="n">
        <v>655</v>
      </c>
      <c r="B656" s="8" t="n">
        <v>100</v>
      </c>
      <c r="C656" s="8" t="s">
        <v>606</v>
      </c>
      <c r="D656" s="8" t="s">
        <v>333</v>
      </c>
      <c r="E656" s="9" t="s">
        <v>618</v>
      </c>
      <c r="F656" s="9" t="s">
        <v>319</v>
      </c>
      <c r="G656" s="8" t="s">
        <v>320</v>
      </c>
      <c r="H656" s="8" t="s">
        <v>290</v>
      </c>
      <c r="I656" s="8" t="s">
        <v>291</v>
      </c>
      <c r="J656" s="8" t="s">
        <v>292</v>
      </c>
      <c r="K656" s="8" t="s">
        <v>293</v>
      </c>
      <c r="L656" s="9" t="s">
        <v>294</v>
      </c>
      <c r="M656" s="8"/>
      <c r="N656" s="8" t="str">
        <f aca="true">IF(M656="","Active (per Notice 1)",IF(M656&lt;TODAY(),"Expired",IF(M656&lt;TODAY()+180,"Expiring Soon","Active")))</f>
        <v>Active (per Notice 1)</v>
      </c>
      <c r="O656" s="12" t="s">
        <v>305</v>
      </c>
      <c r="P656" s="8" t="s">
        <v>327</v>
      </c>
      <c r="Q656" s="8" t="n">
        <v>3.34</v>
      </c>
      <c r="R656" s="8" t="n">
        <v>1</v>
      </c>
      <c r="S656" s="11" t="n">
        <v>45015</v>
      </c>
      <c r="T656" s="8" t="str">
        <f aca="true">IF(S656="","",IF(EDATE(S656,60)&lt;TODAY(),"Expired",IF(EDATE(S656,60)&lt;TODAY()+180,"Expiring Soon","Valid")))</f>
        <v>Valid</v>
      </c>
      <c r="U656" s="8" t="str">
        <f aca="false">IF(P656="","",IF(P656="A++","Top Tier",IF(P656="A+","High",IF(P656="A","Strong",IF(LEFT(P656,1)="B","Acceptable",IF(LEFT(P656,1)="C","Below Avg","-"))))))</f>
        <v>High</v>
      </c>
      <c r="AT656" s="8"/>
      <c r="AU656" s="8"/>
    </row>
    <row r="657" customFormat="false" ht="15" hidden="false" customHeight="true" outlineLevel="0" collapsed="false">
      <c r="A657" s="8" t="n">
        <v>656</v>
      </c>
      <c r="B657" s="8" t="n">
        <v>100</v>
      </c>
      <c r="C657" s="8" t="s">
        <v>606</v>
      </c>
      <c r="D657" s="8" t="s">
        <v>333</v>
      </c>
      <c r="E657" s="9" t="s">
        <v>618</v>
      </c>
      <c r="F657" s="9" t="s">
        <v>619</v>
      </c>
      <c r="G657" s="8" t="s">
        <v>298</v>
      </c>
      <c r="H657" s="8" t="s">
        <v>290</v>
      </c>
      <c r="I657" s="8" t="s">
        <v>291</v>
      </c>
      <c r="J657" s="8" t="s">
        <v>292</v>
      </c>
      <c r="K657" s="8" t="s">
        <v>293</v>
      </c>
      <c r="L657" s="9" t="s">
        <v>294</v>
      </c>
      <c r="M657" s="8"/>
      <c r="N657" s="8" t="str">
        <f aca="true">IF(M657="","Active (per Notice 1)",IF(M657&lt;TODAY(),"Expired",IF(M657&lt;TODAY()+180,"Expiring Soon","Active")))</f>
        <v>Active (per Notice 1)</v>
      </c>
      <c r="O657" s="10" t="s">
        <v>295</v>
      </c>
      <c r="P657" s="8" t="s">
        <v>327</v>
      </c>
      <c r="Q657" s="8" t="n">
        <v>3.34</v>
      </c>
      <c r="R657" s="8" t="n">
        <v>1</v>
      </c>
      <c r="S657" s="11" t="n">
        <v>45015</v>
      </c>
      <c r="T657" s="8" t="str">
        <f aca="true">IF(S657="","",IF(EDATE(S657,60)&lt;TODAY(),"Expired",IF(EDATE(S657,60)&lt;TODAY()+180,"Expiring Soon","Valid")))</f>
        <v>Valid</v>
      </c>
      <c r="U657" s="8" t="str">
        <f aca="false">IF(P657="","",IF(P657="A++","Top Tier",IF(P657="A+","High",IF(P657="A","Strong",IF(LEFT(P657,1)="B","Acceptable",IF(LEFT(P657,1)="C","Below Avg","-"))))))</f>
        <v>High</v>
      </c>
      <c r="AT657" s="8"/>
      <c r="AU657" s="8"/>
    </row>
    <row r="658" customFormat="false" ht="15" hidden="false" customHeight="true" outlineLevel="0" collapsed="false">
      <c r="A658" s="8" t="n">
        <v>657</v>
      </c>
      <c r="B658" s="8" t="n">
        <v>100</v>
      </c>
      <c r="C658" s="8" t="s">
        <v>606</v>
      </c>
      <c r="D658" s="8" t="s">
        <v>333</v>
      </c>
      <c r="E658" s="9" t="s">
        <v>618</v>
      </c>
      <c r="F658" s="9" t="s">
        <v>310</v>
      </c>
      <c r="G658" s="8" t="s">
        <v>301</v>
      </c>
      <c r="H658" s="8" t="s">
        <v>302</v>
      </c>
      <c r="I658" s="8" t="s">
        <v>291</v>
      </c>
      <c r="J658" s="8" t="s">
        <v>292</v>
      </c>
      <c r="K658" s="8" t="s">
        <v>293</v>
      </c>
      <c r="L658" s="9" t="s">
        <v>294</v>
      </c>
      <c r="M658" s="8"/>
      <c r="N658" s="8" t="str">
        <f aca="true">IF(M658="","Active (per Notice 1)",IF(M658&lt;TODAY(),"Expired",IF(M658&lt;TODAY()+180,"Expiring Soon","Active")))</f>
        <v>Active (per Notice 1)</v>
      </c>
      <c r="O658" s="10" t="s">
        <v>295</v>
      </c>
      <c r="P658" s="8" t="s">
        <v>327</v>
      </c>
      <c r="Q658" s="8" t="n">
        <v>3.34</v>
      </c>
      <c r="R658" s="8" t="n">
        <v>1</v>
      </c>
      <c r="S658" s="11" t="n">
        <v>45015</v>
      </c>
      <c r="T658" s="8" t="str">
        <f aca="true">IF(S658="","",IF(EDATE(S658,60)&lt;TODAY(),"Expired",IF(EDATE(S658,60)&lt;TODAY()+180,"Expiring Soon","Valid")))</f>
        <v>Valid</v>
      </c>
      <c r="U658" s="8" t="str">
        <f aca="false">IF(P658="","",IF(P658="A++","Top Tier",IF(P658="A+","High",IF(P658="A","Strong",IF(LEFT(P658,1)="B","Acceptable",IF(LEFT(P658,1)="C","Below Avg","-"))))))</f>
        <v>High</v>
      </c>
      <c r="AT658" s="8"/>
      <c r="AU658" s="8"/>
    </row>
    <row r="659" customFormat="false" ht="15" hidden="false" customHeight="true" outlineLevel="0" collapsed="false">
      <c r="A659" s="8" t="n">
        <v>658</v>
      </c>
      <c r="B659" s="8" t="n">
        <v>100</v>
      </c>
      <c r="C659" s="8" t="s">
        <v>606</v>
      </c>
      <c r="D659" s="8" t="s">
        <v>333</v>
      </c>
      <c r="E659" s="9" t="s">
        <v>618</v>
      </c>
      <c r="F659" s="9" t="s">
        <v>314</v>
      </c>
      <c r="G659" s="8" t="s">
        <v>301</v>
      </c>
      <c r="H659" s="8" t="s">
        <v>302</v>
      </c>
      <c r="I659" s="8" t="s">
        <v>291</v>
      </c>
      <c r="J659" s="8" t="s">
        <v>292</v>
      </c>
      <c r="K659" s="8" t="s">
        <v>293</v>
      </c>
      <c r="L659" s="9" t="s">
        <v>294</v>
      </c>
      <c r="M659" s="8"/>
      <c r="N659" s="8" t="str">
        <f aca="true">IF(M659="","Active (per Notice 1)",IF(M659&lt;TODAY(),"Expired",IF(M659&lt;TODAY()+180,"Expiring Soon","Active")))</f>
        <v>Active (per Notice 1)</v>
      </c>
      <c r="O659" s="10" t="s">
        <v>295</v>
      </c>
      <c r="P659" s="8" t="s">
        <v>327</v>
      </c>
      <c r="Q659" s="8" t="n">
        <v>3.34</v>
      </c>
      <c r="R659" s="8" t="n">
        <v>1</v>
      </c>
      <c r="S659" s="11" t="n">
        <v>45015</v>
      </c>
      <c r="T659" s="8" t="str">
        <f aca="true">IF(S659="","",IF(EDATE(S659,60)&lt;TODAY(),"Expired",IF(EDATE(S659,60)&lt;TODAY()+180,"Expiring Soon","Valid")))</f>
        <v>Valid</v>
      </c>
      <c r="U659" s="8" t="str">
        <f aca="false">IF(P659="","",IF(P659="A++","Top Tier",IF(P659="A+","High",IF(P659="A","Strong",IF(LEFT(P659,1)="B","Acceptable",IF(LEFT(P659,1)="C","Below Avg","-"))))))</f>
        <v>High</v>
      </c>
      <c r="AT659" s="8"/>
      <c r="AU659" s="8"/>
    </row>
    <row r="660" customFormat="false" ht="15" hidden="false" customHeight="true" outlineLevel="0" collapsed="false">
      <c r="A660" s="8" t="n">
        <v>659</v>
      </c>
      <c r="B660" s="8" t="n">
        <v>100</v>
      </c>
      <c r="C660" s="8" t="s">
        <v>606</v>
      </c>
      <c r="D660" s="8" t="s">
        <v>333</v>
      </c>
      <c r="E660" s="9" t="s">
        <v>618</v>
      </c>
      <c r="F660" s="9" t="s">
        <v>308</v>
      </c>
      <c r="G660" s="8" t="s">
        <v>309</v>
      </c>
      <c r="H660" s="8" t="s">
        <v>302</v>
      </c>
      <c r="I660" s="8" t="s">
        <v>291</v>
      </c>
      <c r="J660" s="8" t="s">
        <v>292</v>
      </c>
      <c r="K660" s="8" t="s">
        <v>293</v>
      </c>
      <c r="L660" s="9" t="s">
        <v>294</v>
      </c>
      <c r="M660" s="8"/>
      <c r="N660" s="8" t="str">
        <f aca="true">IF(M660="","Active (per Notice 1)",IF(M660&lt;TODAY(),"Expired",IF(M660&lt;TODAY()+180,"Expiring Soon","Active")))</f>
        <v>Active (per Notice 1)</v>
      </c>
      <c r="O660" s="10" t="s">
        <v>295</v>
      </c>
      <c r="P660" s="8" t="s">
        <v>327</v>
      </c>
      <c r="Q660" s="8" t="n">
        <v>3.34</v>
      </c>
      <c r="R660" s="8" t="n">
        <v>1</v>
      </c>
      <c r="S660" s="11" t="n">
        <v>45015</v>
      </c>
      <c r="T660" s="8" t="str">
        <f aca="true">IF(S660="","",IF(EDATE(S660,60)&lt;TODAY(),"Expired",IF(EDATE(S660,60)&lt;TODAY()+180,"Expiring Soon","Valid")))</f>
        <v>Valid</v>
      </c>
      <c r="U660" s="8" t="str">
        <f aca="false">IF(P660="","",IF(P660="A++","Top Tier",IF(P660="A+","High",IF(P660="A","Strong",IF(LEFT(P660,1)="B","Acceptable",IF(LEFT(P660,1)="C","Below Avg","-"))))))</f>
        <v>High</v>
      </c>
      <c r="AT660" s="8"/>
      <c r="AU660" s="8"/>
    </row>
    <row r="661" customFormat="false" ht="15" hidden="false" customHeight="true" outlineLevel="0" collapsed="false">
      <c r="A661" s="8" t="n">
        <v>660</v>
      </c>
      <c r="B661" s="8" t="n">
        <v>100</v>
      </c>
      <c r="C661" s="8" t="s">
        <v>606</v>
      </c>
      <c r="D661" s="8" t="s">
        <v>333</v>
      </c>
      <c r="E661" s="9" t="s">
        <v>618</v>
      </c>
      <c r="F661" s="9" t="s">
        <v>385</v>
      </c>
      <c r="G661" s="8" t="s">
        <v>386</v>
      </c>
      <c r="H661" s="8" t="s">
        <v>302</v>
      </c>
      <c r="I661" s="8" t="s">
        <v>291</v>
      </c>
      <c r="J661" s="8" t="s">
        <v>292</v>
      </c>
      <c r="K661" s="8" t="s">
        <v>293</v>
      </c>
      <c r="L661" s="9" t="s">
        <v>294</v>
      </c>
      <c r="M661" s="8"/>
      <c r="N661" s="8" t="str">
        <f aca="true">IF(M661="","Active (per Notice 1)",IF(M661&lt;TODAY(),"Expired",IF(M661&lt;TODAY()+180,"Expiring Soon","Active")))</f>
        <v>Active (per Notice 1)</v>
      </c>
      <c r="O661" s="10" t="s">
        <v>295</v>
      </c>
      <c r="P661" s="8" t="s">
        <v>327</v>
      </c>
      <c r="Q661" s="8" t="n">
        <v>3.34</v>
      </c>
      <c r="R661" s="8" t="n">
        <v>1</v>
      </c>
      <c r="S661" s="11" t="n">
        <v>45015</v>
      </c>
      <c r="T661" s="8" t="str">
        <f aca="true">IF(S661="","",IF(EDATE(S661,60)&lt;TODAY(),"Expired",IF(EDATE(S661,60)&lt;TODAY()+180,"Expiring Soon","Valid")))</f>
        <v>Valid</v>
      </c>
      <c r="U661" s="8" t="str">
        <f aca="false">IF(P661="","",IF(P661="A++","Top Tier",IF(P661="A+","High",IF(P661="A","Strong",IF(LEFT(P661,1)="B","Acceptable",IF(LEFT(P661,1)="C","Below Avg","-"))))))</f>
        <v>High</v>
      </c>
      <c r="AT661" s="8"/>
      <c r="AU661" s="8"/>
    </row>
    <row r="662" customFormat="false" ht="15" hidden="false" customHeight="true" outlineLevel="0" collapsed="false">
      <c r="A662" s="8" t="n">
        <v>661</v>
      </c>
      <c r="B662" s="8" t="n">
        <v>100</v>
      </c>
      <c r="C662" s="8" t="s">
        <v>606</v>
      </c>
      <c r="D662" s="8" t="s">
        <v>333</v>
      </c>
      <c r="E662" s="9" t="s">
        <v>618</v>
      </c>
      <c r="F662" s="9" t="s">
        <v>312</v>
      </c>
      <c r="G662" s="8" t="s">
        <v>301</v>
      </c>
      <c r="H662" s="8" t="s">
        <v>302</v>
      </c>
      <c r="I662" s="8" t="s">
        <v>291</v>
      </c>
      <c r="J662" s="8" t="s">
        <v>292</v>
      </c>
      <c r="K662" s="8" t="s">
        <v>293</v>
      </c>
      <c r="L662" s="9" t="s">
        <v>294</v>
      </c>
      <c r="M662" s="8"/>
      <c r="N662" s="8" t="str">
        <f aca="true">IF(M662="","Active (per Notice 1)",IF(M662&lt;TODAY(),"Expired",IF(M662&lt;TODAY()+180,"Expiring Soon","Active")))</f>
        <v>Active (per Notice 1)</v>
      </c>
      <c r="O662" s="10" t="s">
        <v>295</v>
      </c>
      <c r="P662" s="8" t="s">
        <v>327</v>
      </c>
      <c r="Q662" s="8" t="n">
        <v>3.34</v>
      </c>
      <c r="R662" s="8" t="n">
        <v>1</v>
      </c>
      <c r="S662" s="11" t="n">
        <v>45015</v>
      </c>
      <c r="T662" s="8" t="str">
        <f aca="true">IF(S662="","",IF(EDATE(S662,60)&lt;TODAY(),"Expired",IF(EDATE(S662,60)&lt;TODAY()+180,"Expiring Soon","Valid")))</f>
        <v>Valid</v>
      </c>
      <c r="U662" s="8" t="str">
        <f aca="false">IF(P662="","",IF(P662="A++","Top Tier",IF(P662="A+","High",IF(P662="A","Strong",IF(LEFT(P662,1)="B","Acceptable",IF(LEFT(P662,1)="C","Below Avg","-"))))))</f>
        <v>High</v>
      </c>
      <c r="AT662" s="8"/>
      <c r="AU662" s="8"/>
    </row>
    <row r="663" customFormat="false" ht="15" hidden="false" customHeight="true" outlineLevel="0" collapsed="false">
      <c r="A663" s="8" t="n">
        <v>662</v>
      </c>
      <c r="B663" s="8" t="n">
        <v>100</v>
      </c>
      <c r="C663" s="8" t="s">
        <v>606</v>
      </c>
      <c r="D663" s="8" t="s">
        <v>333</v>
      </c>
      <c r="E663" s="9" t="s">
        <v>618</v>
      </c>
      <c r="F663" s="9" t="s">
        <v>360</v>
      </c>
      <c r="G663" s="8" t="s">
        <v>301</v>
      </c>
      <c r="H663" s="8" t="s">
        <v>302</v>
      </c>
      <c r="I663" s="8" t="s">
        <v>291</v>
      </c>
      <c r="J663" s="8" t="s">
        <v>292</v>
      </c>
      <c r="K663" s="8" t="s">
        <v>293</v>
      </c>
      <c r="L663" s="9" t="s">
        <v>294</v>
      </c>
      <c r="M663" s="8"/>
      <c r="N663" s="8" t="str">
        <f aca="true">IF(M663="","Active (per Notice 1)",IF(M663&lt;TODAY(),"Expired",IF(M663&lt;TODAY()+180,"Expiring Soon","Active")))</f>
        <v>Active (per Notice 1)</v>
      </c>
      <c r="O663" s="10" t="s">
        <v>295</v>
      </c>
      <c r="P663" s="8" t="s">
        <v>327</v>
      </c>
      <c r="Q663" s="8" t="n">
        <v>3.34</v>
      </c>
      <c r="R663" s="8" t="n">
        <v>1</v>
      </c>
      <c r="S663" s="11" t="n">
        <v>45015</v>
      </c>
      <c r="T663" s="8" t="str">
        <f aca="true">IF(S663="","",IF(EDATE(S663,60)&lt;TODAY(),"Expired",IF(EDATE(S663,60)&lt;TODAY()+180,"Expiring Soon","Valid")))</f>
        <v>Valid</v>
      </c>
      <c r="U663" s="8" t="str">
        <f aca="false">IF(P663="","",IF(P663="A++","Top Tier",IF(P663="A+","High",IF(P663="A","Strong",IF(LEFT(P663,1)="B","Acceptable",IF(LEFT(P663,1)="C","Below Avg","-"))))))</f>
        <v>High</v>
      </c>
      <c r="AT663" s="8"/>
      <c r="AU663" s="8"/>
    </row>
    <row r="664" customFormat="false" ht="15" hidden="false" customHeight="true" outlineLevel="0" collapsed="false">
      <c r="A664" s="8" t="n">
        <v>663</v>
      </c>
      <c r="B664" s="8" t="n">
        <v>100</v>
      </c>
      <c r="C664" s="8" t="s">
        <v>606</v>
      </c>
      <c r="D664" s="8" t="s">
        <v>333</v>
      </c>
      <c r="E664" s="9" t="s">
        <v>618</v>
      </c>
      <c r="F664" s="9" t="s">
        <v>361</v>
      </c>
      <c r="G664" s="8" t="s">
        <v>301</v>
      </c>
      <c r="H664" s="8" t="s">
        <v>302</v>
      </c>
      <c r="I664" s="8" t="s">
        <v>291</v>
      </c>
      <c r="J664" s="8" t="s">
        <v>292</v>
      </c>
      <c r="K664" s="8" t="s">
        <v>293</v>
      </c>
      <c r="L664" s="9" t="s">
        <v>294</v>
      </c>
      <c r="M664" s="8"/>
      <c r="N664" s="8" t="str">
        <f aca="true">IF(M664="","Active (per Notice 1)",IF(M664&lt;TODAY(),"Expired",IF(M664&lt;TODAY()+180,"Expiring Soon","Active")))</f>
        <v>Active (per Notice 1)</v>
      </c>
      <c r="O664" s="10" t="s">
        <v>295</v>
      </c>
      <c r="P664" s="8" t="s">
        <v>327</v>
      </c>
      <c r="Q664" s="8" t="n">
        <v>3.34</v>
      </c>
      <c r="R664" s="8" t="n">
        <v>1</v>
      </c>
      <c r="S664" s="11" t="n">
        <v>45015</v>
      </c>
      <c r="T664" s="8" t="str">
        <f aca="true">IF(S664="","",IF(EDATE(S664,60)&lt;TODAY(),"Expired",IF(EDATE(S664,60)&lt;TODAY()+180,"Expiring Soon","Valid")))</f>
        <v>Valid</v>
      </c>
      <c r="U664" s="8" t="str">
        <f aca="false">IF(P664="","",IF(P664="A++","Top Tier",IF(P664="A+","High",IF(P664="A","Strong",IF(LEFT(P664,1)="B","Acceptable",IF(LEFT(P664,1)="C","Below Avg","-"))))))</f>
        <v>High</v>
      </c>
      <c r="AT664" s="8"/>
      <c r="AU664" s="8"/>
    </row>
    <row r="665" customFormat="false" ht="15" hidden="false" customHeight="true" outlineLevel="0" collapsed="false">
      <c r="A665" s="8" t="n">
        <v>664</v>
      </c>
      <c r="B665" s="8" t="n">
        <v>100</v>
      </c>
      <c r="C665" s="8" t="s">
        <v>606</v>
      </c>
      <c r="D665" s="8" t="s">
        <v>333</v>
      </c>
      <c r="E665" s="9" t="s">
        <v>618</v>
      </c>
      <c r="F665" s="9" t="s">
        <v>306</v>
      </c>
      <c r="G665" s="8" t="s">
        <v>307</v>
      </c>
      <c r="H665" s="8" t="s">
        <v>302</v>
      </c>
      <c r="I665" s="8" t="s">
        <v>291</v>
      </c>
      <c r="J665" s="8" t="s">
        <v>292</v>
      </c>
      <c r="K665" s="8" t="s">
        <v>293</v>
      </c>
      <c r="L665" s="9" t="s">
        <v>294</v>
      </c>
      <c r="M665" s="8"/>
      <c r="N665" s="8" t="str">
        <f aca="true">IF(M665="","Active (per Notice 1)",IF(M665&lt;TODAY(),"Expired",IF(M665&lt;TODAY()+180,"Expiring Soon","Active")))</f>
        <v>Active (per Notice 1)</v>
      </c>
      <c r="O665" s="12" t="s">
        <v>305</v>
      </c>
      <c r="P665" s="8" t="s">
        <v>327</v>
      </c>
      <c r="Q665" s="8" t="n">
        <v>3.34</v>
      </c>
      <c r="R665" s="8" t="n">
        <v>1</v>
      </c>
      <c r="S665" s="11" t="n">
        <v>45015</v>
      </c>
      <c r="T665" s="8" t="str">
        <f aca="true">IF(S665="","",IF(EDATE(S665,60)&lt;TODAY(),"Expired",IF(EDATE(S665,60)&lt;TODAY()+180,"Expiring Soon","Valid")))</f>
        <v>Valid</v>
      </c>
      <c r="U665" s="8" t="str">
        <f aca="false">IF(P665="","",IF(P665="A++","Top Tier",IF(P665="A+","High",IF(P665="A","Strong",IF(LEFT(P665,1)="B","Acceptable",IF(LEFT(P665,1)="C","Below Avg","-"))))))</f>
        <v>High</v>
      </c>
      <c r="AT665" s="8"/>
      <c r="AU665" s="8"/>
    </row>
    <row r="666" customFormat="false" ht="15" hidden="false" customHeight="true" outlineLevel="0" collapsed="false">
      <c r="A666" s="8" t="n">
        <v>665</v>
      </c>
      <c r="B666" s="8" t="n">
        <v>100</v>
      </c>
      <c r="C666" s="8" t="s">
        <v>606</v>
      </c>
      <c r="D666" s="8" t="s">
        <v>333</v>
      </c>
      <c r="E666" s="9" t="s">
        <v>618</v>
      </c>
      <c r="F666" s="9" t="s">
        <v>303</v>
      </c>
      <c r="G666" s="8" t="s">
        <v>304</v>
      </c>
      <c r="H666" s="8" t="s">
        <v>302</v>
      </c>
      <c r="I666" s="8" t="s">
        <v>291</v>
      </c>
      <c r="J666" s="8" t="s">
        <v>292</v>
      </c>
      <c r="K666" s="8" t="s">
        <v>293</v>
      </c>
      <c r="L666" s="9" t="s">
        <v>294</v>
      </c>
      <c r="M666" s="8"/>
      <c r="N666" s="8" t="str">
        <f aca="true">IF(M666="","Active (per Notice 1)",IF(M666&lt;TODAY(),"Expired",IF(M666&lt;TODAY()+180,"Expiring Soon","Active")))</f>
        <v>Active (per Notice 1)</v>
      </c>
      <c r="O666" s="12" t="s">
        <v>305</v>
      </c>
      <c r="P666" s="8" t="s">
        <v>327</v>
      </c>
      <c r="Q666" s="8" t="n">
        <v>3.34</v>
      </c>
      <c r="R666" s="8" t="n">
        <v>1</v>
      </c>
      <c r="S666" s="11" t="n">
        <v>45015</v>
      </c>
      <c r="T666" s="8" t="str">
        <f aca="true">IF(S666="","",IF(EDATE(S666,60)&lt;TODAY(),"Expired",IF(EDATE(S666,60)&lt;TODAY()+180,"Expiring Soon","Valid")))</f>
        <v>Valid</v>
      </c>
      <c r="U666" s="8" t="str">
        <f aca="false">IF(P666="","",IF(P666="A++","Top Tier",IF(P666="A+","High",IF(P666="A","Strong",IF(LEFT(P666,1)="B","Acceptable",IF(LEFT(P666,1)="C","Below Avg","-"))))))</f>
        <v>High</v>
      </c>
      <c r="AT666" s="8"/>
      <c r="AU666" s="8"/>
    </row>
    <row r="667" customFormat="false" ht="15" hidden="false" customHeight="true" outlineLevel="0" collapsed="false">
      <c r="A667" s="8" t="n">
        <v>666</v>
      </c>
      <c r="B667" s="8" t="n">
        <v>101</v>
      </c>
      <c r="C667" s="8" t="s">
        <v>606</v>
      </c>
      <c r="D667" s="8" t="s">
        <v>315</v>
      </c>
      <c r="E667" s="9" t="s">
        <v>620</v>
      </c>
      <c r="F667" s="9" t="s">
        <v>303</v>
      </c>
      <c r="G667" s="8" t="s">
        <v>304</v>
      </c>
      <c r="H667" s="8" t="s">
        <v>302</v>
      </c>
      <c r="I667" s="8" t="s">
        <v>291</v>
      </c>
      <c r="J667" s="8" t="s">
        <v>292</v>
      </c>
      <c r="K667" s="8" t="s">
        <v>293</v>
      </c>
      <c r="L667" s="9" t="s">
        <v>294</v>
      </c>
      <c r="M667" s="8"/>
      <c r="N667" s="8" t="str">
        <f aca="true">IF(M667="","Active (per Notice 1)",IF(M667&lt;TODAY(),"Expired",IF(M667&lt;TODAY()+180,"Expiring Soon","Active")))</f>
        <v>Active (per Notice 1)</v>
      </c>
      <c r="O667" s="13" t="s">
        <v>292</v>
      </c>
      <c r="P667" s="8" t="s">
        <v>424</v>
      </c>
      <c r="Q667" s="8" t="n">
        <v>3.06</v>
      </c>
      <c r="R667" s="8" t="n">
        <v>1</v>
      </c>
      <c r="S667" s="11" t="n">
        <v>43795</v>
      </c>
      <c r="T667" s="8" t="str">
        <f aca="true">IF(S667="","",IF(EDATE(S667,60)&lt;TODAY(),"Expired",IF(EDATE(S667,60)&lt;TODAY()+180,"Expiring Soon","Valid")))</f>
        <v>Expired</v>
      </c>
      <c r="U667" s="8" t="str">
        <f aca="false">IF(P667="","",IF(P667="A++","Top Tier",IF(P667="A+","High",IF(P667="A","Strong",IF(LEFT(P667,1)="B","Acceptable",IF(LEFT(P667,1)="C","Below Avg","-"))))))</f>
        <v>Strong</v>
      </c>
      <c r="AC667" s="8" t="n">
        <v>85</v>
      </c>
      <c r="AD667" s="8" t="n">
        <v>57</v>
      </c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</row>
    <row r="668" customFormat="false" ht="15" hidden="false" customHeight="true" outlineLevel="0" collapsed="false">
      <c r="A668" s="8" t="n">
        <v>667</v>
      </c>
      <c r="B668" s="8" t="n">
        <v>102</v>
      </c>
      <c r="C668" s="8" t="s">
        <v>606</v>
      </c>
      <c r="D668" s="8" t="s">
        <v>333</v>
      </c>
      <c r="E668" s="9" t="s">
        <v>621</v>
      </c>
      <c r="F668" s="9" t="s">
        <v>319</v>
      </c>
      <c r="G668" s="8" t="s">
        <v>320</v>
      </c>
      <c r="H668" s="8" t="s">
        <v>290</v>
      </c>
      <c r="I668" s="8" t="s">
        <v>291</v>
      </c>
      <c r="J668" s="8" t="s">
        <v>292</v>
      </c>
      <c r="K668" s="8" t="s">
        <v>293</v>
      </c>
      <c r="L668" s="9" t="s">
        <v>294</v>
      </c>
      <c r="M668" s="8"/>
      <c r="N668" s="8" t="str">
        <f aca="true">IF(M668="","Active (per Notice 1)",IF(M668&lt;TODAY(),"Expired",IF(M668&lt;TODAY()+180,"Expiring Soon","Active")))</f>
        <v>Active (per Notice 1)</v>
      </c>
      <c r="O668" s="12" t="s">
        <v>305</v>
      </c>
      <c r="P668" s="8" t="s">
        <v>327</v>
      </c>
      <c r="Q668" s="8" t="n">
        <v>3.4</v>
      </c>
      <c r="R668" s="8" t="n">
        <v>2</v>
      </c>
      <c r="S668" s="11" t="n">
        <v>45065</v>
      </c>
      <c r="T668" s="8" t="str">
        <f aca="true">IF(S668="","",IF(EDATE(S668,60)&lt;TODAY(),"Expired",IF(EDATE(S668,60)&lt;TODAY()+180,"Expiring Soon","Valid")))</f>
        <v>Valid</v>
      </c>
      <c r="U668" s="8" t="str">
        <f aca="false">IF(P668="","",IF(P668="A++","Top Tier",IF(P668="A+","High",IF(P668="A","Strong",IF(LEFT(P668,1)="B","Acceptable",IF(LEFT(P668,1)="C","Below Avg","-"))))))</f>
        <v>High</v>
      </c>
      <c r="AC668" s="8"/>
      <c r="AD668" s="8"/>
      <c r="AE668" s="8"/>
      <c r="AF668" s="8"/>
      <c r="AG668" s="8"/>
      <c r="AH668" s="8" t="n">
        <v>40</v>
      </c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</row>
    <row r="669" customFormat="false" ht="15" hidden="false" customHeight="true" outlineLevel="0" collapsed="false">
      <c r="A669" s="8" t="n">
        <v>668</v>
      </c>
      <c r="B669" s="8" t="n">
        <v>102</v>
      </c>
      <c r="C669" s="8" t="s">
        <v>606</v>
      </c>
      <c r="D669" s="8" t="s">
        <v>333</v>
      </c>
      <c r="E669" s="9" t="s">
        <v>621</v>
      </c>
      <c r="F669" s="9" t="s">
        <v>299</v>
      </c>
      <c r="G669" s="8" t="s">
        <v>289</v>
      </c>
      <c r="H669" s="8" t="s">
        <v>290</v>
      </c>
      <c r="I669" s="8" t="s">
        <v>291</v>
      </c>
      <c r="J669" s="8" t="s">
        <v>292</v>
      </c>
      <c r="K669" s="8" t="s">
        <v>293</v>
      </c>
      <c r="L669" s="9" t="s">
        <v>294</v>
      </c>
      <c r="M669" s="8"/>
      <c r="N669" s="8" t="str">
        <f aca="true">IF(M669="","Active (per Notice 1)",IF(M669&lt;TODAY(),"Expired",IF(M669&lt;TODAY()+180,"Expiring Soon","Active")))</f>
        <v>Active (per Notice 1)</v>
      </c>
      <c r="O669" s="10" t="s">
        <v>295</v>
      </c>
      <c r="P669" s="8" t="s">
        <v>327</v>
      </c>
      <c r="Q669" s="8" t="n">
        <v>3.4</v>
      </c>
      <c r="R669" s="8" t="n">
        <v>2</v>
      </c>
      <c r="S669" s="11" t="n">
        <v>45065</v>
      </c>
      <c r="T669" s="8" t="str">
        <f aca="true">IF(S669="","",IF(EDATE(S669,60)&lt;TODAY(),"Expired",IF(EDATE(S669,60)&lt;TODAY()+180,"Expiring Soon","Valid")))</f>
        <v>Valid</v>
      </c>
      <c r="U669" s="8" t="str">
        <f aca="false">IF(P669="","",IF(P669="A++","Top Tier",IF(P669="A+","High",IF(P669="A","Strong",IF(LEFT(P669,1)="B","Acceptable",IF(LEFT(P669,1)="C","Below Avg","-"))))))</f>
        <v>High</v>
      </c>
      <c r="AC669" s="8"/>
      <c r="AD669" s="8"/>
      <c r="AE669" s="8"/>
      <c r="AF669" s="8"/>
      <c r="AG669" s="8"/>
      <c r="AH669" s="8" t="n">
        <v>40</v>
      </c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</row>
    <row r="670" customFormat="false" ht="23.25" hidden="false" customHeight="true" outlineLevel="0" collapsed="false">
      <c r="A670" s="8" t="n">
        <v>669</v>
      </c>
      <c r="B670" s="8" t="n">
        <v>102</v>
      </c>
      <c r="C670" s="8" t="s">
        <v>606</v>
      </c>
      <c r="D670" s="8" t="s">
        <v>333</v>
      </c>
      <c r="E670" s="9" t="s">
        <v>621</v>
      </c>
      <c r="F670" s="9" t="s">
        <v>622</v>
      </c>
      <c r="G670" s="8" t="s">
        <v>298</v>
      </c>
      <c r="H670" s="8" t="s">
        <v>290</v>
      </c>
      <c r="I670" s="8" t="s">
        <v>291</v>
      </c>
      <c r="J670" s="8" t="s">
        <v>292</v>
      </c>
      <c r="K670" s="8" t="s">
        <v>293</v>
      </c>
      <c r="L670" s="9" t="s">
        <v>294</v>
      </c>
      <c r="M670" s="8"/>
      <c r="N670" s="8" t="str">
        <f aca="true">IF(M670="","Active (per Notice 1)",IF(M670&lt;TODAY(),"Expired",IF(M670&lt;TODAY()+180,"Expiring Soon","Active")))</f>
        <v>Active (per Notice 1)</v>
      </c>
      <c r="O670" s="10" t="s">
        <v>295</v>
      </c>
      <c r="P670" s="8" t="s">
        <v>327</v>
      </c>
      <c r="Q670" s="8" t="n">
        <v>3.4</v>
      </c>
      <c r="R670" s="8" t="n">
        <v>2</v>
      </c>
      <c r="S670" s="11" t="n">
        <v>45065</v>
      </c>
      <c r="T670" s="8" t="str">
        <f aca="true">IF(S670="","",IF(EDATE(S670,60)&lt;TODAY(),"Expired",IF(EDATE(S670,60)&lt;TODAY()+180,"Expiring Soon","Valid")))</f>
        <v>Valid</v>
      </c>
      <c r="U670" s="8" t="str">
        <f aca="false">IF(P670="","",IF(P670="A++","Top Tier",IF(P670="A+","High",IF(P670="A","Strong",IF(LEFT(P670,1)="B","Acceptable",IF(LEFT(P670,1)="C","Below Avg","-"))))))</f>
        <v>High</v>
      </c>
      <c r="AC670" s="8"/>
      <c r="AD670" s="8"/>
      <c r="AE670" s="8"/>
      <c r="AF670" s="8"/>
      <c r="AG670" s="8"/>
      <c r="AH670" s="8" t="n">
        <v>40</v>
      </c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</row>
    <row r="671" customFormat="false" ht="15" hidden="false" customHeight="true" outlineLevel="0" collapsed="false">
      <c r="A671" s="8" t="n">
        <v>670</v>
      </c>
      <c r="B671" s="8" t="n">
        <v>102</v>
      </c>
      <c r="C671" s="8" t="s">
        <v>606</v>
      </c>
      <c r="D671" s="8" t="s">
        <v>333</v>
      </c>
      <c r="E671" s="9" t="s">
        <v>621</v>
      </c>
      <c r="F671" s="9" t="s">
        <v>343</v>
      </c>
      <c r="G671" s="8" t="s">
        <v>344</v>
      </c>
      <c r="H671" s="8" t="s">
        <v>302</v>
      </c>
      <c r="I671" s="8" t="s">
        <v>291</v>
      </c>
      <c r="J671" s="8" t="s">
        <v>292</v>
      </c>
      <c r="K671" s="8" t="s">
        <v>293</v>
      </c>
      <c r="L671" s="9" t="s">
        <v>294</v>
      </c>
      <c r="M671" s="8"/>
      <c r="N671" s="8" t="str">
        <f aca="true">IF(M671="","Active (per Notice 1)",IF(M671&lt;TODAY(),"Expired",IF(M671&lt;TODAY()+180,"Expiring Soon","Active")))</f>
        <v>Active (per Notice 1)</v>
      </c>
      <c r="O671" s="10" t="s">
        <v>295</v>
      </c>
      <c r="P671" s="8" t="s">
        <v>327</v>
      </c>
      <c r="Q671" s="8" t="n">
        <v>3.4</v>
      </c>
      <c r="R671" s="8" t="n">
        <v>2</v>
      </c>
      <c r="S671" s="11" t="n">
        <v>45065</v>
      </c>
      <c r="T671" s="8" t="str">
        <f aca="true">IF(S671="","",IF(EDATE(S671,60)&lt;TODAY(),"Expired",IF(EDATE(S671,60)&lt;TODAY()+180,"Expiring Soon","Valid")))</f>
        <v>Valid</v>
      </c>
      <c r="U671" s="8" t="str">
        <f aca="false">IF(P671="","",IF(P671="A++","Top Tier",IF(P671="A+","High",IF(P671="A","Strong",IF(LEFT(P671,1)="B","Acceptable",IF(LEFT(P671,1)="C","Below Avg","-"))))))</f>
        <v>High</v>
      </c>
      <c r="AC671" s="8"/>
      <c r="AD671" s="8"/>
      <c r="AE671" s="8"/>
      <c r="AF671" s="8"/>
      <c r="AG671" s="8"/>
      <c r="AH671" s="8" t="n">
        <v>40</v>
      </c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</row>
    <row r="672" customFormat="false" ht="15" hidden="false" customHeight="true" outlineLevel="0" collapsed="false">
      <c r="A672" s="8" t="n">
        <v>671</v>
      </c>
      <c r="B672" s="8" t="n">
        <v>102</v>
      </c>
      <c r="C672" s="8" t="s">
        <v>606</v>
      </c>
      <c r="D672" s="8" t="s">
        <v>333</v>
      </c>
      <c r="E672" s="9" t="s">
        <v>621</v>
      </c>
      <c r="F672" s="9" t="s">
        <v>385</v>
      </c>
      <c r="G672" s="8" t="s">
        <v>386</v>
      </c>
      <c r="H672" s="8" t="s">
        <v>302</v>
      </c>
      <c r="I672" s="8" t="s">
        <v>291</v>
      </c>
      <c r="J672" s="8" t="s">
        <v>292</v>
      </c>
      <c r="K672" s="8" t="s">
        <v>293</v>
      </c>
      <c r="L672" s="9" t="s">
        <v>294</v>
      </c>
      <c r="M672" s="8"/>
      <c r="N672" s="8" t="str">
        <f aca="true">IF(M672="","Active (per Notice 1)",IF(M672&lt;TODAY(),"Expired",IF(M672&lt;TODAY()+180,"Expiring Soon","Active")))</f>
        <v>Active (per Notice 1)</v>
      </c>
      <c r="O672" s="10" t="s">
        <v>295</v>
      </c>
      <c r="P672" s="8" t="s">
        <v>327</v>
      </c>
      <c r="Q672" s="8" t="n">
        <v>3.4</v>
      </c>
      <c r="R672" s="8" t="n">
        <v>2</v>
      </c>
      <c r="S672" s="11" t="n">
        <v>45065</v>
      </c>
      <c r="T672" s="8" t="str">
        <f aca="true">IF(S672="","",IF(EDATE(S672,60)&lt;TODAY(),"Expired",IF(EDATE(S672,60)&lt;TODAY()+180,"Expiring Soon","Valid")))</f>
        <v>Valid</v>
      </c>
      <c r="U672" s="8" t="str">
        <f aca="false">IF(P672="","",IF(P672="A++","Top Tier",IF(P672="A+","High",IF(P672="A","Strong",IF(LEFT(P672,1)="B","Acceptable",IF(LEFT(P672,1)="C","Below Avg","-"))))))</f>
        <v>High</v>
      </c>
      <c r="AC672" s="8"/>
      <c r="AD672" s="8"/>
      <c r="AE672" s="8"/>
      <c r="AF672" s="8"/>
      <c r="AG672" s="8"/>
      <c r="AH672" s="8" t="n">
        <v>40</v>
      </c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</row>
    <row r="673" customFormat="false" ht="15" hidden="false" customHeight="true" outlineLevel="0" collapsed="false">
      <c r="A673" s="8" t="n">
        <v>672</v>
      </c>
      <c r="B673" s="8" t="n">
        <v>102</v>
      </c>
      <c r="C673" s="8" t="s">
        <v>606</v>
      </c>
      <c r="D673" s="8" t="s">
        <v>333</v>
      </c>
      <c r="E673" s="9" t="s">
        <v>621</v>
      </c>
      <c r="F673" s="9" t="s">
        <v>308</v>
      </c>
      <c r="G673" s="8" t="s">
        <v>309</v>
      </c>
      <c r="H673" s="8" t="s">
        <v>302</v>
      </c>
      <c r="I673" s="8" t="s">
        <v>291</v>
      </c>
      <c r="J673" s="8" t="s">
        <v>292</v>
      </c>
      <c r="K673" s="8" t="s">
        <v>293</v>
      </c>
      <c r="L673" s="9" t="s">
        <v>294</v>
      </c>
      <c r="M673" s="8"/>
      <c r="N673" s="8" t="str">
        <f aca="true">IF(M673="","Active (per Notice 1)",IF(M673&lt;TODAY(),"Expired",IF(M673&lt;TODAY()+180,"Expiring Soon","Active")))</f>
        <v>Active (per Notice 1)</v>
      </c>
      <c r="O673" s="10" t="s">
        <v>295</v>
      </c>
      <c r="P673" s="8" t="s">
        <v>327</v>
      </c>
      <c r="Q673" s="8" t="n">
        <v>3.4</v>
      </c>
      <c r="R673" s="8" t="n">
        <v>2</v>
      </c>
      <c r="S673" s="11" t="n">
        <v>45065</v>
      </c>
      <c r="T673" s="8" t="str">
        <f aca="true">IF(S673="","",IF(EDATE(S673,60)&lt;TODAY(),"Expired",IF(EDATE(S673,60)&lt;TODAY()+180,"Expiring Soon","Valid")))</f>
        <v>Valid</v>
      </c>
      <c r="U673" s="8" t="str">
        <f aca="false">IF(P673="","",IF(P673="A++","Top Tier",IF(P673="A+","High",IF(P673="A","Strong",IF(LEFT(P673,1)="B","Acceptable",IF(LEFT(P673,1)="C","Below Avg","-"))))))</f>
        <v>High</v>
      </c>
      <c r="AC673" s="8"/>
      <c r="AD673" s="8"/>
      <c r="AE673" s="8"/>
      <c r="AF673" s="8"/>
      <c r="AG673" s="8"/>
      <c r="AH673" s="8" t="n">
        <v>40</v>
      </c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</row>
    <row r="674" customFormat="false" ht="15" hidden="false" customHeight="true" outlineLevel="0" collapsed="false">
      <c r="A674" s="8" t="n">
        <v>673</v>
      </c>
      <c r="B674" s="8" t="n">
        <v>102</v>
      </c>
      <c r="C674" s="8" t="s">
        <v>606</v>
      </c>
      <c r="D674" s="8" t="s">
        <v>333</v>
      </c>
      <c r="E674" s="9" t="s">
        <v>621</v>
      </c>
      <c r="F674" s="9" t="s">
        <v>311</v>
      </c>
      <c r="G674" s="8" t="s">
        <v>301</v>
      </c>
      <c r="H674" s="8" t="s">
        <v>302</v>
      </c>
      <c r="I674" s="8" t="s">
        <v>291</v>
      </c>
      <c r="J674" s="8" t="s">
        <v>292</v>
      </c>
      <c r="K674" s="8" t="s">
        <v>293</v>
      </c>
      <c r="L674" s="9" t="s">
        <v>294</v>
      </c>
      <c r="M674" s="8"/>
      <c r="N674" s="8" t="str">
        <f aca="true">IF(M674="","Active (per Notice 1)",IF(M674&lt;TODAY(),"Expired",IF(M674&lt;TODAY()+180,"Expiring Soon","Active")))</f>
        <v>Active (per Notice 1)</v>
      </c>
      <c r="O674" s="10" t="s">
        <v>295</v>
      </c>
      <c r="P674" s="8" t="s">
        <v>327</v>
      </c>
      <c r="Q674" s="8" t="n">
        <v>3.4</v>
      </c>
      <c r="R674" s="8" t="n">
        <v>2</v>
      </c>
      <c r="S674" s="11" t="n">
        <v>45065</v>
      </c>
      <c r="T674" s="8" t="str">
        <f aca="true">IF(S674="","",IF(EDATE(S674,60)&lt;TODAY(),"Expired",IF(EDATE(S674,60)&lt;TODAY()+180,"Expiring Soon","Valid")))</f>
        <v>Valid</v>
      </c>
      <c r="U674" s="8" t="str">
        <f aca="false">IF(P674="","",IF(P674="A++","Top Tier",IF(P674="A+","High",IF(P674="A","Strong",IF(LEFT(P674,1)="B","Acceptable",IF(LEFT(P674,1)="C","Below Avg","-"))))))</f>
        <v>High</v>
      </c>
      <c r="AC674" s="8"/>
      <c r="AD674" s="8"/>
      <c r="AE674" s="8"/>
      <c r="AF674" s="8"/>
      <c r="AG674" s="8"/>
      <c r="AH674" s="8" t="n">
        <v>40</v>
      </c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</row>
    <row r="675" customFormat="false" ht="15" hidden="false" customHeight="true" outlineLevel="0" collapsed="false">
      <c r="A675" s="8" t="n">
        <v>674</v>
      </c>
      <c r="B675" s="8" t="n">
        <v>102</v>
      </c>
      <c r="C675" s="8" t="s">
        <v>606</v>
      </c>
      <c r="D675" s="8" t="s">
        <v>333</v>
      </c>
      <c r="E675" s="9" t="s">
        <v>621</v>
      </c>
      <c r="F675" s="9" t="s">
        <v>312</v>
      </c>
      <c r="G675" s="8" t="s">
        <v>301</v>
      </c>
      <c r="H675" s="8" t="s">
        <v>302</v>
      </c>
      <c r="I675" s="8" t="s">
        <v>291</v>
      </c>
      <c r="J675" s="8" t="s">
        <v>292</v>
      </c>
      <c r="K675" s="8" t="s">
        <v>293</v>
      </c>
      <c r="L675" s="9" t="s">
        <v>294</v>
      </c>
      <c r="M675" s="8"/>
      <c r="N675" s="8" t="str">
        <f aca="true">IF(M675="","Active (per Notice 1)",IF(M675&lt;TODAY(),"Expired",IF(M675&lt;TODAY()+180,"Expiring Soon","Active")))</f>
        <v>Active (per Notice 1)</v>
      </c>
      <c r="O675" s="10" t="s">
        <v>295</v>
      </c>
      <c r="P675" s="8" t="s">
        <v>327</v>
      </c>
      <c r="Q675" s="8" t="n">
        <v>3.4</v>
      </c>
      <c r="R675" s="8" t="n">
        <v>2</v>
      </c>
      <c r="S675" s="11" t="n">
        <v>45065</v>
      </c>
      <c r="T675" s="8" t="str">
        <f aca="true">IF(S675="","",IF(EDATE(S675,60)&lt;TODAY(),"Expired",IF(EDATE(S675,60)&lt;TODAY()+180,"Expiring Soon","Valid")))</f>
        <v>Valid</v>
      </c>
      <c r="U675" s="8" t="str">
        <f aca="false">IF(P675="","",IF(P675="A++","Top Tier",IF(P675="A+","High",IF(P675="A","Strong",IF(LEFT(P675,1)="B","Acceptable",IF(LEFT(P675,1)="C","Below Avg","-"))))))</f>
        <v>High</v>
      </c>
      <c r="AC675" s="8"/>
      <c r="AD675" s="8"/>
      <c r="AE675" s="8"/>
      <c r="AF675" s="8"/>
      <c r="AG675" s="8"/>
      <c r="AH675" s="8" t="n">
        <v>40</v>
      </c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</row>
    <row r="676" customFormat="false" ht="15" hidden="false" customHeight="true" outlineLevel="0" collapsed="false">
      <c r="A676" s="8" t="n">
        <v>675</v>
      </c>
      <c r="B676" s="8" t="n">
        <v>102</v>
      </c>
      <c r="C676" s="8" t="s">
        <v>606</v>
      </c>
      <c r="D676" s="8" t="s">
        <v>333</v>
      </c>
      <c r="E676" s="9" t="s">
        <v>621</v>
      </c>
      <c r="F676" s="9" t="s">
        <v>347</v>
      </c>
      <c r="G676" s="8" t="s">
        <v>301</v>
      </c>
      <c r="H676" s="8" t="s">
        <v>302</v>
      </c>
      <c r="I676" s="8" t="s">
        <v>291</v>
      </c>
      <c r="J676" s="8" t="s">
        <v>292</v>
      </c>
      <c r="K676" s="8" t="s">
        <v>293</v>
      </c>
      <c r="L676" s="9" t="s">
        <v>294</v>
      </c>
      <c r="M676" s="8"/>
      <c r="N676" s="8" t="str">
        <f aca="true">IF(M676="","Active (per Notice 1)",IF(M676&lt;TODAY(),"Expired",IF(M676&lt;TODAY()+180,"Expiring Soon","Active")))</f>
        <v>Active (per Notice 1)</v>
      </c>
      <c r="O676" s="10" t="s">
        <v>295</v>
      </c>
      <c r="P676" s="8" t="s">
        <v>327</v>
      </c>
      <c r="Q676" s="8" t="n">
        <v>3.4</v>
      </c>
      <c r="R676" s="8" t="n">
        <v>2</v>
      </c>
      <c r="S676" s="11" t="n">
        <v>45065</v>
      </c>
      <c r="T676" s="8" t="str">
        <f aca="true">IF(S676="","",IF(EDATE(S676,60)&lt;TODAY(),"Expired",IF(EDATE(S676,60)&lt;TODAY()+180,"Expiring Soon","Valid")))</f>
        <v>Valid</v>
      </c>
      <c r="U676" s="8" t="str">
        <f aca="false">IF(P676="","",IF(P676="A++","Top Tier",IF(P676="A+","High",IF(P676="A","Strong",IF(LEFT(P676,1)="B","Acceptable",IF(LEFT(P676,1)="C","Below Avg","-"))))))</f>
        <v>High</v>
      </c>
      <c r="AC676" s="8"/>
      <c r="AD676" s="8"/>
      <c r="AE676" s="8"/>
      <c r="AF676" s="8"/>
      <c r="AG676" s="8"/>
      <c r="AH676" s="8" t="n">
        <v>40</v>
      </c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</row>
    <row r="677" customFormat="false" ht="15" hidden="false" customHeight="true" outlineLevel="0" collapsed="false">
      <c r="A677" s="8" t="n">
        <v>676</v>
      </c>
      <c r="B677" s="8" t="n">
        <v>102</v>
      </c>
      <c r="C677" s="8" t="s">
        <v>606</v>
      </c>
      <c r="D677" s="8" t="s">
        <v>333</v>
      </c>
      <c r="E677" s="9" t="s">
        <v>621</v>
      </c>
      <c r="F677" s="9" t="s">
        <v>310</v>
      </c>
      <c r="G677" s="8" t="s">
        <v>301</v>
      </c>
      <c r="H677" s="8" t="s">
        <v>302</v>
      </c>
      <c r="I677" s="8" t="s">
        <v>291</v>
      </c>
      <c r="J677" s="8" t="s">
        <v>292</v>
      </c>
      <c r="K677" s="8" t="s">
        <v>293</v>
      </c>
      <c r="L677" s="9" t="s">
        <v>294</v>
      </c>
      <c r="M677" s="8"/>
      <c r="N677" s="8" t="str">
        <f aca="true">IF(M677="","Active (per Notice 1)",IF(M677&lt;TODAY(),"Expired",IF(M677&lt;TODAY()+180,"Expiring Soon","Active")))</f>
        <v>Active (per Notice 1)</v>
      </c>
      <c r="O677" s="10" t="s">
        <v>295</v>
      </c>
      <c r="P677" s="8" t="s">
        <v>327</v>
      </c>
      <c r="Q677" s="8" t="n">
        <v>3.4</v>
      </c>
      <c r="R677" s="8" t="n">
        <v>2</v>
      </c>
      <c r="S677" s="11" t="n">
        <v>45065</v>
      </c>
      <c r="T677" s="8" t="str">
        <f aca="true">IF(S677="","",IF(EDATE(S677,60)&lt;TODAY(),"Expired",IF(EDATE(S677,60)&lt;TODAY()+180,"Expiring Soon","Valid")))</f>
        <v>Valid</v>
      </c>
      <c r="U677" s="8" t="str">
        <f aca="false">IF(P677="","",IF(P677="A++","Top Tier",IF(P677="A+","High",IF(P677="A","Strong",IF(LEFT(P677,1)="B","Acceptable",IF(LEFT(P677,1)="C","Below Avg","-"))))))</f>
        <v>High</v>
      </c>
      <c r="AC677" s="8"/>
      <c r="AD677" s="8"/>
      <c r="AE677" s="8"/>
      <c r="AF677" s="8"/>
      <c r="AG677" s="8"/>
      <c r="AH677" s="8" t="n">
        <v>40</v>
      </c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</row>
    <row r="678" customFormat="false" ht="15" hidden="false" customHeight="true" outlineLevel="0" collapsed="false">
      <c r="A678" s="8" t="n">
        <v>677</v>
      </c>
      <c r="B678" s="8" t="n">
        <v>102</v>
      </c>
      <c r="C678" s="8" t="s">
        <v>606</v>
      </c>
      <c r="D678" s="8" t="s">
        <v>333</v>
      </c>
      <c r="E678" s="9" t="s">
        <v>621</v>
      </c>
      <c r="F678" s="9" t="s">
        <v>300</v>
      </c>
      <c r="G678" s="8" t="s">
        <v>301</v>
      </c>
      <c r="H678" s="8" t="s">
        <v>302</v>
      </c>
      <c r="I678" s="8" t="s">
        <v>291</v>
      </c>
      <c r="J678" s="8" t="s">
        <v>292</v>
      </c>
      <c r="K678" s="8" t="s">
        <v>293</v>
      </c>
      <c r="L678" s="9" t="s">
        <v>294</v>
      </c>
      <c r="M678" s="8"/>
      <c r="N678" s="8" t="str">
        <f aca="true">IF(M678="","Active (per Notice 1)",IF(M678&lt;TODAY(),"Expired",IF(M678&lt;TODAY()+180,"Expiring Soon","Active")))</f>
        <v>Active (per Notice 1)</v>
      </c>
      <c r="O678" s="10" t="s">
        <v>295</v>
      </c>
      <c r="P678" s="8" t="s">
        <v>327</v>
      </c>
      <c r="Q678" s="8" t="n">
        <v>3.4</v>
      </c>
      <c r="R678" s="8" t="n">
        <v>2</v>
      </c>
      <c r="S678" s="11" t="n">
        <v>45065</v>
      </c>
      <c r="T678" s="8" t="str">
        <f aca="true">IF(S678="","",IF(EDATE(S678,60)&lt;TODAY(),"Expired",IF(EDATE(S678,60)&lt;TODAY()+180,"Expiring Soon","Valid")))</f>
        <v>Valid</v>
      </c>
      <c r="U678" s="8" t="str">
        <f aca="false">IF(P678="","",IF(P678="A++","Top Tier",IF(P678="A+","High",IF(P678="A","Strong",IF(LEFT(P678,1)="B","Acceptable",IF(LEFT(P678,1)="C","Below Avg","-"))))))</f>
        <v>High</v>
      </c>
      <c r="AC678" s="8"/>
      <c r="AD678" s="8"/>
      <c r="AE678" s="8"/>
      <c r="AF678" s="8"/>
      <c r="AG678" s="8"/>
      <c r="AH678" s="8" t="n">
        <v>40</v>
      </c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</row>
    <row r="679" customFormat="false" ht="15" hidden="false" customHeight="true" outlineLevel="0" collapsed="false">
      <c r="A679" s="8" t="n">
        <v>678</v>
      </c>
      <c r="B679" s="8" t="n">
        <v>102</v>
      </c>
      <c r="C679" s="8" t="s">
        <v>606</v>
      </c>
      <c r="D679" s="8" t="s">
        <v>333</v>
      </c>
      <c r="E679" s="9" t="s">
        <v>621</v>
      </c>
      <c r="F679" s="9" t="s">
        <v>303</v>
      </c>
      <c r="G679" s="8" t="s">
        <v>304</v>
      </c>
      <c r="H679" s="8" t="s">
        <v>302</v>
      </c>
      <c r="I679" s="8" t="s">
        <v>291</v>
      </c>
      <c r="J679" s="8" t="s">
        <v>292</v>
      </c>
      <c r="K679" s="8" t="s">
        <v>293</v>
      </c>
      <c r="L679" s="9" t="s">
        <v>294</v>
      </c>
      <c r="M679" s="8"/>
      <c r="N679" s="8" t="str">
        <f aca="true">IF(M679="","Active (per Notice 1)",IF(M679&lt;TODAY(),"Expired",IF(M679&lt;TODAY()+180,"Expiring Soon","Active")))</f>
        <v>Active (per Notice 1)</v>
      </c>
      <c r="O679" s="12" t="s">
        <v>305</v>
      </c>
      <c r="P679" s="8" t="s">
        <v>327</v>
      </c>
      <c r="Q679" s="8" t="n">
        <v>3.4</v>
      </c>
      <c r="R679" s="8" t="n">
        <v>2</v>
      </c>
      <c r="S679" s="11" t="n">
        <v>45065</v>
      </c>
      <c r="T679" s="8" t="str">
        <f aca="true">IF(S679="","",IF(EDATE(S679,60)&lt;TODAY(),"Expired",IF(EDATE(S679,60)&lt;TODAY()+180,"Expiring Soon","Valid")))</f>
        <v>Valid</v>
      </c>
      <c r="U679" s="8" t="str">
        <f aca="false">IF(P679="","",IF(P679="A++","Top Tier",IF(P679="A+","High",IF(P679="A","Strong",IF(LEFT(P679,1)="B","Acceptable",IF(LEFT(P679,1)="C","Below Avg","-"))))))</f>
        <v>High</v>
      </c>
      <c r="AC679" s="8"/>
      <c r="AD679" s="8"/>
      <c r="AE679" s="8"/>
      <c r="AF679" s="8"/>
      <c r="AG679" s="8"/>
      <c r="AH679" s="8" t="n">
        <v>40</v>
      </c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</row>
    <row r="680" customFormat="false" ht="15" hidden="false" customHeight="true" outlineLevel="0" collapsed="false">
      <c r="A680" s="8" t="n">
        <v>679</v>
      </c>
      <c r="B680" s="8" t="n">
        <v>102</v>
      </c>
      <c r="C680" s="8" t="s">
        <v>606</v>
      </c>
      <c r="D680" s="8" t="s">
        <v>333</v>
      </c>
      <c r="E680" s="9" t="s">
        <v>621</v>
      </c>
      <c r="F680" s="9" t="s">
        <v>418</v>
      </c>
      <c r="G680" s="8" t="s">
        <v>307</v>
      </c>
      <c r="H680" s="8" t="s">
        <v>302</v>
      </c>
      <c r="I680" s="8" t="s">
        <v>291</v>
      </c>
      <c r="J680" s="8" t="s">
        <v>292</v>
      </c>
      <c r="K680" s="8" t="s">
        <v>293</v>
      </c>
      <c r="L680" s="9" t="s">
        <v>294</v>
      </c>
      <c r="M680" s="8"/>
      <c r="N680" s="8" t="str">
        <f aca="true">IF(M680="","Active (per Notice 1)",IF(M680&lt;TODAY(),"Expired",IF(M680&lt;TODAY()+180,"Expiring Soon","Active")))</f>
        <v>Active (per Notice 1)</v>
      </c>
      <c r="O680" s="12" t="s">
        <v>305</v>
      </c>
      <c r="P680" s="8" t="s">
        <v>327</v>
      </c>
      <c r="Q680" s="8" t="n">
        <v>3.4</v>
      </c>
      <c r="R680" s="8" t="n">
        <v>2</v>
      </c>
      <c r="S680" s="11" t="n">
        <v>45065</v>
      </c>
      <c r="T680" s="8" t="str">
        <f aca="true">IF(S680="","",IF(EDATE(S680,60)&lt;TODAY(),"Expired",IF(EDATE(S680,60)&lt;TODAY()+180,"Expiring Soon","Valid")))</f>
        <v>Valid</v>
      </c>
      <c r="U680" s="8" t="str">
        <f aca="false">IF(P680="","",IF(P680="A++","Top Tier",IF(P680="A+","High",IF(P680="A","Strong",IF(LEFT(P680,1)="B","Acceptable",IF(LEFT(P680,1)="C","Below Avg","-"))))))</f>
        <v>High</v>
      </c>
      <c r="AC680" s="8"/>
      <c r="AD680" s="8"/>
      <c r="AE680" s="8"/>
      <c r="AF680" s="8"/>
      <c r="AG680" s="8"/>
      <c r="AH680" s="8" t="n">
        <v>40</v>
      </c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</row>
    <row r="681" customFormat="false" ht="15" hidden="false" customHeight="true" outlineLevel="0" collapsed="false">
      <c r="A681" s="8" t="n">
        <v>680</v>
      </c>
      <c r="B681" s="8" t="n">
        <v>103</v>
      </c>
      <c r="C681" s="8" t="s">
        <v>606</v>
      </c>
      <c r="D681" s="8" t="s">
        <v>333</v>
      </c>
      <c r="E681" s="9" t="s">
        <v>623</v>
      </c>
      <c r="F681" s="9" t="s">
        <v>319</v>
      </c>
      <c r="G681" s="8" t="s">
        <v>320</v>
      </c>
      <c r="H681" s="8" t="s">
        <v>290</v>
      </c>
      <c r="I681" s="8" t="s">
        <v>291</v>
      </c>
      <c r="J681" s="8" t="s">
        <v>292</v>
      </c>
      <c r="K681" s="8" t="s">
        <v>293</v>
      </c>
      <c r="L681" s="9" t="s">
        <v>294</v>
      </c>
      <c r="M681" s="8"/>
      <c r="N681" s="8" t="str">
        <f aca="true">IF(M681="","Active (per Notice 1)",IF(M681&lt;TODAY(),"Expired",IF(M681&lt;TODAY()+180,"Expiring Soon","Active")))</f>
        <v>Active (per Notice 1)</v>
      </c>
      <c r="O681" s="12" t="s">
        <v>305</v>
      </c>
      <c r="P681" s="8" t="s">
        <v>327</v>
      </c>
      <c r="Q681" s="8" t="n">
        <v>3.46</v>
      </c>
      <c r="R681" s="8" t="n">
        <v>2</v>
      </c>
      <c r="S681" s="11" t="n">
        <v>44950</v>
      </c>
      <c r="T681" s="8" t="str">
        <f aca="true">IF(S681="","",IF(EDATE(S681,60)&lt;TODAY(),"Expired",IF(EDATE(S681,60)&lt;TODAY()+180,"Expiring Soon","Valid")))</f>
        <v>Valid</v>
      </c>
      <c r="U681" s="8" t="str">
        <f aca="false">IF(P681="","",IF(P681="A++","Top Tier",IF(P681="A+","High",IF(P681="A","Strong",IF(LEFT(P681,1)="B","Acceptable",IF(LEFT(P681,1)="C","Below Avg","-"))))))</f>
        <v>High</v>
      </c>
      <c r="AT681" s="8"/>
      <c r="AU681" s="8"/>
    </row>
    <row r="682" customFormat="false" ht="15" hidden="false" customHeight="true" outlineLevel="0" collapsed="false">
      <c r="A682" s="8" t="n">
        <v>681</v>
      </c>
      <c r="B682" s="8" t="n">
        <v>103</v>
      </c>
      <c r="C682" s="8" t="s">
        <v>606</v>
      </c>
      <c r="D682" s="8" t="s">
        <v>333</v>
      </c>
      <c r="E682" s="9" t="s">
        <v>623</v>
      </c>
      <c r="F682" s="9" t="s">
        <v>303</v>
      </c>
      <c r="G682" s="8" t="s">
        <v>304</v>
      </c>
      <c r="H682" s="8" t="s">
        <v>302</v>
      </c>
      <c r="I682" s="8" t="s">
        <v>291</v>
      </c>
      <c r="J682" s="8" t="s">
        <v>292</v>
      </c>
      <c r="K682" s="8" t="s">
        <v>293</v>
      </c>
      <c r="L682" s="9" t="s">
        <v>294</v>
      </c>
      <c r="M682" s="8"/>
      <c r="N682" s="8" t="str">
        <f aca="true">IF(M682="","Active (per Notice 1)",IF(M682&lt;TODAY(),"Expired",IF(M682&lt;TODAY()+180,"Expiring Soon","Active")))</f>
        <v>Active (per Notice 1)</v>
      </c>
      <c r="O682" s="12" t="s">
        <v>305</v>
      </c>
      <c r="P682" s="8" t="s">
        <v>327</v>
      </c>
      <c r="Q682" s="8" t="n">
        <v>3.46</v>
      </c>
      <c r="R682" s="8" t="n">
        <v>2</v>
      </c>
      <c r="S682" s="11" t="n">
        <v>44950</v>
      </c>
      <c r="T682" s="8" t="str">
        <f aca="true">IF(S682="","",IF(EDATE(S682,60)&lt;TODAY(),"Expired",IF(EDATE(S682,60)&lt;TODAY()+180,"Expiring Soon","Valid")))</f>
        <v>Valid</v>
      </c>
      <c r="U682" s="8" t="str">
        <f aca="false">IF(P682="","",IF(P682="A++","Top Tier",IF(P682="A+","High",IF(P682="A","Strong",IF(LEFT(P682,1)="B","Acceptable",IF(LEFT(P682,1)="C","Below Avg","-"))))))</f>
        <v>High</v>
      </c>
      <c r="AT682" s="8"/>
      <c r="AU682" s="8"/>
    </row>
    <row r="683" customFormat="false" ht="15" hidden="false" customHeight="true" outlineLevel="0" collapsed="false">
      <c r="A683" s="8" t="n">
        <v>682</v>
      </c>
      <c r="B683" s="8" t="n">
        <v>103</v>
      </c>
      <c r="C683" s="8" t="s">
        <v>606</v>
      </c>
      <c r="D683" s="8" t="s">
        <v>333</v>
      </c>
      <c r="E683" s="9" t="s">
        <v>623</v>
      </c>
      <c r="F683" s="9" t="s">
        <v>306</v>
      </c>
      <c r="G683" s="8" t="s">
        <v>307</v>
      </c>
      <c r="H683" s="8" t="s">
        <v>302</v>
      </c>
      <c r="I683" s="8" t="s">
        <v>291</v>
      </c>
      <c r="J683" s="8" t="s">
        <v>292</v>
      </c>
      <c r="K683" s="8" t="s">
        <v>293</v>
      </c>
      <c r="L683" s="9" t="s">
        <v>294</v>
      </c>
      <c r="M683" s="8"/>
      <c r="N683" s="8" t="str">
        <f aca="true">IF(M683="","Active (per Notice 1)",IF(M683&lt;TODAY(),"Expired",IF(M683&lt;TODAY()+180,"Expiring Soon","Active")))</f>
        <v>Active (per Notice 1)</v>
      </c>
      <c r="O683" s="12" t="s">
        <v>305</v>
      </c>
      <c r="P683" s="8" t="s">
        <v>327</v>
      </c>
      <c r="Q683" s="8" t="n">
        <v>3.46</v>
      </c>
      <c r="R683" s="8" t="n">
        <v>2</v>
      </c>
      <c r="S683" s="11" t="n">
        <v>44950</v>
      </c>
      <c r="T683" s="8" t="str">
        <f aca="true">IF(S683="","",IF(EDATE(S683,60)&lt;TODAY(),"Expired",IF(EDATE(S683,60)&lt;TODAY()+180,"Expiring Soon","Valid")))</f>
        <v>Valid</v>
      </c>
      <c r="U683" s="8" t="str">
        <f aca="false">IF(P683="","",IF(P683="A++","Top Tier",IF(P683="A+","High",IF(P683="A","Strong",IF(LEFT(P683,1)="B","Acceptable",IF(LEFT(P683,1)="C","Below Avg","-"))))))</f>
        <v>High</v>
      </c>
      <c r="AT683" s="8"/>
      <c r="AU683" s="8"/>
    </row>
    <row r="684" customFormat="false" ht="15" hidden="false" customHeight="true" outlineLevel="0" collapsed="false">
      <c r="A684" s="8" t="n">
        <v>683</v>
      </c>
      <c r="B684" s="8" t="n">
        <v>104</v>
      </c>
      <c r="C684" s="8" t="s">
        <v>606</v>
      </c>
      <c r="D684" s="8" t="s">
        <v>315</v>
      </c>
      <c r="E684" s="9" t="s">
        <v>624</v>
      </c>
      <c r="F684" s="9" t="s">
        <v>340</v>
      </c>
      <c r="G684" s="8" t="s">
        <v>289</v>
      </c>
      <c r="H684" s="8" t="s">
        <v>290</v>
      </c>
      <c r="I684" s="8" t="s">
        <v>291</v>
      </c>
      <c r="J684" s="8" t="s">
        <v>292</v>
      </c>
      <c r="K684" s="8" t="s">
        <v>293</v>
      </c>
      <c r="L684" s="9" t="s">
        <v>294</v>
      </c>
      <c r="M684" s="8"/>
      <c r="N684" s="8" t="str">
        <f aca="true">IF(M684="","Active (per Notice 1)",IF(M684&lt;TODAY(),"Expired",IF(M684&lt;TODAY()+180,"Expiring Soon","Active")))</f>
        <v>Active (per Notice 1)</v>
      </c>
      <c r="O684" s="10" t="s">
        <v>295</v>
      </c>
      <c r="P684" s="8" t="s">
        <v>327</v>
      </c>
      <c r="Q684" s="8" t="n">
        <v>3.4</v>
      </c>
      <c r="R684" s="8" t="n">
        <v>3</v>
      </c>
      <c r="S684" s="11" t="n">
        <v>43686</v>
      </c>
      <c r="T684" s="8" t="str">
        <f aca="true">IF(S684="","",IF(EDATE(S684,60)&lt;TODAY(),"Expired",IF(EDATE(S684,60)&lt;TODAY()+180,"Expiring Soon","Valid")))</f>
        <v>Expired</v>
      </c>
      <c r="U684" s="8" t="str">
        <f aca="false">IF(P684="","",IF(P684="A++","Top Tier",IF(P684="A+","High",IF(P684="A","Strong",IF(LEFT(P684,1)="B","Acceptable",IF(LEFT(P684,1)="C","Below Avg","-"))))))</f>
        <v>High</v>
      </c>
      <c r="Y684" s="8" t="n">
        <v>2</v>
      </c>
      <c r="Z684" s="11" t="n">
        <v>45838</v>
      </c>
      <c r="AA684" s="8" t="s">
        <v>404</v>
      </c>
      <c r="AB684" s="8" t="s">
        <v>329</v>
      </c>
      <c r="AC684" s="8"/>
      <c r="AD684" s="8"/>
      <c r="AE684" s="8"/>
      <c r="AF684" s="8"/>
      <c r="AG684" s="8"/>
      <c r="AH684" s="8"/>
      <c r="AI684" s="8"/>
      <c r="AJ684" s="8" t="n">
        <v>30</v>
      </c>
      <c r="AK684" s="8"/>
      <c r="AL684" s="8" t="n">
        <v>32</v>
      </c>
      <c r="AM684" s="8"/>
      <c r="AN684" s="8"/>
      <c r="AO684" s="8"/>
      <c r="AP684" s="8"/>
      <c r="AQ684" s="8"/>
      <c r="AR684" s="8"/>
      <c r="AS684" s="8"/>
      <c r="AT684" s="8"/>
      <c r="AU684" s="8"/>
    </row>
    <row r="685" customFormat="false" ht="15" hidden="false" customHeight="true" outlineLevel="0" collapsed="false">
      <c r="A685" s="8" t="n">
        <v>684</v>
      </c>
      <c r="B685" s="8" t="n">
        <v>104</v>
      </c>
      <c r="C685" s="8" t="s">
        <v>606</v>
      </c>
      <c r="D685" s="8" t="s">
        <v>315</v>
      </c>
      <c r="E685" s="9" t="s">
        <v>624</v>
      </c>
      <c r="F685" s="9" t="s">
        <v>625</v>
      </c>
      <c r="G685" s="8" t="s">
        <v>298</v>
      </c>
      <c r="H685" s="8" t="s">
        <v>290</v>
      </c>
      <c r="I685" s="8" t="s">
        <v>291</v>
      </c>
      <c r="J685" s="8" t="s">
        <v>292</v>
      </c>
      <c r="K685" s="8" t="s">
        <v>293</v>
      </c>
      <c r="L685" s="9" t="s">
        <v>294</v>
      </c>
      <c r="M685" s="8"/>
      <c r="N685" s="8" t="str">
        <f aca="true">IF(M685="","Active (per Notice 1)",IF(M685&lt;TODAY(),"Expired",IF(M685&lt;TODAY()+180,"Expiring Soon","Active")))</f>
        <v>Active (per Notice 1)</v>
      </c>
      <c r="O685" s="10" t="s">
        <v>295</v>
      </c>
      <c r="P685" s="8" t="s">
        <v>327</v>
      </c>
      <c r="Q685" s="8" t="n">
        <v>3.4</v>
      </c>
      <c r="R685" s="8" t="n">
        <v>3</v>
      </c>
      <c r="S685" s="11" t="n">
        <v>43686</v>
      </c>
      <c r="T685" s="8" t="str">
        <f aca="true">IF(S685="","",IF(EDATE(S685,60)&lt;TODAY(),"Expired",IF(EDATE(S685,60)&lt;TODAY()+180,"Expiring Soon","Valid")))</f>
        <v>Expired</v>
      </c>
      <c r="U685" s="8" t="str">
        <f aca="false">IF(P685="","",IF(P685="A++","Top Tier",IF(P685="A+","High",IF(P685="A","Strong",IF(LEFT(P685,1)="B","Acceptable",IF(LEFT(P685,1)="C","Below Avg","-"))))))</f>
        <v>High</v>
      </c>
      <c r="Y685" s="8" t="n">
        <v>2</v>
      </c>
      <c r="Z685" s="11" t="n">
        <v>45838</v>
      </c>
      <c r="AA685" s="8" t="s">
        <v>404</v>
      </c>
      <c r="AB685" s="8" t="s">
        <v>329</v>
      </c>
      <c r="AC685" s="8"/>
      <c r="AD685" s="8"/>
      <c r="AE685" s="8"/>
      <c r="AF685" s="8"/>
      <c r="AG685" s="8"/>
      <c r="AH685" s="8"/>
      <c r="AI685" s="8"/>
      <c r="AJ685" s="8" t="n">
        <v>30</v>
      </c>
      <c r="AK685" s="8"/>
      <c r="AL685" s="8" t="n">
        <v>32</v>
      </c>
      <c r="AM685" s="8"/>
      <c r="AN685" s="8"/>
      <c r="AO685" s="8"/>
      <c r="AP685" s="8"/>
      <c r="AQ685" s="8"/>
      <c r="AR685" s="8"/>
      <c r="AS685" s="8"/>
      <c r="AT685" s="8"/>
      <c r="AU685" s="8"/>
    </row>
    <row r="686" customFormat="false" ht="15" hidden="false" customHeight="true" outlineLevel="0" collapsed="false">
      <c r="A686" s="8" t="n">
        <v>685</v>
      </c>
      <c r="B686" s="8" t="n">
        <v>104</v>
      </c>
      <c r="C686" s="8" t="s">
        <v>606</v>
      </c>
      <c r="D686" s="8" t="s">
        <v>315</v>
      </c>
      <c r="E686" s="9" t="s">
        <v>624</v>
      </c>
      <c r="F686" s="9" t="s">
        <v>317</v>
      </c>
      <c r="G686" s="8" t="s">
        <v>318</v>
      </c>
      <c r="H686" s="8" t="s">
        <v>290</v>
      </c>
      <c r="I686" s="8" t="s">
        <v>291</v>
      </c>
      <c r="J686" s="8" t="s">
        <v>292</v>
      </c>
      <c r="K686" s="8" t="s">
        <v>293</v>
      </c>
      <c r="L686" s="9" t="s">
        <v>294</v>
      </c>
      <c r="M686" s="8"/>
      <c r="N686" s="8" t="str">
        <f aca="true">IF(M686="","Active (per Notice 1)",IF(M686&lt;TODAY(),"Expired",IF(M686&lt;TODAY()+180,"Expiring Soon","Active")))</f>
        <v>Active (per Notice 1)</v>
      </c>
      <c r="O686" s="13" t="s">
        <v>292</v>
      </c>
      <c r="P686" s="8" t="s">
        <v>327</v>
      </c>
      <c r="Q686" s="8" t="n">
        <v>3.4</v>
      </c>
      <c r="R686" s="8" t="n">
        <v>3</v>
      </c>
      <c r="S686" s="11" t="n">
        <v>43686</v>
      </c>
      <c r="T686" s="8" t="str">
        <f aca="true">IF(S686="","",IF(EDATE(S686,60)&lt;TODAY(),"Expired",IF(EDATE(S686,60)&lt;TODAY()+180,"Expiring Soon","Valid")))</f>
        <v>Expired</v>
      </c>
      <c r="U686" s="8" t="str">
        <f aca="false">IF(P686="","",IF(P686="A++","Top Tier",IF(P686="A+","High",IF(P686="A","Strong",IF(LEFT(P686,1)="B","Acceptable",IF(LEFT(P686,1)="C","Below Avg","-"))))))</f>
        <v>High</v>
      </c>
      <c r="Y686" s="8" t="n">
        <v>2</v>
      </c>
      <c r="Z686" s="11" t="n">
        <v>45838</v>
      </c>
      <c r="AA686" s="8" t="s">
        <v>404</v>
      </c>
      <c r="AB686" s="8" t="s">
        <v>329</v>
      </c>
      <c r="AC686" s="8"/>
      <c r="AD686" s="8"/>
      <c r="AE686" s="8"/>
      <c r="AF686" s="8"/>
      <c r="AG686" s="8"/>
      <c r="AH686" s="8"/>
      <c r="AI686" s="8"/>
      <c r="AJ686" s="8" t="n">
        <v>30</v>
      </c>
      <c r="AK686" s="8"/>
      <c r="AL686" s="8" t="n">
        <v>32</v>
      </c>
      <c r="AM686" s="8"/>
      <c r="AN686" s="8"/>
      <c r="AO686" s="8"/>
      <c r="AP686" s="8"/>
      <c r="AQ686" s="8"/>
      <c r="AR686" s="8"/>
      <c r="AS686" s="8"/>
      <c r="AT686" s="8"/>
      <c r="AU686" s="8"/>
    </row>
    <row r="687" customFormat="false" ht="15" hidden="false" customHeight="true" outlineLevel="0" collapsed="false">
      <c r="A687" s="8" t="n">
        <v>686</v>
      </c>
      <c r="B687" s="8" t="n">
        <v>104</v>
      </c>
      <c r="C687" s="8" t="s">
        <v>606</v>
      </c>
      <c r="D687" s="8" t="s">
        <v>315</v>
      </c>
      <c r="E687" s="9" t="s">
        <v>624</v>
      </c>
      <c r="F687" s="9" t="s">
        <v>526</v>
      </c>
      <c r="G687" s="8" t="s">
        <v>309</v>
      </c>
      <c r="H687" s="8" t="s">
        <v>302</v>
      </c>
      <c r="I687" s="8" t="s">
        <v>291</v>
      </c>
      <c r="J687" s="8" t="s">
        <v>292</v>
      </c>
      <c r="K687" s="8" t="s">
        <v>293</v>
      </c>
      <c r="L687" s="9" t="s">
        <v>294</v>
      </c>
      <c r="M687" s="8"/>
      <c r="N687" s="8" t="str">
        <f aca="true">IF(M687="","Active (per Notice 1)",IF(M687&lt;TODAY(),"Expired",IF(M687&lt;TODAY()+180,"Expiring Soon","Active")))</f>
        <v>Active (per Notice 1)</v>
      </c>
      <c r="O687" s="10" t="s">
        <v>295</v>
      </c>
      <c r="P687" s="8" t="s">
        <v>327</v>
      </c>
      <c r="Q687" s="8" t="n">
        <v>3.4</v>
      </c>
      <c r="R687" s="8" t="n">
        <v>3</v>
      </c>
      <c r="S687" s="11" t="n">
        <v>43686</v>
      </c>
      <c r="T687" s="8" t="str">
        <f aca="true">IF(S687="","",IF(EDATE(S687,60)&lt;TODAY(),"Expired",IF(EDATE(S687,60)&lt;TODAY()+180,"Expiring Soon","Valid")))</f>
        <v>Expired</v>
      </c>
      <c r="U687" s="8" t="str">
        <f aca="false">IF(P687="","",IF(P687="A++","Top Tier",IF(P687="A+","High",IF(P687="A","Strong",IF(LEFT(P687,1)="B","Acceptable",IF(LEFT(P687,1)="C","Below Avg","-"))))))</f>
        <v>High</v>
      </c>
      <c r="Y687" s="8" t="n">
        <v>2</v>
      </c>
      <c r="Z687" s="11" t="n">
        <v>45838</v>
      </c>
      <c r="AA687" s="8" t="s">
        <v>404</v>
      </c>
      <c r="AB687" s="8" t="s">
        <v>329</v>
      </c>
      <c r="AC687" s="8"/>
      <c r="AD687" s="8"/>
      <c r="AE687" s="8"/>
      <c r="AF687" s="8"/>
      <c r="AG687" s="8"/>
      <c r="AH687" s="8"/>
      <c r="AI687" s="8"/>
      <c r="AJ687" s="8" t="n">
        <v>30</v>
      </c>
      <c r="AK687" s="8"/>
      <c r="AL687" s="8" t="n">
        <v>32</v>
      </c>
      <c r="AM687" s="8"/>
      <c r="AN687" s="8"/>
      <c r="AO687" s="8"/>
      <c r="AP687" s="8"/>
      <c r="AQ687" s="8"/>
      <c r="AR687" s="8"/>
      <c r="AS687" s="8"/>
      <c r="AT687" s="8"/>
      <c r="AU687" s="8"/>
    </row>
    <row r="688" customFormat="false" ht="15" hidden="false" customHeight="true" outlineLevel="0" collapsed="false">
      <c r="A688" s="8" t="n">
        <v>687</v>
      </c>
      <c r="B688" s="8" t="n">
        <v>104</v>
      </c>
      <c r="C688" s="8" t="s">
        <v>606</v>
      </c>
      <c r="D688" s="8" t="s">
        <v>315</v>
      </c>
      <c r="E688" s="9" t="s">
        <v>624</v>
      </c>
      <c r="F688" s="9" t="s">
        <v>626</v>
      </c>
      <c r="G688" s="8" t="s">
        <v>301</v>
      </c>
      <c r="H688" s="8" t="s">
        <v>302</v>
      </c>
      <c r="I688" s="8" t="s">
        <v>291</v>
      </c>
      <c r="J688" s="8" t="s">
        <v>292</v>
      </c>
      <c r="K688" s="8" t="s">
        <v>293</v>
      </c>
      <c r="L688" s="9" t="s">
        <v>294</v>
      </c>
      <c r="M688" s="8"/>
      <c r="N688" s="8" t="str">
        <f aca="true">IF(M688="","Active (per Notice 1)",IF(M688&lt;TODAY(),"Expired",IF(M688&lt;TODAY()+180,"Expiring Soon","Active")))</f>
        <v>Active (per Notice 1)</v>
      </c>
      <c r="O688" s="10" t="s">
        <v>295</v>
      </c>
      <c r="P688" s="8" t="s">
        <v>327</v>
      </c>
      <c r="Q688" s="8" t="n">
        <v>3.4</v>
      </c>
      <c r="R688" s="8" t="n">
        <v>3</v>
      </c>
      <c r="S688" s="11" t="n">
        <v>43686</v>
      </c>
      <c r="T688" s="8" t="str">
        <f aca="true">IF(S688="","",IF(EDATE(S688,60)&lt;TODAY(),"Expired",IF(EDATE(S688,60)&lt;TODAY()+180,"Expiring Soon","Valid")))</f>
        <v>Expired</v>
      </c>
      <c r="U688" s="8" t="str">
        <f aca="false">IF(P688="","",IF(P688="A++","Top Tier",IF(P688="A+","High",IF(P688="A","Strong",IF(LEFT(P688,1)="B","Acceptable",IF(LEFT(P688,1)="C","Below Avg","-"))))))</f>
        <v>High</v>
      </c>
      <c r="Y688" s="8" t="n">
        <v>2</v>
      </c>
      <c r="Z688" s="11" t="n">
        <v>45838</v>
      </c>
      <c r="AA688" s="8" t="s">
        <v>404</v>
      </c>
      <c r="AB688" s="8" t="s">
        <v>329</v>
      </c>
      <c r="AC688" s="8"/>
      <c r="AD688" s="8"/>
      <c r="AE688" s="8"/>
      <c r="AF688" s="8"/>
      <c r="AG688" s="8"/>
      <c r="AH688" s="8"/>
      <c r="AI688" s="8"/>
      <c r="AJ688" s="8" t="n">
        <v>30</v>
      </c>
      <c r="AK688" s="8"/>
      <c r="AL688" s="8" t="n">
        <v>32</v>
      </c>
      <c r="AM688" s="8"/>
      <c r="AN688" s="8"/>
      <c r="AO688" s="8"/>
      <c r="AP688" s="8"/>
      <c r="AQ688" s="8"/>
      <c r="AR688" s="8"/>
      <c r="AS688" s="8"/>
      <c r="AT688" s="8"/>
      <c r="AU688" s="8"/>
    </row>
    <row r="689" customFormat="false" ht="15" hidden="false" customHeight="true" outlineLevel="0" collapsed="false">
      <c r="A689" s="8" t="n">
        <v>688</v>
      </c>
      <c r="B689" s="8" t="n">
        <v>105</v>
      </c>
      <c r="C689" s="8" t="s">
        <v>606</v>
      </c>
      <c r="D689" s="8" t="s">
        <v>286</v>
      </c>
      <c r="E689" s="9" t="s">
        <v>627</v>
      </c>
      <c r="F689" s="9" t="s">
        <v>299</v>
      </c>
      <c r="G689" s="8" t="s">
        <v>289</v>
      </c>
      <c r="H689" s="8" t="s">
        <v>290</v>
      </c>
      <c r="I689" s="8" t="s">
        <v>291</v>
      </c>
      <c r="J689" s="8" t="s">
        <v>292</v>
      </c>
      <c r="K689" s="8" t="s">
        <v>293</v>
      </c>
      <c r="L689" s="9" t="s">
        <v>294</v>
      </c>
      <c r="M689" s="8"/>
      <c r="N689" s="8" t="str">
        <f aca="true">IF(M689="","Active (per Notice 1)",IF(M689&lt;TODAY(),"Expired",IF(M689&lt;TODAY()+180,"Expiring Soon","Active")))</f>
        <v>Active (per Notice 1)</v>
      </c>
      <c r="O689" s="10" t="s">
        <v>295</v>
      </c>
      <c r="P689" s="8" t="s">
        <v>296</v>
      </c>
      <c r="Q689" s="8" t="n">
        <v>3.55</v>
      </c>
      <c r="R689" s="8" t="n">
        <v>3</v>
      </c>
      <c r="S689" s="11" t="n">
        <v>44768</v>
      </c>
      <c r="T689" s="8" t="str">
        <f aca="true">IF(S689="","",IF(EDATE(S689,60)&lt;TODAY(),"Expired",IF(EDATE(S689,60)&lt;TODAY()+180,"Expiring Soon","Valid")))</f>
        <v>Valid</v>
      </c>
      <c r="U689" s="8" t="str">
        <f aca="false">IF(P689="","",IF(P689="A++","Top Tier",IF(P689="A+","High",IF(P689="A","Strong",IF(LEFT(P689,1)="B","Acceptable",IF(LEFT(P689,1)="C","Below Avg","-"))))))</f>
        <v>Top Tier</v>
      </c>
      <c r="AC689" s="8"/>
      <c r="AD689" s="8" t="n">
        <v>98</v>
      </c>
      <c r="AE689" s="8"/>
      <c r="AF689" s="8"/>
      <c r="AG689" s="8" t="n">
        <v>100</v>
      </c>
      <c r="AH689" s="8"/>
      <c r="AI689" s="8"/>
      <c r="AJ689" s="8"/>
      <c r="AK689" s="8" t="n">
        <v>29</v>
      </c>
      <c r="AL689" s="8"/>
      <c r="AM689" s="8"/>
      <c r="AN689" s="8"/>
      <c r="AO689" s="8" t="n">
        <v>27</v>
      </c>
      <c r="AP689" s="8"/>
      <c r="AQ689" s="8"/>
      <c r="AR689" s="8"/>
      <c r="AS689" s="8"/>
      <c r="AT689" s="8"/>
      <c r="AU689" s="8"/>
    </row>
    <row r="690" customFormat="false" ht="15" hidden="false" customHeight="true" outlineLevel="0" collapsed="false">
      <c r="A690" s="8" t="n">
        <v>689</v>
      </c>
      <c r="B690" s="8" t="n">
        <v>105</v>
      </c>
      <c r="C690" s="8" t="s">
        <v>606</v>
      </c>
      <c r="D690" s="8" t="s">
        <v>286</v>
      </c>
      <c r="E690" s="9" t="s">
        <v>627</v>
      </c>
      <c r="F690" s="9" t="s">
        <v>317</v>
      </c>
      <c r="G690" s="8" t="s">
        <v>318</v>
      </c>
      <c r="H690" s="8" t="s">
        <v>290</v>
      </c>
      <c r="I690" s="8" t="s">
        <v>291</v>
      </c>
      <c r="J690" s="8" t="s">
        <v>292</v>
      </c>
      <c r="K690" s="8" t="s">
        <v>293</v>
      </c>
      <c r="L690" s="9" t="s">
        <v>294</v>
      </c>
      <c r="M690" s="8"/>
      <c r="N690" s="8" t="str">
        <f aca="true">IF(M690="","Active (per Notice 1)",IF(M690&lt;TODAY(),"Expired",IF(M690&lt;TODAY()+180,"Expiring Soon","Active")))</f>
        <v>Active (per Notice 1)</v>
      </c>
      <c r="O690" s="12" t="s">
        <v>305</v>
      </c>
      <c r="P690" s="8" t="s">
        <v>296</v>
      </c>
      <c r="Q690" s="8" t="n">
        <v>3.55</v>
      </c>
      <c r="R690" s="8" t="n">
        <v>3</v>
      </c>
      <c r="S690" s="11" t="n">
        <v>44768</v>
      </c>
      <c r="T690" s="8" t="str">
        <f aca="true">IF(S690="","",IF(EDATE(S690,60)&lt;TODAY(),"Expired",IF(EDATE(S690,60)&lt;TODAY()+180,"Expiring Soon","Valid")))</f>
        <v>Valid</v>
      </c>
      <c r="U690" s="8" t="str">
        <f aca="false">IF(P690="","",IF(P690="A++","Top Tier",IF(P690="A+","High",IF(P690="A","Strong",IF(LEFT(P690,1)="B","Acceptable",IF(LEFT(P690,1)="C","Below Avg","-"))))))</f>
        <v>Top Tier</v>
      </c>
      <c r="AC690" s="8"/>
      <c r="AD690" s="8" t="n">
        <v>98</v>
      </c>
      <c r="AE690" s="8"/>
      <c r="AF690" s="8"/>
      <c r="AG690" s="8" t="n">
        <v>100</v>
      </c>
      <c r="AH690" s="8"/>
      <c r="AI690" s="8"/>
      <c r="AJ690" s="8"/>
      <c r="AK690" s="8" t="n">
        <v>29</v>
      </c>
      <c r="AL690" s="8"/>
      <c r="AM690" s="8"/>
      <c r="AN690" s="8"/>
      <c r="AO690" s="8" t="n">
        <v>27</v>
      </c>
      <c r="AP690" s="8"/>
      <c r="AQ690" s="8"/>
      <c r="AR690" s="8"/>
      <c r="AS690" s="8"/>
      <c r="AT690" s="8"/>
      <c r="AU690" s="8"/>
    </row>
    <row r="691" customFormat="false" ht="15" hidden="false" customHeight="true" outlineLevel="0" collapsed="false">
      <c r="A691" s="8" t="n">
        <v>690</v>
      </c>
      <c r="B691" s="8" t="n">
        <v>105</v>
      </c>
      <c r="C691" s="8" t="s">
        <v>606</v>
      </c>
      <c r="D691" s="8" t="s">
        <v>286</v>
      </c>
      <c r="E691" s="9" t="s">
        <v>627</v>
      </c>
      <c r="F691" s="9" t="s">
        <v>308</v>
      </c>
      <c r="G691" s="8" t="s">
        <v>309</v>
      </c>
      <c r="H691" s="8" t="s">
        <v>302</v>
      </c>
      <c r="I691" s="8" t="s">
        <v>291</v>
      </c>
      <c r="J691" s="8" t="s">
        <v>292</v>
      </c>
      <c r="K691" s="8" t="s">
        <v>293</v>
      </c>
      <c r="L691" s="9" t="s">
        <v>294</v>
      </c>
      <c r="M691" s="8"/>
      <c r="N691" s="8" t="str">
        <f aca="true">IF(M691="","Active (per Notice 1)",IF(M691&lt;TODAY(),"Expired",IF(M691&lt;TODAY()+180,"Expiring Soon","Active")))</f>
        <v>Active (per Notice 1)</v>
      </c>
      <c r="O691" s="10" t="s">
        <v>295</v>
      </c>
      <c r="P691" s="8" t="s">
        <v>296</v>
      </c>
      <c r="Q691" s="8" t="n">
        <v>3.55</v>
      </c>
      <c r="R691" s="8" t="n">
        <v>3</v>
      </c>
      <c r="S691" s="11" t="n">
        <v>44768</v>
      </c>
      <c r="T691" s="8" t="str">
        <f aca="true">IF(S691="","",IF(EDATE(S691,60)&lt;TODAY(),"Expired",IF(EDATE(S691,60)&lt;TODAY()+180,"Expiring Soon","Valid")))</f>
        <v>Valid</v>
      </c>
      <c r="U691" s="8" t="str">
        <f aca="false">IF(P691="","",IF(P691="A++","Top Tier",IF(P691="A+","High",IF(P691="A","Strong",IF(LEFT(P691,1)="B","Acceptable",IF(LEFT(P691,1)="C","Below Avg","-"))))))</f>
        <v>Top Tier</v>
      </c>
      <c r="AC691" s="8"/>
      <c r="AD691" s="8" t="n">
        <v>98</v>
      </c>
      <c r="AE691" s="8"/>
      <c r="AF691" s="8"/>
      <c r="AG691" s="8" t="n">
        <v>100</v>
      </c>
      <c r="AH691" s="8"/>
      <c r="AI691" s="8"/>
      <c r="AJ691" s="8"/>
      <c r="AK691" s="8" t="n">
        <v>29</v>
      </c>
      <c r="AL691" s="8"/>
      <c r="AM691" s="8"/>
      <c r="AN691" s="8"/>
      <c r="AO691" s="8" t="n">
        <v>27</v>
      </c>
      <c r="AP691" s="8"/>
      <c r="AQ691" s="8"/>
      <c r="AR691" s="8"/>
      <c r="AS691" s="8"/>
      <c r="AT691" s="8"/>
      <c r="AU691" s="8"/>
    </row>
    <row r="692" customFormat="false" ht="15" hidden="false" customHeight="true" outlineLevel="0" collapsed="false">
      <c r="A692" s="8" t="n">
        <v>691</v>
      </c>
      <c r="B692" s="8" t="n">
        <v>105</v>
      </c>
      <c r="C692" s="8" t="s">
        <v>606</v>
      </c>
      <c r="D692" s="8" t="s">
        <v>286</v>
      </c>
      <c r="E692" s="9" t="s">
        <v>627</v>
      </c>
      <c r="F692" s="9" t="s">
        <v>366</v>
      </c>
      <c r="G692" s="8" t="s">
        <v>301</v>
      </c>
      <c r="H692" s="8" t="s">
        <v>302</v>
      </c>
      <c r="I692" s="8" t="s">
        <v>291</v>
      </c>
      <c r="J692" s="8" t="s">
        <v>292</v>
      </c>
      <c r="K692" s="8" t="s">
        <v>293</v>
      </c>
      <c r="L692" s="9" t="s">
        <v>294</v>
      </c>
      <c r="M692" s="8"/>
      <c r="N692" s="8" t="str">
        <f aca="true">IF(M692="","Active (per Notice 1)",IF(M692&lt;TODAY(),"Expired",IF(M692&lt;TODAY()+180,"Expiring Soon","Active")))</f>
        <v>Active (per Notice 1)</v>
      </c>
      <c r="O692" s="10" t="s">
        <v>295</v>
      </c>
      <c r="P692" s="8" t="s">
        <v>296</v>
      </c>
      <c r="Q692" s="8" t="n">
        <v>3.55</v>
      </c>
      <c r="R692" s="8" t="n">
        <v>3</v>
      </c>
      <c r="S692" s="11" t="n">
        <v>44768</v>
      </c>
      <c r="T692" s="8" t="str">
        <f aca="true">IF(S692="","",IF(EDATE(S692,60)&lt;TODAY(),"Expired",IF(EDATE(S692,60)&lt;TODAY()+180,"Expiring Soon","Valid")))</f>
        <v>Valid</v>
      </c>
      <c r="U692" s="8" t="str">
        <f aca="false">IF(P692="","",IF(P692="A++","Top Tier",IF(P692="A+","High",IF(P692="A","Strong",IF(LEFT(P692,1)="B","Acceptable",IF(LEFT(P692,1)="C","Below Avg","-"))))))</f>
        <v>Top Tier</v>
      </c>
      <c r="AC692" s="8"/>
      <c r="AD692" s="8" t="n">
        <v>98</v>
      </c>
      <c r="AE692" s="8"/>
      <c r="AF692" s="8"/>
      <c r="AG692" s="8" t="n">
        <v>100</v>
      </c>
      <c r="AH692" s="8"/>
      <c r="AI692" s="8"/>
      <c r="AJ692" s="8"/>
      <c r="AK692" s="8" t="n">
        <v>29</v>
      </c>
      <c r="AL692" s="8"/>
      <c r="AM692" s="8"/>
      <c r="AN692" s="8"/>
      <c r="AO692" s="8" t="n">
        <v>27</v>
      </c>
      <c r="AP692" s="8"/>
      <c r="AQ692" s="8"/>
      <c r="AR692" s="8"/>
      <c r="AS692" s="8"/>
      <c r="AT692" s="8"/>
      <c r="AU692" s="8"/>
    </row>
    <row r="693" customFormat="false" ht="15" hidden="false" customHeight="true" outlineLevel="0" collapsed="false">
      <c r="A693" s="8" t="n">
        <v>692</v>
      </c>
      <c r="B693" s="8" t="n">
        <v>105</v>
      </c>
      <c r="C693" s="8" t="s">
        <v>606</v>
      </c>
      <c r="D693" s="8" t="s">
        <v>286</v>
      </c>
      <c r="E693" s="9" t="s">
        <v>627</v>
      </c>
      <c r="F693" s="9" t="s">
        <v>310</v>
      </c>
      <c r="G693" s="8" t="s">
        <v>301</v>
      </c>
      <c r="H693" s="8" t="s">
        <v>302</v>
      </c>
      <c r="I693" s="8" t="s">
        <v>291</v>
      </c>
      <c r="J693" s="8" t="s">
        <v>292</v>
      </c>
      <c r="K693" s="8" t="s">
        <v>293</v>
      </c>
      <c r="L693" s="9" t="s">
        <v>294</v>
      </c>
      <c r="M693" s="8"/>
      <c r="N693" s="8" t="str">
        <f aca="true">IF(M693="","Active (per Notice 1)",IF(M693&lt;TODAY(),"Expired",IF(M693&lt;TODAY()+180,"Expiring Soon","Active")))</f>
        <v>Active (per Notice 1)</v>
      </c>
      <c r="O693" s="10" t="s">
        <v>295</v>
      </c>
      <c r="P693" s="8" t="s">
        <v>296</v>
      </c>
      <c r="Q693" s="8" t="n">
        <v>3.55</v>
      </c>
      <c r="R693" s="8" t="n">
        <v>3</v>
      </c>
      <c r="S693" s="11" t="n">
        <v>44768</v>
      </c>
      <c r="T693" s="8" t="str">
        <f aca="true">IF(S693="","",IF(EDATE(S693,60)&lt;TODAY(),"Expired",IF(EDATE(S693,60)&lt;TODAY()+180,"Expiring Soon","Valid")))</f>
        <v>Valid</v>
      </c>
      <c r="U693" s="8" t="str">
        <f aca="false">IF(P693="","",IF(P693="A++","Top Tier",IF(P693="A+","High",IF(P693="A","Strong",IF(LEFT(P693,1)="B","Acceptable",IF(LEFT(P693,1)="C","Below Avg","-"))))))</f>
        <v>Top Tier</v>
      </c>
      <c r="AC693" s="8"/>
      <c r="AD693" s="8" t="n">
        <v>98</v>
      </c>
      <c r="AE693" s="8"/>
      <c r="AF693" s="8"/>
      <c r="AG693" s="8" t="n">
        <v>100</v>
      </c>
      <c r="AH693" s="8"/>
      <c r="AI693" s="8"/>
      <c r="AJ693" s="8"/>
      <c r="AK693" s="8" t="n">
        <v>29</v>
      </c>
      <c r="AL693" s="8"/>
      <c r="AM693" s="8"/>
      <c r="AN693" s="8"/>
      <c r="AO693" s="8" t="n">
        <v>27</v>
      </c>
      <c r="AP693" s="8"/>
      <c r="AQ693" s="8"/>
      <c r="AR693" s="8"/>
      <c r="AS693" s="8"/>
      <c r="AT693" s="8"/>
      <c r="AU693" s="8"/>
    </row>
    <row r="694" customFormat="false" ht="15" hidden="false" customHeight="true" outlineLevel="0" collapsed="false">
      <c r="A694" s="8" t="n">
        <v>693</v>
      </c>
      <c r="B694" s="8" t="n">
        <v>105</v>
      </c>
      <c r="C694" s="8" t="s">
        <v>606</v>
      </c>
      <c r="D694" s="8" t="s">
        <v>286</v>
      </c>
      <c r="E694" s="9" t="s">
        <v>627</v>
      </c>
      <c r="F694" s="9" t="s">
        <v>312</v>
      </c>
      <c r="G694" s="8" t="s">
        <v>301</v>
      </c>
      <c r="H694" s="8" t="s">
        <v>302</v>
      </c>
      <c r="I694" s="8" t="s">
        <v>291</v>
      </c>
      <c r="J694" s="8" t="s">
        <v>292</v>
      </c>
      <c r="K694" s="8" t="s">
        <v>293</v>
      </c>
      <c r="L694" s="9" t="s">
        <v>294</v>
      </c>
      <c r="M694" s="8"/>
      <c r="N694" s="8" t="str">
        <f aca="true">IF(M694="","Active (per Notice 1)",IF(M694&lt;TODAY(),"Expired",IF(M694&lt;TODAY()+180,"Expiring Soon","Active")))</f>
        <v>Active (per Notice 1)</v>
      </c>
      <c r="O694" s="10" t="s">
        <v>295</v>
      </c>
      <c r="P694" s="8" t="s">
        <v>296</v>
      </c>
      <c r="Q694" s="8" t="n">
        <v>3.55</v>
      </c>
      <c r="R694" s="8" t="n">
        <v>3</v>
      </c>
      <c r="S694" s="11" t="n">
        <v>44768</v>
      </c>
      <c r="T694" s="8" t="str">
        <f aca="true">IF(S694="","",IF(EDATE(S694,60)&lt;TODAY(),"Expired",IF(EDATE(S694,60)&lt;TODAY()+180,"Expiring Soon","Valid")))</f>
        <v>Valid</v>
      </c>
      <c r="U694" s="8" t="str">
        <f aca="false">IF(P694="","",IF(P694="A++","Top Tier",IF(P694="A+","High",IF(P694="A","Strong",IF(LEFT(P694,1)="B","Acceptable",IF(LEFT(P694,1)="C","Below Avg","-"))))))</f>
        <v>Top Tier</v>
      </c>
      <c r="AC694" s="8"/>
      <c r="AD694" s="8" t="n">
        <v>98</v>
      </c>
      <c r="AE694" s="8"/>
      <c r="AF694" s="8"/>
      <c r="AG694" s="8" t="n">
        <v>100</v>
      </c>
      <c r="AH694" s="8"/>
      <c r="AI694" s="8"/>
      <c r="AJ694" s="8"/>
      <c r="AK694" s="8" t="n">
        <v>29</v>
      </c>
      <c r="AL694" s="8"/>
      <c r="AM694" s="8"/>
      <c r="AN694" s="8"/>
      <c r="AO694" s="8" t="n">
        <v>27</v>
      </c>
      <c r="AP694" s="8"/>
      <c r="AQ694" s="8"/>
      <c r="AR694" s="8"/>
      <c r="AS694" s="8"/>
      <c r="AT694" s="8"/>
      <c r="AU694" s="8"/>
    </row>
    <row r="695" customFormat="false" ht="15" hidden="false" customHeight="true" outlineLevel="0" collapsed="false">
      <c r="A695" s="8" t="n">
        <v>694</v>
      </c>
      <c r="B695" s="8" t="n">
        <v>105</v>
      </c>
      <c r="C695" s="8" t="s">
        <v>606</v>
      </c>
      <c r="D695" s="8" t="s">
        <v>286</v>
      </c>
      <c r="E695" s="9" t="s">
        <v>627</v>
      </c>
      <c r="F695" s="9" t="s">
        <v>311</v>
      </c>
      <c r="G695" s="8" t="s">
        <v>301</v>
      </c>
      <c r="H695" s="8" t="s">
        <v>302</v>
      </c>
      <c r="I695" s="8" t="s">
        <v>291</v>
      </c>
      <c r="J695" s="8" t="s">
        <v>292</v>
      </c>
      <c r="K695" s="8" t="s">
        <v>293</v>
      </c>
      <c r="L695" s="9" t="s">
        <v>294</v>
      </c>
      <c r="M695" s="8"/>
      <c r="N695" s="8" t="str">
        <f aca="true">IF(M695="","Active (per Notice 1)",IF(M695&lt;TODAY(),"Expired",IF(M695&lt;TODAY()+180,"Expiring Soon","Active")))</f>
        <v>Active (per Notice 1)</v>
      </c>
      <c r="O695" s="10" t="s">
        <v>295</v>
      </c>
      <c r="P695" s="8" t="s">
        <v>296</v>
      </c>
      <c r="Q695" s="8" t="n">
        <v>3.55</v>
      </c>
      <c r="R695" s="8" t="n">
        <v>3</v>
      </c>
      <c r="S695" s="11" t="n">
        <v>44768</v>
      </c>
      <c r="T695" s="8" t="str">
        <f aca="true">IF(S695="","",IF(EDATE(S695,60)&lt;TODAY(),"Expired",IF(EDATE(S695,60)&lt;TODAY()+180,"Expiring Soon","Valid")))</f>
        <v>Valid</v>
      </c>
      <c r="U695" s="8" t="str">
        <f aca="false">IF(P695="","",IF(P695="A++","Top Tier",IF(P695="A+","High",IF(P695="A","Strong",IF(LEFT(P695,1)="B","Acceptable",IF(LEFT(P695,1)="C","Below Avg","-"))))))</f>
        <v>Top Tier</v>
      </c>
      <c r="AC695" s="8"/>
      <c r="AD695" s="8" t="n">
        <v>98</v>
      </c>
      <c r="AE695" s="8"/>
      <c r="AF695" s="8"/>
      <c r="AG695" s="8" t="n">
        <v>100</v>
      </c>
      <c r="AH695" s="8"/>
      <c r="AI695" s="8"/>
      <c r="AJ695" s="8"/>
      <c r="AK695" s="8" t="n">
        <v>29</v>
      </c>
      <c r="AL695" s="8"/>
      <c r="AM695" s="8"/>
      <c r="AN695" s="8"/>
      <c r="AO695" s="8" t="n">
        <v>27</v>
      </c>
      <c r="AP695" s="8"/>
      <c r="AQ695" s="8"/>
      <c r="AR695" s="8"/>
      <c r="AS695" s="8"/>
      <c r="AT695" s="8"/>
      <c r="AU695" s="8"/>
    </row>
    <row r="696" customFormat="false" ht="15" hidden="false" customHeight="true" outlineLevel="0" collapsed="false">
      <c r="A696" s="8" t="n">
        <v>695</v>
      </c>
      <c r="B696" s="8" t="n">
        <v>105</v>
      </c>
      <c r="C696" s="8" t="s">
        <v>606</v>
      </c>
      <c r="D696" s="8" t="s">
        <v>286</v>
      </c>
      <c r="E696" s="9" t="s">
        <v>627</v>
      </c>
      <c r="F696" s="9" t="s">
        <v>343</v>
      </c>
      <c r="G696" s="8" t="s">
        <v>344</v>
      </c>
      <c r="H696" s="8" t="s">
        <v>302</v>
      </c>
      <c r="I696" s="8" t="s">
        <v>291</v>
      </c>
      <c r="J696" s="8" t="s">
        <v>292</v>
      </c>
      <c r="K696" s="8" t="s">
        <v>293</v>
      </c>
      <c r="L696" s="9" t="s">
        <v>294</v>
      </c>
      <c r="M696" s="8"/>
      <c r="N696" s="8" t="str">
        <f aca="true">IF(M696="","Active (per Notice 1)",IF(M696&lt;TODAY(),"Expired",IF(M696&lt;TODAY()+180,"Expiring Soon","Active")))</f>
        <v>Active (per Notice 1)</v>
      </c>
      <c r="O696" s="10" t="s">
        <v>295</v>
      </c>
      <c r="P696" s="8" t="s">
        <v>296</v>
      </c>
      <c r="Q696" s="8" t="n">
        <v>3.55</v>
      </c>
      <c r="R696" s="8" t="n">
        <v>3</v>
      </c>
      <c r="S696" s="11" t="n">
        <v>44768</v>
      </c>
      <c r="T696" s="8" t="str">
        <f aca="true">IF(S696="","",IF(EDATE(S696,60)&lt;TODAY(),"Expired",IF(EDATE(S696,60)&lt;TODAY()+180,"Expiring Soon","Valid")))</f>
        <v>Valid</v>
      </c>
      <c r="U696" s="8" t="str">
        <f aca="false">IF(P696="","",IF(P696="A++","Top Tier",IF(P696="A+","High",IF(P696="A","Strong",IF(LEFT(P696,1)="B","Acceptable",IF(LEFT(P696,1)="C","Below Avg","-"))))))</f>
        <v>Top Tier</v>
      </c>
      <c r="AC696" s="8"/>
      <c r="AD696" s="8" t="n">
        <v>98</v>
      </c>
      <c r="AE696" s="8"/>
      <c r="AF696" s="8"/>
      <c r="AG696" s="8" t="n">
        <v>100</v>
      </c>
      <c r="AH696" s="8"/>
      <c r="AI696" s="8"/>
      <c r="AJ696" s="8"/>
      <c r="AK696" s="8" t="n">
        <v>29</v>
      </c>
      <c r="AL696" s="8"/>
      <c r="AM696" s="8"/>
      <c r="AN696" s="8"/>
      <c r="AO696" s="8" t="n">
        <v>27</v>
      </c>
      <c r="AP696" s="8"/>
      <c r="AQ696" s="8"/>
      <c r="AR696" s="8"/>
      <c r="AS696" s="8"/>
      <c r="AT696" s="8"/>
      <c r="AU696" s="8"/>
    </row>
    <row r="697" customFormat="false" ht="15" hidden="false" customHeight="true" outlineLevel="0" collapsed="false">
      <c r="A697" s="8" t="n">
        <v>696</v>
      </c>
      <c r="B697" s="8" t="n">
        <v>105</v>
      </c>
      <c r="C697" s="8" t="s">
        <v>606</v>
      </c>
      <c r="D697" s="8" t="s">
        <v>286</v>
      </c>
      <c r="E697" s="9" t="s">
        <v>627</v>
      </c>
      <c r="F697" s="9" t="s">
        <v>303</v>
      </c>
      <c r="G697" s="8" t="s">
        <v>304</v>
      </c>
      <c r="H697" s="8" t="s">
        <v>302</v>
      </c>
      <c r="I697" s="8" t="s">
        <v>291</v>
      </c>
      <c r="J697" s="8" t="s">
        <v>292</v>
      </c>
      <c r="K697" s="8" t="s">
        <v>293</v>
      </c>
      <c r="L697" s="9" t="s">
        <v>294</v>
      </c>
      <c r="M697" s="8"/>
      <c r="N697" s="8" t="str">
        <f aca="true">IF(M697="","Active (per Notice 1)",IF(M697&lt;TODAY(),"Expired",IF(M697&lt;TODAY()+180,"Expiring Soon","Active")))</f>
        <v>Active (per Notice 1)</v>
      </c>
      <c r="O697" s="12" t="s">
        <v>305</v>
      </c>
      <c r="P697" s="8" t="s">
        <v>296</v>
      </c>
      <c r="Q697" s="8" t="n">
        <v>3.55</v>
      </c>
      <c r="R697" s="8" t="n">
        <v>3</v>
      </c>
      <c r="S697" s="11" t="n">
        <v>44768</v>
      </c>
      <c r="T697" s="8" t="str">
        <f aca="true">IF(S697="","",IF(EDATE(S697,60)&lt;TODAY(),"Expired",IF(EDATE(S697,60)&lt;TODAY()+180,"Expiring Soon","Valid")))</f>
        <v>Valid</v>
      </c>
      <c r="U697" s="8" t="str">
        <f aca="false">IF(P697="","",IF(P697="A++","Top Tier",IF(P697="A+","High",IF(P697="A","Strong",IF(LEFT(P697,1)="B","Acceptable",IF(LEFT(P697,1)="C","Below Avg","-"))))))</f>
        <v>Top Tier</v>
      </c>
      <c r="AC697" s="8"/>
      <c r="AD697" s="8" t="n">
        <v>98</v>
      </c>
      <c r="AE697" s="8"/>
      <c r="AF697" s="8"/>
      <c r="AG697" s="8" t="n">
        <v>100</v>
      </c>
      <c r="AH697" s="8"/>
      <c r="AI697" s="8"/>
      <c r="AJ697" s="8"/>
      <c r="AK697" s="8" t="n">
        <v>29</v>
      </c>
      <c r="AL697" s="8"/>
      <c r="AM697" s="8"/>
      <c r="AN697" s="8"/>
      <c r="AO697" s="8" t="n">
        <v>27</v>
      </c>
      <c r="AP697" s="8"/>
      <c r="AQ697" s="8"/>
      <c r="AR697" s="8"/>
      <c r="AS697" s="8"/>
      <c r="AT697" s="8"/>
      <c r="AU697" s="8"/>
    </row>
    <row r="698" customFormat="false" ht="15" hidden="false" customHeight="true" outlineLevel="0" collapsed="false">
      <c r="A698" s="8" t="n">
        <v>697</v>
      </c>
      <c r="B698" s="8" t="n">
        <v>106</v>
      </c>
      <c r="C698" s="8" t="s">
        <v>606</v>
      </c>
      <c r="D698" s="8" t="s">
        <v>333</v>
      </c>
      <c r="E698" s="9" t="s">
        <v>628</v>
      </c>
      <c r="F698" s="9" t="s">
        <v>317</v>
      </c>
      <c r="G698" s="8" t="s">
        <v>318</v>
      </c>
      <c r="H698" s="8" t="s">
        <v>290</v>
      </c>
      <c r="I698" s="8" t="s">
        <v>291</v>
      </c>
      <c r="J698" s="8" t="s">
        <v>292</v>
      </c>
      <c r="K698" s="8" t="s">
        <v>293</v>
      </c>
      <c r="L698" s="9" t="s">
        <v>294</v>
      </c>
      <c r="M698" s="8"/>
      <c r="N698" s="8" t="str">
        <f aca="true">IF(M698="","Active (per Notice 1)",IF(M698&lt;TODAY(),"Expired",IF(M698&lt;TODAY()+180,"Expiring Soon","Active")))</f>
        <v>Active (per Notice 1)</v>
      </c>
      <c r="O698" s="12" t="s">
        <v>305</v>
      </c>
      <c r="P698" s="8" t="s">
        <v>327</v>
      </c>
      <c r="Q698" s="8" t="n">
        <v>3.44</v>
      </c>
      <c r="R698" s="8" t="n">
        <v>1</v>
      </c>
      <c r="S698" s="11" t="n">
        <v>45365</v>
      </c>
      <c r="T698" s="8" t="str">
        <f aca="true">IF(S698="","",IF(EDATE(S698,60)&lt;TODAY(),"Expired",IF(EDATE(S698,60)&lt;TODAY()+180,"Expiring Soon","Valid")))</f>
        <v>Valid</v>
      </c>
      <c r="U698" s="8" t="str">
        <f aca="false">IF(P698="","",IF(P698="A++","Top Tier",IF(P698="A+","High",IF(P698="A","Strong",IF(LEFT(P698,1)="B","Acceptable",IF(LEFT(P698,1)="C","Below Avg","-"))))))</f>
        <v>High</v>
      </c>
      <c r="AT698" s="8"/>
      <c r="AU698" s="8"/>
    </row>
    <row r="699" customFormat="false" ht="15" hidden="false" customHeight="true" outlineLevel="0" collapsed="false">
      <c r="A699" s="8" t="n">
        <v>698</v>
      </c>
      <c r="B699" s="8" t="n">
        <v>106</v>
      </c>
      <c r="C699" s="8" t="s">
        <v>606</v>
      </c>
      <c r="D699" s="8" t="s">
        <v>333</v>
      </c>
      <c r="E699" s="9" t="s">
        <v>628</v>
      </c>
      <c r="F699" s="9" t="s">
        <v>340</v>
      </c>
      <c r="G699" s="8" t="s">
        <v>289</v>
      </c>
      <c r="H699" s="8" t="s">
        <v>290</v>
      </c>
      <c r="I699" s="8" t="s">
        <v>291</v>
      </c>
      <c r="J699" s="8" t="s">
        <v>292</v>
      </c>
      <c r="K699" s="8" t="s">
        <v>293</v>
      </c>
      <c r="L699" s="9" t="s">
        <v>294</v>
      </c>
      <c r="M699" s="8"/>
      <c r="N699" s="8" t="str">
        <f aca="true">IF(M699="","Active (per Notice 1)",IF(M699&lt;TODAY(),"Expired",IF(M699&lt;TODAY()+180,"Expiring Soon","Active")))</f>
        <v>Active (per Notice 1)</v>
      </c>
      <c r="O699" s="10" t="s">
        <v>295</v>
      </c>
      <c r="P699" s="8" t="s">
        <v>327</v>
      </c>
      <c r="Q699" s="8" t="n">
        <v>3.44</v>
      </c>
      <c r="R699" s="8" t="n">
        <v>1</v>
      </c>
      <c r="S699" s="11" t="n">
        <v>45365</v>
      </c>
      <c r="T699" s="8" t="str">
        <f aca="true">IF(S699="","",IF(EDATE(S699,60)&lt;TODAY(),"Expired",IF(EDATE(S699,60)&lt;TODAY()+180,"Expiring Soon","Valid")))</f>
        <v>Valid</v>
      </c>
      <c r="U699" s="8" t="str">
        <f aca="false">IF(P699="","",IF(P699="A++","Top Tier",IF(P699="A+","High",IF(P699="A","Strong",IF(LEFT(P699,1)="B","Acceptable",IF(LEFT(P699,1)="C","Below Avg","-"))))))</f>
        <v>High</v>
      </c>
      <c r="AT699" s="8"/>
      <c r="AU699" s="8"/>
    </row>
    <row r="700" customFormat="false" ht="15" hidden="false" customHeight="true" outlineLevel="0" collapsed="false">
      <c r="A700" s="8" t="n">
        <v>699</v>
      </c>
      <c r="B700" s="8" t="n">
        <v>106</v>
      </c>
      <c r="C700" s="8" t="s">
        <v>606</v>
      </c>
      <c r="D700" s="8" t="s">
        <v>333</v>
      </c>
      <c r="E700" s="9" t="s">
        <v>628</v>
      </c>
      <c r="F700" s="9" t="s">
        <v>319</v>
      </c>
      <c r="G700" s="8" t="s">
        <v>320</v>
      </c>
      <c r="H700" s="8" t="s">
        <v>290</v>
      </c>
      <c r="I700" s="8" t="s">
        <v>291</v>
      </c>
      <c r="J700" s="8" t="s">
        <v>292</v>
      </c>
      <c r="K700" s="8" t="s">
        <v>293</v>
      </c>
      <c r="L700" s="9" t="s">
        <v>294</v>
      </c>
      <c r="M700" s="8"/>
      <c r="N700" s="8" t="str">
        <f aca="true">IF(M700="","Active (per Notice 1)",IF(M700&lt;TODAY(),"Expired",IF(M700&lt;TODAY()+180,"Expiring Soon","Active")))</f>
        <v>Active (per Notice 1)</v>
      </c>
      <c r="O700" s="12" t="s">
        <v>305</v>
      </c>
      <c r="P700" s="8" t="s">
        <v>327</v>
      </c>
      <c r="Q700" s="8" t="n">
        <v>3.44</v>
      </c>
      <c r="R700" s="8" t="n">
        <v>1</v>
      </c>
      <c r="S700" s="11" t="n">
        <v>45365</v>
      </c>
      <c r="T700" s="8" t="str">
        <f aca="true">IF(S700="","",IF(EDATE(S700,60)&lt;TODAY(),"Expired",IF(EDATE(S700,60)&lt;TODAY()+180,"Expiring Soon","Valid")))</f>
        <v>Valid</v>
      </c>
      <c r="U700" s="8" t="str">
        <f aca="false">IF(P700="","",IF(P700="A++","Top Tier",IF(P700="A+","High",IF(P700="A","Strong",IF(LEFT(P700,1)="B","Acceptable",IF(LEFT(P700,1)="C","Below Avg","-"))))))</f>
        <v>High</v>
      </c>
      <c r="AT700" s="8"/>
      <c r="AU700" s="8"/>
    </row>
    <row r="701" customFormat="false" ht="15" hidden="false" customHeight="true" outlineLevel="0" collapsed="false">
      <c r="A701" s="8" t="n">
        <v>700</v>
      </c>
      <c r="B701" s="8" t="n">
        <v>106</v>
      </c>
      <c r="C701" s="8" t="s">
        <v>606</v>
      </c>
      <c r="D701" s="8" t="s">
        <v>333</v>
      </c>
      <c r="E701" s="9" t="s">
        <v>628</v>
      </c>
      <c r="F701" s="9" t="s">
        <v>308</v>
      </c>
      <c r="G701" s="8" t="s">
        <v>309</v>
      </c>
      <c r="H701" s="8" t="s">
        <v>302</v>
      </c>
      <c r="I701" s="8" t="s">
        <v>291</v>
      </c>
      <c r="J701" s="8" t="s">
        <v>292</v>
      </c>
      <c r="K701" s="8" t="s">
        <v>293</v>
      </c>
      <c r="L701" s="9" t="s">
        <v>294</v>
      </c>
      <c r="M701" s="8"/>
      <c r="N701" s="8" t="str">
        <f aca="true">IF(M701="","Active (per Notice 1)",IF(M701&lt;TODAY(),"Expired",IF(M701&lt;TODAY()+180,"Expiring Soon","Active")))</f>
        <v>Active (per Notice 1)</v>
      </c>
      <c r="O701" s="10" t="s">
        <v>295</v>
      </c>
      <c r="P701" s="8" t="s">
        <v>327</v>
      </c>
      <c r="Q701" s="8" t="n">
        <v>3.44</v>
      </c>
      <c r="R701" s="8" t="n">
        <v>1</v>
      </c>
      <c r="S701" s="11" t="n">
        <v>45365</v>
      </c>
      <c r="T701" s="8" t="str">
        <f aca="true">IF(S701="","",IF(EDATE(S701,60)&lt;TODAY(),"Expired",IF(EDATE(S701,60)&lt;TODAY()+180,"Expiring Soon","Valid")))</f>
        <v>Valid</v>
      </c>
      <c r="U701" s="8" t="str">
        <f aca="false">IF(P701="","",IF(P701="A++","Top Tier",IF(P701="A+","High",IF(P701="A","Strong",IF(LEFT(P701,1)="B","Acceptable",IF(LEFT(P701,1)="C","Below Avg","-"))))))</f>
        <v>High</v>
      </c>
      <c r="AT701" s="8"/>
      <c r="AU701" s="8"/>
    </row>
    <row r="702" customFormat="false" ht="15" hidden="false" customHeight="true" outlineLevel="0" collapsed="false">
      <c r="A702" s="8" t="n">
        <v>701</v>
      </c>
      <c r="B702" s="8" t="n">
        <v>106</v>
      </c>
      <c r="C702" s="8" t="s">
        <v>606</v>
      </c>
      <c r="D702" s="8" t="s">
        <v>333</v>
      </c>
      <c r="E702" s="9" t="s">
        <v>628</v>
      </c>
      <c r="F702" s="9" t="s">
        <v>629</v>
      </c>
      <c r="G702" s="8" t="s">
        <v>301</v>
      </c>
      <c r="H702" s="8" t="s">
        <v>302</v>
      </c>
      <c r="I702" s="8" t="s">
        <v>291</v>
      </c>
      <c r="J702" s="8" t="s">
        <v>292</v>
      </c>
      <c r="K702" s="8" t="s">
        <v>293</v>
      </c>
      <c r="L702" s="9" t="s">
        <v>294</v>
      </c>
      <c r="M702" s="8"/>
      <c r="N702" s="8" t="str">
        <f aca="true">IF(M702="","Active (per Notice 1)",IF(M702&lt;TODAY(),"Expired",IF(M702&lt;TODAY()+180,"Expiring Soon","Active")))</f>
        <v>Active (per Notice 1)</v>
      </c>
      <c r="O702" s="10" t="s">
        <v>295</v>
      </c>
      <c r="P702" s="8" t="s">
        <v>327</v>
      </c>
      <c r="Q702" s="8" t="n">
        <v>3.44</v>
      </c>
      <c r="R702" s="8" t="n">
        <v>1</v>
      </c>
      <c r="S702" s="11" t="n">
        <v>45365</v>
      </c>
      <c r="T702" s="8" t="str">
        <f aca="true">IF(S702="","",IF(EDATE(S702,60)&lt;TODAY(),"Expired",IF(EDATE(S702,60)&lt;TODAY()+180,"Expiring Soon","Valid")))</f>
        <v>Valid</v>
      </c>
      <c r="U702" s="8" t="str">
        <f aca="false">IF(P702="","",IF(P702="A++","Top Tier",IF(P702="A+","High",IF(P702="A","Strong",IF(LEFT(P702,1)="B","Acceptable",IF(LEFT(P702,1)="C","Below Avg","-"))))))</f>
        <v>High</v>
      </c>
      <c r="AT702" s="8"/>
      <c r="AU702" s="8"/>
    </row>
    <row r="703" customFormat="false" ht="15" hidden="false" customHeight="true" outlineLevel="0" collapsed="false">
      <c r="A703" s="8" t="n">
        <v>702</v>
      </c>
      <c r="B703" s="8" t="n">
        <v>106</v>
      </c>
      <c r="C703" s="8" t="s">
        <v>606</v>
      </c>
      <c r="D703" s="8" t="s">
        <v>333</v>
      </c>
      <c r="E703" s="9" t="s">
        <v>628</v>
      </c>
      <c r="F703" s="9" t="s">
        <v>385</v>
      </c>
      <c r="G703" s="8" t="s">
        <v>386</v>
      </c>
      <c r="H703" s="8" t="s">
        <v>302</v>
      </c>
      <c r="I703" s="8" t="s">
        <v>291</v>
      </c>
      <c r="J703" s="8" t="s">
        <v>292</v>
      </c>
      <c r="K703" s="8" t="s">
        <v>293</v>
      </c>
      <c r="L703" s="9" t="s">
        <v>294</v>
      </c>
      <c r="M703" s="8"/>
      <c r="N703" s="8" t="str">
        <f aca="true">IF(M703="","Active (per Notice 1)",IF(M703&lt;TODAY(),"Expired",IF(M703&lt;TODAY()+180,"Expiring Soon","Active")))</f>
        <v>Active (per Notice 1)</v>
      </c>
      <c r="O703" s="10" t="s">
        <v>295</v>
      </c>
      <c r="P703" s="8" t="s">
        <v>327</v>
      </c>
      <c r="Q703" s="8" t="n">
        <v>3.44</v>
      </c>
      <c r="R703" s="8" t="n">
        <v>1</v>
      </c>
      <c r="S703" s="11" t="n">
        <v>45365</v>
      </c>
      <c r="T703" s="8" t="str">
        <f aca="true">IF(S703="","",IF(EDATE(S703,60)&lt;TODAY(),"Expired",IF(EDATE(S703,60)&lt;TODAY()+180,"Expiring Soon","Valid")))</f>
        <v>Valid</v>
      </c>
      <c r="U703" s="8" t="str">
        <f aca="false">IF(P703="","",IF(P703="A++","Top Tier",IF(P703="A+","High",IF(P703="A","Strong",IF(LEFT(P703,1)="B","Acceptable",IF(LEFT(P703,1)="C","Below Avg","-"))))))</f>
        <v>High</v>
      </c>
      <c r="AT703" s="8"/>
      <c r="AU703" s="8"/>
    </row>
    <row r="704" customFormat="false" ht="15" hidden="false" customHeight="true" outlineLevel="0" collapsed="false">
      <c r="A704" s="8" t="n">
        <v>703</v>
      </c>
      <c r="B704" s="8" t="n">
        <v>106</v>
      </c>
      <c r="C704" s="8" t="s">
        <v>606</v>
      </c>
      <c r="D704" s="8" t="s">
        <v>333</v>
      </c>
      <c r="E704" s="9" t="s">
        <v>628</v>
      </c>
      <c r="F704" s="9" t="s">
        <v>314</v>
      </c>
      <c r="G704" s="8" t="s">
        <v>301</v>
      </c>
      <c r="H704" s="8" t="s">
        <v>302</v>
      </c>
      <c r="I704" s="8" t="s">
        <v>291</v>
      </c>
      <c r="J704" s="8" t="s">
        <v>292</v>
      </c>
      <c r="K704" s="8" t="s">
        <v>293</v>
      </c>
      <c r="L704" s="9" t="s">
        <v>294</v>
      </c>
      <c r="M704" s="8"/>
      <c r="N704" s="8" t="str">
        <f aca="true">IF(M704="","Active (per Notice 1)",IF(M704&lt;TODAY(),"Expired",IF(M704&lt;TODAY()+180,"Expiring Soon","Active")))</f>
        <v>Active (per Notice 1)</v>
      </c>
      <c r="O704" s="10" t="s">
        <v>295</v>
      </c>
      <c r="P704" s="8" t="s">
        <v>327</v>
      </c>
      <c r="Q704" s="8" t="n">
        <v>3.44</v>
      </c>
      <c r="R704" s="8" t="n">
        <v>1</v>
      </c>
      <c r="S704" s="11" t="n">
        <v>45365</v>
      </c>
      <c r="T704" s="8" t="str">
        <f aca="true">IF(S704="","",IF(EDATE(S704,60)&lt;TODAY(),"Expired",IF(EDATE(S704,60)&lt;TODAY()+180,"Expiring Soon","Valid")))</f>
        <v>Valid</v>
      </c>
      <c r="U704" s="8" t="str">
        <f aca="false">IF(P704="","",IF(P704="A++","Top Tier",IF(P704="A+","High",IF(P704="A","Strong",IF(LEFT(P704,1)="B","Acceptable",IF(LEFT(P704,1)="C","Below Avg","-"))))))</f>
        <v>High</v>
      </c>
      <c r="AT704" s="8"/>
      <c r="AU704" s="8"/>
    </row>
    <row r="705" customFormat="false" ht="15" hidden="false" customHeight="true" outlineLevel="0" collapsed="false">
      <c r="A705" s="8" t="n">
        <v>704</v>
      </c>
      <c r="B705" s="8" t="n">
        <v>106</v>
      </c>
      <c r="C705" s="8" t="s">
        <v>606</v>
      </c>
      <c r="D705" s="8" t="s">
        <v>333</v>
      </c>
      <c r="E705" s="9" t="s">
        <v>628</v>
      </c>
      <c r="F705" s="9" t="s">
        <v>303</v>
      </c>
      <c r="G705" s="8" t="s">
        <v>304</v>
      </c>
      <c r="H705" s="8" t="s">
        <v>302</v>
      </c>
      <c r="I705" s="8" t="s">
        <v>291</v>
      </c>
      <c r="J705" s="8" t="s">
        <v>292</v>
      </c>
      <c r="K705" s="8" t="s">
        <v>293</v>
      </c>
      <c r="L705" s="9" t="s">
        <v>294</v>
      </c>
      <c r="M705" s="8"/>
      <c r="N705" s="8" t="str">
        <f aca="true">IF(M705="","Active (per Notice 1)",IF(M705&lt;TODAY(),"Expired",IF(M705&lt;TODAY()+180,"Expiring Soon","Active")))</f>
        <v>Active (per Notice 1)</v>
      </c>
      <c r="O705" s="12" t="s">
        <v>305</v>
      </c>
      <c r="P705" s="8" t="s">
        <v>327</v>
      </c>
      <c r="Q705" s="8" t="n">
        <v>3.44</v>
      </c>
      <c r="R705" s="8" t="n">
        <v>1</v>
      </c>
      <c r="S705" s="11" t="n">
        <v>45365</v>
      </c>
      <c r="T705" s="8" t="str">
        <f aca="true">IF(S705="","",IF(EDATE(S705,60)&lt;TODAY(),"Expired",IF(EDATE(S705,60)&lt;TODAY()+180,"Expiring Soon","Valid")))</f>
        <v>Valid</v>
      </c>
      <c r="U705" s="8" t="str">
        <f aca="false">IF(P705="","",IF(P705="A++","Top Tier",IF(P705="A+","High",IF(P705="A","Strong",IF(LEFT(P705,1)="B","Acceptable",IF(LEFT(P705,1)="C","Below Avg","-"))))))</f>
        <v>High</v>
      </c>
      <c r="AT705" s="8"/>
      <c r="AU705" s="8"/>
    </row>
    <row r="706" customFormat="false" ht="15" hidden="false" customHeight="true" outlineLevel="0" collapsed="false">
      <c r="A706" s="8" t="n">
        <v>705</v>
      </c>
      <c r="B706" s="8" t="n">
        <v>106</v>
      </c>
      <c r="C706" s="8" t="s">
        <v>606</v>
      </c>
      <c r="D706" s="8" t="s">
        <v>333</v>
      </c>
      <c r="E706" s="9" t="s">
        <v>628</v>
      </c>
      <c r="F706" s="9" t="s">
        <v>306</v>
      </c>
      <c r="G706" s="8" t="s">
        <v>307</v>
      </c>
      <c r="H706" s="8" t="s">
        <v>302</v>
      </c>
      <c r="I706" s="8" t="s">
        <v>291</v>
      </c>
      <c r="J706" s="8" t="s">
        <v>292</v>
      </c>
      <c r="K706" s="8" t="s">
        <v>293</v>
      </c>
      <c r="L706" s="9" t="s">
        <v>294</v>
      </c>
      <c r="M706" s="8"/>
      <c r="N706" s="8" t="str">
        <f aca="true">IF(M706="","Active (per Notice 1)",IF(M706&lt;TODAY(),"Expired",IF(M706&lt;TODAY()+180,"Expiring Soon","Active")))</f>
        <v>Active (per Notice 1)</v>
      </c>
      <c r="O706" s="12" t="s">
        <v>305</v>
      </c>
      <c r="P706" s="8" t="s">
        <v>327</v>
      </c>
      <c r="Q706" s="8" t="n">
        <v>3.44</v>
      </c>
      <c r="R706" s="8" t="n">
        <v>1</v>
      </c>
      <c r="S706" s="11" t="n">
        <v>45365</v>
      </c>
      <c r="T706" s="8" t="str">
        <f aca="true">IF(S706="","",IF(EDATE(S706,60)&lt;TODAY(),"Expired",IF(EDATE(S706,60)&lt;TODAY()+180,"Expiring Soon","Valid")))</f>
        <v>Valid</v>
      </c>
      <c r="U706" s="8" t="str">
        <f aca="false">IF(P706="","",IF(P706="A++","Top Tier",IF(P706="A+","High",IF(P706="A","Strong",IF(LEFT(P706,1)="B","Acceptable",IF(LEFT(P706,1)="C","Below Avg","-"))))))</f>
        <v>High</v>
      </c>
      <c r="AT706" s="8"/>
      <c r="AU706" s="8"/>
    </row>
    <row r="707" customFormat="false" ht="15" hidden="false" customHeight="true" outlineLevel="0" collapsed="false">
      <c r="A707" s="8" t="n">
        <v>706</v>
      </c>
      <c r="B707" s="8" t="n">
        <v>107</v>
      </c>
      <c r="C707" s="8" t="s">
        <v>606</v>
      </c>
      <c r="D707" s="8" t="s">
        <v>286</v>
      </c>
      <c r="E707" s="9" t="s">
        <v>630</v>
      </c>
      <c r="F707" s="9" t="s">
        <v>299</v>
      </c>
      <c r="G707" s="8" t="s">
        <v>289</v>
      </c>
      <c r="H707" s="8" t="s">
        <v>290</v>
      </c>
      <c r="I707" s="8" t="s">
        <v>291</v>
      </c>
      <c r="J707" s="8" t="s">
        <v>292</v>
      </c>
      <c r="K707" s="8" t="s">
        <v>293</v>
      </c>
      <c r="L707" s="9" t="s">
        <v>294</v>
      </c>
      <c r="M707" s="8"/>
      <c r="N707" s="8" t="str">
        <f aca="true">IF(M707="","Active (per Notice 1)",IF(M707&lt;TODAY(),"Expired",IF(M707&lt;TODAY()+180,"Expiring Soon","Active")))</f>
        <v>Active (per Notice 1)</v>
      </c>
      <c r="O707" s="10" t="s">
        <v>295</v>
      </c>
      <c r="P707" s="8" t="s">
        <v>296</v>
      </c>
      <c r="Q707" s="8" t="n">
        <v>3.57</v>
      </c>
      <c r="R707" s="8" t="n">
        <v>3</v>
      </c>
      <c r="S707" s="11" t="n">
        <v>45255</v>
      </c>
      <c r="T707" s="8" t="str">
        <f aca="true">IF(S707="","",IF(EDATE(S707,60)&lt;TODAY(),"Expired",IF(EDATE(S707,60)&lt;TODAY()+180,"Expiring Soon","Valid")))</f>
        <v>Valid</v>
      </c>
      <c r="U707" s="8" t="str">
        <f aca="false">IF(P707="","",IF(P707="A++","Top Tier",IF(P707="A+","High",IF(P707="A","Strong",IF(LEFT(P707,1)="B","Acceptable",IF(LEFT(P707,1)="C","Below Avg","-"))))))</f>
        <v>Top Tier</v>
      </c>
      <c r="AT707" s="8"/>
      <c r="AU707" s="8"/>
    </row>
    <row r="708" customFormat="false" ht="15" hidden="false" customHeight="true" outlineLevel="0" collapsed="false">
      <c r="A708" s="8" t="n">
        <v>707</v>
      </c>
      <c r="B708" s="8" t="n">
        <v>107</v>
      </c>
      <c r="C708" s="8" t="s">
        <v>606</v>
      </c>
      <c r="D708" s="8" t="s">
        <v>286</v>
      </c>
      <c r="E708" s="9" t="s">
        <v>630</v>
      </c>
      <c r="F708" s="9" t="s">
        <v>317</v>
      </c>
      <c r="G708" s="8" t="s">
        <v>318</v>
      </c>
      <c r="H708" s="8" t="s">
        <v>290</v>
      </c>
      <c r="I708" s="8" t="s">
        <v>291</v>
      </c>
      <c r="J708" s="8" t="s">
        <v>292</v>
      </c>
      <c r="K708" s="8" t="s">
        <v>293</v>
      </c>
      <c r="L708" s="9" t="s">
        <v>294</v>
      </c>
      <c r="M708" s="8"/>
      <c r="N708" s="8" t="str">
        <f aca="true">IF(M708="","Active (per Notice 1)",IF(M708&lt;TODAY(),"Expired",IF(M708&lt;TODAY()+180,"Expiring Soon","Active")))</f>
        <v>Active (per Notice 1)</v>
      </c>
      <c r="O708" s="12" t="s">
        <v>305</v>
      </c>
      <c r="P708" s="8" t="s">
        <v>296</v>
      </c>
      <c r="Q708" s="8" t="n">
        <v>3.57</v>
      </c>
      <c r="R708" s="8" t="n">
        <v>3</v>
      </c>
      <c r="S708" s="11" t="n">
        <v>45255</v>
      </c>
      <c r="T708" s="8" t="str">
        <f aca="true">IF(S708="","",IF(EDATE(S708,60)&lt;TODAY(),"Expired",IF(EDATE(S708,60)&lt;TODAY()+180,"Expiring Soon","Valid")))</f>
        <v>Valid</v>
      </c>
      <c r="U708" s="8" t="str">
        <f aca="false">IF(P708="","",IF(P708="A++","Top Tier",IF(P708="A+","High",IF(P708="A","Strong",IF(LEFT(P708,1)="B","Acceptable",IF(LEFT(P708,1)="C","Below Avg","-"))))))</f>
        <v>Top Tier</v>
      </c>
      <c r="AT708" s="8"/>
      <c r="AU708" s="8"/>
    </row>
    <row r="709" customFormat="false" ht="15" hidden="false" customHeight="true" outlineLevel="0" collapsed="false">
      <c r="A709" s="8" t="n">
        <v>708</v>
      </c>
      <c r="B709" s="8" t="n">
        <v>107</v>
      </c>
      <c r="C709" s="8" t="s">
        <v>606</v>
      </c>
      <c r="D709" s="8" t="s">
        <v>286</v>
      </c>
      <c r="E709" s="9" t="s">
        <v>630</v>
      </c>
      <c r="F709" s="9" t="s">
        <v>319</v>
      </c>
      <c r="G709" s="8" t="s">
        <v>320</v>
      </c>
      <c r="H709" s="8" t="s">
        <v>290</v>
      </c>
      <c r="I709" s="8" t="s">
        <v>291</v>
      </c>
      <c r="J709" s="8" t="s">
        <v>292</v>
      </c>
      <c r="K709" s="8" t="s">
        <v>293</v>
      </c>
      <c r="L709" s="9" t="s">
        <v>294</v>
      </c>
      <c r="M709" s="8"/>
      <c r="N709" s="8" t="str">
        <f aca="true">IF(M709="","Active (per Notice 1)",IF(M709&lt;TODAY(),"Expired",IF(M709&lt;TODAY()+180,"Expiring Soon","Active")))</f>
        <v>Active (per Notice 1)</v>
      </c>
      <c r="O709" s="12" t="s">
        <v>305</v>
      </c>
      <c r="P709" s="8" t="s">
        <v>296</v>
      </c>
      <c r="Q709" s="8" t="n">
        <v>3.57</v>
      </c>
      <c r="R709" s="8" t="n">
        <v>3</v>
      </c>
      <c r="S709" s="11" t="n">
        <v>45255</v>
      </c>
      <c r="T709" s="8" t="str">
        <f aca="true">IF(S709="","",IF(EDATE(S709,60)&lt;TODAY(),"Expired",IF(EDATE(S709,60)&lt;TODAY()+180,"Expiring Soon","Valid")))</f>
        <v>Valid</v>
      </c>
      <c r="U709" s="8" t="str">
        <f aca="false">IF(P709="","",IF(P709="A++","Top Tier",IF(P709="A+","High",IF(P709="A","Strong",IF(LEFT(P709,1)="B","Acceptable",IF(LEFT(P709,1)="C","Below Avg","-"))))))</f>
        <v>Top Tier</v>
      </c>
      <c r="AT709" s="8"/>
      <c r="AU709" s="8"/>
    </row>
    <row r="710" customFormat="false" ht="15" hidden="false" customHeight="true" outlineLevel="0" collapsed="false">
      <c r="A710" s="8" t="n">
        <v>709</v>
      </c>
      <c r="B710" s="8" t="n">
        <v>107</v>
      </c>
      <c r="C710" s="8" t="s">
        <v>606</v>
      </c>
      <c r="D710" s="8" t="s">
        <v>286</v>
      </c>
      <c r="E710" s="9" t="s">
        <v>630</v>
      </c>
      <c r="F710" s="9" t="s">
        <v>308</v>
      </c>
      <c r="G710" s="8" t="s">
        <v>309</v>
      </c>
      <c r="H710" s="8" t="s">
        <v>302</v>
      </c>
      <c r="I710" s="8" t="s">
        <v>291</v>
      </c>
      <c r="J710" s="8" t="s">
        <v>292</v>
      </c>
      <c r="K710" s="8" t="s">
        <v>293</v>
      </c>
      <c r="L710" s="9" t="s">
        <v>294</v>
      </c>
      <c r="M710" s="8"/>
      <c r="N710" s="8" t="str">
        <f aca="true">IF(M710="","Active (per Notice 1)",IF(M710&lt;TODAY(),"Expired",IF(M710&lt;TODAY()+180,"Expiring Soon","Active")))</f>
        <v>Active (per Notice 1)</v>
      </c>
      <c r="O710" s="10" t="s">
        <v>295</v>
      </c>
      <c r="P710" s="8" t="s">
        <v>296</v>
      </c>
      <c r="Q710" s="8" t="n">
        <v>3.57</v>
      </c>
      <c r="R710" s="8" t="n">
        <v>3</v>
      </c>
      <c r="S710" s="11" t="n">
        <v>45255</v>
      </c>
      <c r="T710" s="8" t="str">
        <f aca="true">IF(S710="","",IF(EDATE(S710,60)&lt;TODAY(),"Expired",IF(EDATE(S710,60)&lt;TODAY()+180,"Expiring Soon","Valid")))</f>
        <v>Valid</v>
      </c>
      <c r="U710" s="8" t="str">
        <f aca="false">IF(P710="","",IF(P710="A++","Top Tier",IF(P710="A+","High",IF(P710="A","Strong",IF(LEFT(P710,1)="B","Acceptable",IF(LEFT(P710,1)="C","Below Avg","-"))))))</f>
        <v>Top Tier</v>
      </c>
      <c r="AT710" s="8"/>
      <c r="AU710" s="8"/>
    </row>
    <row r="711" customFormat="false" ht="15" hidden="false" customHeight="true" outlineLevel="0" collapsed="false">
      <c r="A711" s="8" t="n">
        <v>710</v>
      </c>
      <c r="B711" s="8" t="n">
        <v>107</v>
      </c>
      <c r="C711" s="8" t="s">
        <v>606</v>
      </c>
      <c r="D711" s="8" t="s">
        <v>286</v>
      </c>
      <c r="E711" s="9" t="s">
        <v>630</v>
      </c>
      <c r="F711" s="9" t="s">
        <v>303</v>
      </c>
      <c r="G711" s="8" t="s">
        <v>304</v>
      </c>
      <c r="H711" s="8" t="s">
        <v>302</v>
      </c>
      <c r="I711" s="8" t="s">
        <v>291</v>
      </c>
      <c r="J711" s="8" t="s">
        <v>292</v>
      </c>
      <c r="K711" s="8" t="s">
        <v>293</v>
      </c>
      <c r="L711" s="9" t="s">
        <v>294</v>
      </c>
      <c r="M711" s="8"/>
      <c r="N711" s="8" t="str">
        <f aca="true">IF(M711="","Active (per Notice 1)",IF(M711&lt;TODAY(),"Expired",IF(M711&lt;TODAY()+180,"Expiring Soon","Active")))</f>
        <v>Active (per Notice 1)</v>
      </c>
      <c r="O711" s="12" t="s">
        <v>305</v>
      </c>
      <c r="P711" s="8" t="s">
        <v>296</v>
      </c>
      <c r="Q711" s="8" t="n">
        <v>3.57</v>
      </c>
      <c r="R711" s="8" t="n">
        <v>3</v>
      </c>
      <c r="S711" s="11" t="n">
        <v>45255</v>
      </c>
      <c r="T711" s="8" t="str">
        <f aca="true">IF(S711="","",IF(EDATE(S711,60)&lt;TODAY(),"Expired",IF(EDATE(S711,60)&lt;TODAY()+180,"Expiring Soon","Valid")))</f>
        <v>Valid</v>
      </c>
      <c r="U711" s="8" t="str">
        <f aca="false">IF(P711="","",IF(P711="A++","Top Tier",IF(P711="A+","High",IF(P711="A","Strong",IF(LEFT(P711,1)="B","Acceptable",IF(LEFT(P711,1)="C","Below Avg","-"))))))</f>
        <v>Top Tier</v>
      </c>
      <c r="AT711" s="8"/>
      <c r="AU711" s="8"/>
    </row>
    <row r="712" customFormat="false" ht="15" hidden="false" customHeight="true" outlineLevel="0" collapsed="false">
      <c r="A712" s="8" t="n">
        <v>711</v>
      </c>
      <c r="B712" s="8" t="n">
        <v>107</v>
      </c>
      <c r="C712" s="8" t="s">
        <v>606</v>
      </c>
      <c r="D712" s="8" t="s">
        <v>286</v>
      </c>
      <c r="E712" s="9" t="s">
        <v>630</v>
      </c>
      <c r="F712" s="9" t="s">
        <v>306</v>
      </c>
      <c r="G712" s="8" t="s">
        <v>307</v>
      </c>
      <c r="H712" s="8" t="s">
        <v>302</v>
      </c>
      <c r="I712" s="8" t="s">
        <v>291</v>
      </c>
      <c r="J712" s="8" t="s">
        <v>292</v>
      </c>
      <c r="K712" s="8" t="s">
        <v>293</v>
      </c>
      <c r="L712" s="9" t="s">
        <v>294</v>
      </c>
      <c r="M712" s="8"/>
      <c r="N712" s="8" t="str">
        <f aca="true">IF(M712="","Active (per Notice 1)",IF(M712&lt;TODAY(),"Expired",IF(M712&lt;TODAY()+180,"Expiring Soon","Active")))</f>
        <v>Active (per Notice 1)</v>
      </c>
      <c r="O712" s="12" t="s">
        <v>305</v>
      </c>
      <c r="P712" s="8" t="s">
        <v>296</v>
      </c>
      <c r="Q712" s="8" t="n">
        <v>3.57</v>
      </c>
      <c r="R712" s="8" t="n">
        <v>3</v>
      </c>
      <c r="S712" s="11" t="n">
        <v>45255</v>
      </c>
      <c r="T712" s="8" t="str">
        <f aca="true">IF(S712="","",IF(EDATE(S712,60)&lt;TODAY(),"Expired",IF(EDATE(S712,60)&lt;TODAY()+180,"Expiring Soon","Valid")))</f>
        <v>Valid</v>
      </c>
      <c r="U712" s="8" t="str">
        <f aca="false">IF(P712="","",IF(P712="A++","Top Tier",IF(P712="A+","High",IF(P712="A","Strong",IF(LEFT(P712,1)="B","Acceptable",IF(LEFT(P712,1)="C","Below Avg","-"))))))</f>
        <v>Top Tier</v>
      </c>
      <c r="AT712" s="8"/>
      <c r="AU712" s="8"/>
    </row>
    <row r="713" customFormat="false" ht="15" hidden="false" customHeight="true" outlineLevel="0" collapsed="false">
      <c r="A713" s="8" t="n">
        <v>712</v>
      </c>
      <c r="B713" s="8" t="n">
        <v>108</v>
      </c>
      <c r="C713" s="8" t="s">
        <v>606</v>
      </c>
      <c r="D713" s="8" t="s">
        <v>333</v>
      </c>
      <c r="E713" s="9" t="s">
        <v>631</v>
      </c>
      <c r="F713" s="9" t="s">
        <v>317</v>
      </c>
      <c r="G713" s="8" t="s">
        <v>318</v>
      </c>
      <c r="H713" s="8" t="s">
        <v>290</v>
      </c>
      <c r="I713" s="8" t="s">
        <v>291</v>
      </c>
      <c r="J713" s="8" t="s">
        <v>292</v>
      </c>
      <c r="K713" s="8" t="s">
        <v>293</v>
      </c>
      <c r="L713" s="9" t="s">
        <v>294</v>
      </c>
      <c r="M713" s="8"/>
      <c r="N713" s="8" t="str">
        <f aca="true">IF(M713="","Active (per Notice 1)",IF(M713&lt;TODAY(),"Expired",IF(M713&lt;TODAY()+180,"Expiring Soon","Active")))</f>
        <v>Active (per Notice 1)</v>
      </c>
      <c r="O713" s="12" t="s">
        <v>305</v>
      </c>
      <c r="P713" s="8" t="s">
        <v>327</v>
      </c>
      <c r="Q713" s="8" t="n">
        <v>3.37</v>
      </c>
      <c r="R713" s="8" t="n">
        <v>1</v>
      </c>
      <c r="S713" s="11" t="n">
        <v>44789</v>
      </c>
      <c r="T713" s="8" t="str">
        <f aca="true">IF(S713="","",IF(EDATE(S713,60)&lt;TODAY(),"Expired",IF(EDATE(S713,60)&lt;TODAY()+180,"Expiring Soon","Valid")))</f>
        <v>Valid</v>
      </c>
      <c r="U713" s="8" t="str">
        <f aca="false">IF(P713="","",IF(P713="A++","Top Tier",IF(P713="A+","High",IF(P713="A","Strong",IF(LEFT(P713,1)="B","Acceptable",IF(LEFT(P713,1)="C","Below Avg","-"))))))</f>
        <v>High</v>
      </c>
      <c r="AC713" s="8"/>
      <c r="AD713" s="8"/>
      <c r="AE713" s="8"/>
      <c r="AF713" s="8"/>
      <c r="AG713" s="8"/>
      <c r="AH713" s="8" t="n">
        <v>55</v>
      </c>
      <c r="AI713" s="8"/>
      <c r="AJ713" s="8"/>
      <c r="AK713" s="8" t="n">
        <v>36</v>
      </c>
      <c r="AL713" s="8"/>
      <c r="AM713" s="8"/>
      <c r="AN713" s="8"/>
      <c r="AO713" s="8"/>
      <c r="AP713" s="8"/>
      <c r="AQ713" s="8"/>
      <c r="AR713" s="8"/>
      <c r="AS713" s="8"/>
      <c r="AT713" s="8"/>
      <c r="AU713" s="8"/>
    </row>
    <row r="714" customFormat="false" ht="15" hidden="false" customHeight="true" outlineLevel="0" collapsed="false">
      <c r="A714" s="8" t="n">
        <v>713</v>
      </c>
      <c r="B714" s="8" t="n">
        <v>108</v>
      </c>
      <c r="C714" s="8" t="s">
        <v>606</v>
      </c>
      <c r="D714" s="8" t="s">
        <v>333</v>
      </c>
      <c r="E714" s="9" t="s">
        <v>631</v>
      </c>
      <c r="F714" s="9" t="s">
        <v>319</v>
      </c>
      <c r="G714" s="8" t="s">
        <v>320</v>
      </c>
      <c r="H714" s="8" t="s">
        <v>290</v>
      </c>
      <c r="I714" s="8" t="s">
        <v>291</v>
      </c>
      <c r="J714" s="8" t="s">
        <v>292</v>
      </c>
      <c r="K714" s="8" t="s">
        <v>293</v>
      </c>
      <c r="L714" s="9" t="s">
        <v>294</v>
      </c>
      <c r="M714" s="8"/>
      <c r="N714" s="8" t="str">
        <f aca="true">IF(M714="","Active (per Notice 1)",IF(M714&lt;TODAY(),"Expired",IF(M714&lt;TODAY()+180,"Expiring Soon","Active")))</f>
        <v>Active (per Notice 1)</v>
      </c>
      <c r="O714" s="12" t="s">
        <v>305</v>
      </c>
      <c r="P714" s="8" t="s">
        <v>327</v>
      </c>
      <c r="Q714" s="8" t="n">
        <v>3.37</v>
      </c>
      <c r="R714" s="8" t="n">
        <v>1</v>
      </c>
      <c r="S714" s="11" t="n">
        <v>44789</v>
      </c>
      <c r="T714" s="8" t="str">
        <f aca="true">IF(S714="","",IF(EDATE(S714,60)&lt;TODAY(),"Expired",IF(EDATE(S714,60)&lt;TODAY()+180,"Expiring Soon","Valid")))</f>
        <v>Valid</v>
      </c>
      <c r="U714" s="8" t="str">
        <f aca="false">IF(P714="","",IF(P714="A++","Top Tier",IF(P714="A+","High",IF(P714="A","Strong",IF(LEFT(P714,1)="B","Acceptable",IF(LEFT(P714,1)="C","Below Avg","-"))))))</f>
        <v>High</v>
      </c>
      <c r="AC714" s="8"/>
      <c r="AD714" s="8"/>
      <c r="AE714" s="8"/>
      <c r="AF714" s="8"/>
      <c r="AG714" s="8"/>
      <c r="AH714" s="8" t="n">
        <v>55</v>
      </c>
      <c r="AI714" s="8"/>
      <c r="AJ714" s="8"/>
      <c r="AK714" s="8" t="n">
        <v>36</v>
      </c>
      <c r="AL714" s="8"/>
      <c r="AM714" s="8"/>
      <c r="AN714" s="8"/>
      <c r="AO714" s="8"/>
      <c r="AP714" s="8"/>
      <c r="AQ714" s="8"/>
      <c r="AR714" s="8"/>
      <c r="AS714" s="8"/>
      <c r="AT714" s="8"/>
      <c r="AU714" s="8"/>
    </row>
    <row r="715" customFormat="false" ht="15" hidden="false" customHeight="true" outlineLevel="0" collapsed="false">
      <c r="A715" s="8" t="n">
        <v>714</v>
      </c>
      <c r="B715" s="8" t="n">
        <v>108</v>
      </c>
      <c r="C715" s="8" t="s">
        <v>606</v>
      </c>
      <c r="D715" s="8" t="s">
        <v>333</v>
      </c>
      <c r="E715" s="9" t="s">
        <v>631</v>
      </c>
      <c r="F715" s="9" t="s">
        <v>310</v>
      </c>
      <c r="G715" s="8" t="s">
        <v>301</v>
      </c>
      <c r="H715" s="8" t="s">
        <v>302</v>
      </c>
      <c r="I715" s="8" t="s">
        <v>291</v>
      </c>
      <c r="J715" s="8" t="s">
        <v>292</v>
      </c>
      <c r="K715" s="8" t="s">
        <v>293</v>
      </c>
      <c r="L715" s="9" t="s">
        <v>294</v>
      </c>
      <c r="M715" s="8"/>
      <c r="N715" s="8" t="str">
        <f aca="true">IF(M715="","Active (per Notice 1)",IF(M715&lt;TODAY(),"Expired",IF(M715&lt;TODAY()+180,"Expiring Soon","Active")))</f>
        <v>Active (per Notice 1)</v>
      </c>
      <c r="O715" s="10" t="s">
        <v>295</v>
      </c>
      <c r="P715" s="8" t="s">
        <v>327</v>
      </c>
      <c r="Q715" s="8" t="n">
        <v>3.37</v>
      </c>
      <c r="R715" s="8" t="n">
        <v>1</v>
      </c>
      <c r="S715" s="11" t="n">
        <v>44789</v>
      </c>
      <c r="T715" s="8" t="str">
        <f aca="true">IF(S715="","",IF(EDATE(S715,60)&lt;TODAY(),"Expired",IF(EDATE(S715,60)&lt;TODAY()+180,"Expiring Soon","Valid")))</f>
        <v>Valid</v>
      </c>
      <c r="U715" s="8" t="str">
        <f aca="false">IF(P715="","",IF(P715="A++","Top Tier",IF(P715="A+","High",IF(P715="A","Strong",IF(LEFT(P715,1)="B","Acceptable",IF(LEFT(P715,1)="C","Below Avg","-"))))))</f>
        <v>High</v>
      </c>
      <c r="AC715" s="8"/>
      <c r="AD715" s="8"/>
      <c r="AE715" s="8"/>
      <c r="AF715" s="8"/>
      <c r="AG715" s="8"/>
      <c r="AH715" s="8" t="n">
        <v>55</v>
      </c>
      <c r="AI715" s="8"/>
      <c r="AJ715" s="8"/>
      <c r="AK715" s="8" t="n">
        <v>36</v>
      </c>
      <c r="AL715" s="8"/>
      <c r="AM715" s="8"/>
      <c r="AN715" s="8"/>
      <c r="AO715" s="8"/>
      <c r="AP715" s="8"/>
      <c r="AQ715" s="8"/>
      <c r="AR715" s="8"/>
      <c r="AS715" s="8"/>
      <c r="AT715" s="8"/>
      <c r="AU715" s="8"/>
    </row>
    <row r="716" customFormat="false" ht="15" hidden="false" customHeight="true" outlineLevel="0" collapsed="false">
      <c r="A716" s="8" t="n">
        <v>715</v>
      </c>
      <c r="B716" s="8" t="n">
        <v>108</v>
      </c>
      <c r="C716" s="8" t="s">
        <v>606</v>
      </c>
      <c r="D716" s="8" t="s">
        <v>333</v>
      </c>
      <c r="E716" s="9" t="s">
        <v>631</v>
      </c>
      <c r="F716" s="9" t="s">
        <v>311</v>
      </c>
      <c r="G716" s="8" t="s">
        <v>301</v>
      </c>
      <c r="H716" s="8" t="s">
        <v>302</v>
      </c>
      <c r="I716" s="8" t="s">
        <v>291</v>
      </c>
      <c r="J716" s="8" t="s">
        <v>292</v>
      </c>
      <c r="K716" s="8" t="s">
        <v>293</v>
      </c>
      <c r="L716" s="9" t="s">
        <v>294</v>
      </c>
      <c r="M716" s="8"/>
      <c r="N716" s="8" t="str">
        <f aca="true">IF(M716="","Active (per Notice 1)",IF(M716&lt;TODAY(),"Expired",IF(M716&lt;TODAY()+180,"Expiring Soon","Active")))</f>
        <v>Active (per Notice 1)</v>
      </c>
      <c r="O716" s="10" t="s">
        <v>295</v>
      </c>
      <c r="P716" s="8" t="s">
        <v>327</v>
      </c>
      <c r="Q716" s="8" t="n">
        <v>3.37</v>
      </c>
      <c r="R716" s="8" t="n">
        <v>1</v>
      </c>
      <c r="S716" s="11" t="n">
        <v>44789</v>
      </c>
      <c r="T716" s="8" t="str">
        <f aca="true">IF(S716="","",IF(EDATE(S716,60)&lt;TODAY(),"Expired",IF(EDATE(S716,60)&lt;TODAY()+180,"Expiring Soon","Valid")))</f>
        <v>Valid</v>
      </c>
      <c r="U716" s="8" t="str">
        <f aca="false">IF(P716="","",IF(P716="A++","Top Tier",IF(P716="A+","High",IF(P716="A","Strong",IF(LEFT(P716,1)="B","Acceptable",IF(LEFT(P716,1)="C","Below Avg","-"))))))</f>
        <v>High</v>
      </c>
      <c r="AC716" s="8"/>
      <c r="AD716" s="8"/>
      <c r="AE716" s="8"/>
      <c r="AF716" s="8"/>
      <c r="AG716" s="8"/>
      <c r="AH716" s="8" t="n">
        <v>55</v>
      </c>
      <c r="AI716" s="8"/>
      <c r="AJ716" s="8"/>
      <c r="AK716" s="8" t="n">
        <v>36</v>
      </c>
      <c r="AL716" s="8"/>
      <c r="AM716" s="8"/>
      <c r="AN716" s="8"/>
      <c r="AO716" s="8"/>
      <c r="AP716" s="8"/>
      <c r="AQ716" s="8"/>
      <c r="AR716" s="8"/>
      <c r="AS716" s="8"/>
      <c r="AT716" s="8"/>
      <c r="AU716" s="8"/>
    </row>
    <row r="717" customFormat="false" ht="15" hidden="false" customHeight="true" outlineLevel="0" collapsed="false">
      <c r="A717" s="8" t="n">
        <v>716</v>
      </c>
      <c r="B717" s="8" t="n">
        <v>108</v>
      </c>
      <c r="C717" s="8" t="s">
        <v>606</v>
      </c>
      <c r="D717" s="8" t="s">
        <v>333</v>
      </c>
      <c r="E717" s="9" t="s">
        <v>631</v>
      </c>
      <c r="F717" s="9" t="s">
        <v>312</v>
      </c>
      <c r="G717" s="8" t="s">
        <v>301</v>
      </c>
      <c r="H717" s="8" t="s">
        <v>302</v>
      </c>
      <c r="I717" s="8" t="s">
        <v>291</v>
      </c>
      <c r="J717" s="8" t="s">
        <v>292</v>
      </c>
      <c r="K717" s="8" t="s">
        <v>293</v>
      </c>
      <c r="L717" s="9" t="s">
        <v>294</v>
      </c>
      <c r="M717" s="8"/>
      <c r="N717" s="8" t="str">
        <f aca="true">IF(M717="","Active (per Notice 1)",IF(M717&lt;TODAY(),"Expired",IF(M717&lt;TODAY()+180,"Expiring Soon","Active")))</f>
        <v>Active (per Notice 1)</v>
      </c>
      <c r="O717" s="10" t="s">
        <v>295</v>
      </c>
      <c r="P717" s="8" t="s">
        <v>327</v>
      </c>
      <c r="Q717" s="8" t="n">
        <v>3.37</v>
      </c>
      <c r="R717" s="8" t="n">
        <v>1</v>
      </c>
      <c r="S717" s="11" t="n">
        <v>44789</v>
      </c>
      <c r="T717" s="8" t="str">
        <f aca="true">IF(S717="","",IF(EDATE(S717,60)&lt;TODAY(),"Expired",IF(EDATE(S717,60)&lt;TODAY()+180,"Expiring Soon","Valid")))</f>
        <v>Valid</v>
      </c>
      <c r="U717" s="8" t="str">
        <f aca="false">IF(P717="","",IF(P717="A++","Top Tier",IF(P717="A+","High",IF(P717="A","Strong",IF(LEFT(P717,1)="B","Acceptable",IF(LEFT(P717,1)="C","Below Avg","-"))))))</f>
        <v>High</v>
      </c>
      <c r="AC717" s="8"/>
      <c r="AD717" s="8"/>
      <c r="AE717" s="8"/>
      <c r="AF717" s="8"/>
      <c r="AG717" s="8"/>
      <c r="AH717" s="8" t="n">
        <v>55</v>
      </c>
      <c r="AI717" s="8"/>
      <c r="AJ717" s="8"/>
      <c r="AK717" s="8" t="n">
        <v>36</v>
      </c>
      <c r="AL717" s="8"/>
      <c r="AM717" s="8"/>
      <c r="AN717" s="8"/>
      <c r="AO717" s="8"/>
      <c r="AP717" s="8"/>
      <c r="AQ717" s="8"/>
      <c r="AR717" s="8"/>
      <c r="AS717" s="8"/>
      <c r="AT717" s="8"/>
      <c r="AU717" s="8"/>
    </row>
    <row r="718" customFormat="false" ht="15" hidden="false" customHeight="true" outlineLevel="0" collapsed="false">
      <c r="A718" s="8" t="n">
        <v>717</v>
      </c>
      <c r="B718" s="8" t="n">
        <v>108</v>
      </c>
      <c r="C718" s="8" t="s">
        <v>606</v>
      </c>
      <c r="D718" s="8" t="s">
        <v>333</v>
      </c>
      <c r="E718" s="9" t="s">
        <v>631</v>
      </c>
      <c r="F718" s="9" t="s">
        <v>303</v>
      </c>
      <c r="G718" s="8" t="s">
        <v>304</v>
      </c>
      <c r="H718" s="8" t="s">
        <v>302</v>
      </c>
      <c r="I718" s="8" t="s">
        <v>291</v>
      </c>
      <c r="J718" s="8" t="s">
        <v>292</v>
      </c>
      <c r="K718" s="8" t="s">
        <v>293</v>
      </c>
      <c r="L718" s="9" t="s">
        <v>294</v>
      </c>
      <c r="M718" s="8"/>
      <c r="N718" s="8" t="str">
        <f aca="true">IF(M718="","Active (per Notice 1)",IF(M718&lt;TODAY(),"Expired",IF(M718&lt;TODAY()+180,"Expiring Soon","Active")))</f>
        <v>Active (per Notice 1)</v>
      </c>
      <c r="O718" s="12" t="s">
        <v>305</v>
      </c>
      <c r="P718" s="8" t="s">
        <v>327</v>
      </c>
      <c r="Q718" s="8" t="n">
        <v>3.37</v>
      </c>
      <c r="R718" s="8" t="n">
        <v>1</v>
      </c>
      <c r="S718" s="11" t="n">
        <v>44789</v>
      </c>
      <c r="T718" s="8" t="str">
        <f aca="true">IF(S718="","",IF(EDATE(S718,60)&lt;TODAY(),"Expired",IF(EDATE(S718,60)&lt;TODAY()+180,"Expiring Soon","Valid")))</f>
        <v>Valid</v>
      </c>
      <c r="U718" s="8" t="str">
        <f aca="false">IF(P718="","",IF(P718="A++","Top Tier",IF(P718="A+","High",IF(P718="A","Strong",IF(LEFT(P718,1)="B","Acceptable",IF(LEFT(P718,1)="C","Below Avg","-"))))))</f>
        <v>High</v>
      </c>
      <c r="AC718" s="8"/>
      <c r="AD718" s="8"/>
      <c r="AE718" s="8"/>
      <c r="AF718" s="8"/>
      <c r="AG718" s="8"/>
      <c r="AH718" s="8" t="n">
        <v>55</v>
      </c>
      <c r="AI718" s="8"/>
      <c r="AJ718" s="8"/>
      <c r="AK718" s="8" t="n">
        <v>36</v>
      </c>
      <c r="AL718" s="8"/>
      <c r="AM718" s="8"/>
      <c r="AN718" s="8"/>
      <c r="AO718" s="8"/>
      <c r="AP718" s="8"/>
      <c r="AQ718" s="8"/>
      <c r="AR718" s="8"/>
      <c r="AS718" s="8"/>
      <c r="AT718" s="8"/>
      <c r="AU718" s="8"/>
    </row>
    <row r="719" customFormat="false" ht="15" hidden="false" customHeight="true" outlineLevel="0" collapsed="false">
      <c r="A719" s="8" t="n">
        <v>718</v>
      </c>
      <c r="B719" s="8" t="n">
        <v>108</v>
      </c>
      <c r="C719" s="8" t="s">
        <v>606</v>
      </c>
      <c r="D719" s="8" t="s">
        <v>333</v>
      </c>
      <c r="E719" s="9" t="s">
        <v>631</v>
      </c>
      <c r="F719" s="9" t="s">
        <v>308</v>
      </c>
      <c r="G719" s="8" t="s">
        <v>309</v>
      </c>
      <c r="H719" s="8" t="s">
        <v>302</v>
      </c>
      <c r="I719" s="8" t="s">
        <v>291</v>
      </c>
      <c r="J719" s="8" t="s">
        <v>292</v>
      </c>
      <c r="K719" s="8" t="s">
        <v>293</v>
      </c>
      <c r="L719" s="9" t="s">
        <v>294</v>
      </c>
      <c r="M719" s="8"/>
      <c r="N719" s="8" t="str">
        <f aca="true">IF(M719="","Active (per Notice 1)",IF(M719&lt;TODAY(),"Expired",IF(M719&lt;TODAY()+180,"Expiring Soon","Active")))</f>
        <v>Active (per Notice 1)</v>
      </c>
      <c r="O719" s="10" t="s">
        <v>295</v>
      </c>
      <c r="P719" s="8" t="s">
        <v>327</v>
      </c>
      <c r="Q719" s="8" t="n">
        <v>3.37</v>
      </c>
      <c r="R719" s="8" t="n">
        <v>1</v>
      </c>
      <c r="S719" s="11" t="n">
        <v>44789</v>
      </c>
      <c r="T719" s="8" t="str">
        <f aca="true">IF(S719="","",IF(EDATE(S719,60)&lt;TODAY(),"Expired",IF(EDATE(S719,60)&lt;TODAY()+180,"Expiring Soon","Valid")))</f>
        <v>Valid</v>
      </c>
      <c r="U719" s="8" t="str">
        <f aca="false">IF(P719="","",IF(P719="A++","Top Tier",IF(P719="A+","High",IF(P719="A","Strong",IF(LEFT(P719,1)="B","Acceptable",IF(LEFT(P719,1)="C","Below Avg","-"))))))</f>
        <v>High</v>
      </c>
      <c r="AC719" s="8"/>
      <c r="AD719" s="8"/>
      <c r="AE719" s="8"/>
      <c r="AF719" s="8"/>
      <c r="AG719" s="8"/>
      <c r="AH719" s="8" t="n">
        <v>55</v>
      </c>
      <c r="AI719" s="8"/>
      <c r="AJ719" s="8"/>
      <c r="AK719" s="8" t="n">
        <v>36</v>
      </c>
      <c r="AL719" s="8"/>
      <c r="AM719" s="8"/>
      <c r="AN719" s="8"/>
      <c r="AO719" s="8"/>
      <c r="AP719" s="8"/>
      <c r="AQ719" s="8"/>
      <c r="AR719" s="8"/>
      <c r="AS719" s="8"/>
      <c r="AT719" s="8"/>
      <c r="AU719" s="8"/>
    </row>
    <row r="720" customFormat="false" ht="15" hidden="false" customHeight="true" outlineLevel="0" collapsed="false">
      <c r="A720" s="8" t="n">
        <v>719</v>
      </c>
      <c r="B720" s="8" t="n">
        <v>108</v>
      </c>
      <c r="C720" s="8" t="s">
        <v>606</v>
      </c>
      <c r="D720" s="8" t="s">
        <v>333</v>
      </c>
      <c r="E720" s="9" t="s">
        <v>631</v>
      </c>
      <c r="F720" s="9" t="s">
        <v>306</v>
      </c>
      <c r="G720" s="8" t="s">
        <v>307</v>
      </c>
      <c r="H720" s="8" t="s">
        <v>302</v>
      </c>
      <c r="I720" s="8" t="s">
        <v>291</v>
      </c>
      <c r="J720" s="8" t="s">
        <v>292</v>
      </c>
      <c r="K720" s="8" t="s">
        <v>293</v>
      </c>
      <c r="L720" s="9" t="s">
        <v>294</v>
      </c>
      <c r="M720" s="8"/>
      <c r="N720" s="8" t="str">
        <f aca="true">IF(M720="","Active (per Notice 1)",IF(M720&lt;TODAY(),"Expired",IF(M720&lt;TODAY()+180,"Expiring Soon","Active")))</f>
        <v>Active (per Notice 1)</v>
      </c>
      <c r="O720" s="12" t="s">
        <v>305</v>
      </c>
      <c r="P720" s="8" t="s">
        <v>327</v>
      </c>
      <c r="Q720" s="8" t="n">
        <v>3.37</v>
      </c>
      <c r="R720" s="8" t="n">
        <v>1</v>
      </c>
      <c r="S720" s="11" t="n">
        <v>44789</v>
      </c>
      <c r="T720" s="8" t="str">
        <f aca="true">IF(S720="","",IF(EDATE(S720,60)&lt;TODAY(),"Expired",IF(EDATE(S720,60)&lt;TODAY()+180,"Expiring Soon","Valid")))</f>
        <v>Valid</v>
      </c>
      <c r="U720" s="8" t="str">
        <f aca="false">IF(P720="","",IF(P720="A++","Top Tier",IF(P720="A+","High",IF(P720="A","Strong",IF(LEFT(P720,1)="B","Acceptable",IF(LEFT(P720,1)="C","Below Avg","-"))))))</f>
        <v>High</v>
      </c>
      <c r="AC720" s="8"/>
      <c r="AD720" s="8"/>
      <c r="AE720" s="8"/>
      <c r="AF720" s="8"/>
      <c r="AG720" s="8"/>
      <c r="AH720" s="8" t="n">
        <v>55</v>
      </c>
      <c r="AI720" s="8"/>
      <c r="AJ720" s="8"/>
      <c r="AK720" s="8" t="n">
        <v>36</v>
      </c>
      <c r="AL720" s="8"/>
      <c r="AM720" s="8"/>
      <c r="AN720" s="8"/>
      <c r="AO720" s="8"/>
      <c r="AP720" s="8"/>
      <c r="AQ720" s="8"/>
      <c r="AR720" s="8"/>
      <c r="AS720" s="8"/>
      <c r="AT720" s="8"/>
      <c r="AU720" s="8"/>
    </row>
    <row r="721" customFormat="false" ht="23.25" hidden="false" customHeight="true" outlineLevel="0" collapsed="false">
      <c r="A721" s="8" t="n">
        <v>720</v>
      </c>
      <c r="B721" s="8" t="n">
        <v>109</v>
      </c>
      <c r="C721" s="8" t="s">
        <v>606</v>
      </c>
      <c r="D721" s="8" t="s">
        <v>286</v>
      </c>
      <c r="E721" s="9" t="s">
        <v>632</v>
      </c>
      <c r="F721" s="9" t="s">
        <v>633</v>
      </c>
      <c r="G721" s="8" t="s">
        <v>298</v>
      </c>
      <c r="H721" s="8" t="s">
        <v>290</v>
      </c>
      <c r="I721" s="8" t="s">
        <v>291</v>
      </c>
      <c r="J721" s="8" t="s">
        <v>292</v>
      </c>
      <c r="K721" s="8" t="s">
        <v>293</v>
      </c>
      <c r="L721" s="9" t="s">
        <v>294</v>
      </c>
      <c r="M721" s="8"/>
      <c r="N721" s="8" t="str">
        <f aca="true">IF(M721="","Active (per Notice 1)",IF(M721&lt;TODAY(),"Expired",IF(M721&lt;TODAY()+180,"Expiring Soon","Active")))</f>
        <v>Active (per Notice 1)</v>
      </c>
      <c r="O721" s="10" t="s">
        <v>295</v>
      </c>
      <c r="P721" s="8" t="s">
        <v>296</v>
      </c>
      <c r="Q721" s="8" t="n">
        <v>3.6</v>
      </c>
      <c r="R721" s="8" t="n">
        <v>3</v>
      </c>
      <c r="S721" s="11" t="n">
        <v>45101</v>
      </c>
      <c r="T721" s="8" t="str">
        <f aca="true">IF(S721="","",IF(EDATE(S721,60)&lt;TODAY(),"Expired",IF(EDATE(S721,60)&lt;TODAY()+180,"Expiring Soon","Valid")))</f>
        <v>Valid</v>
      </c>
      <c r="U721" s="8" t="str">
        <f aca="false">IF(P721="","",IF(P721="A++","Top Tier",IF(P721="A+","High",IF(P721="A","Strong",IF(LEFT(P721,1)="B","Acceptable",IF(LEFT(P721,1)="C","Below Avg","-"))))))</f>
        <v>Top Tier</v>
      </c>
      <c r="AT721" s="8"/>
      <c r="AU721" s="8"/>
    </row>
    <row r="722" customFormat="false" ht="15" hidden="false" customHeight="true" outlineLevel="0" collapsed="false">
      <c r="A722" s="8" t="n">
        <v>721</v>
      </c>
      <c r="B722" s="8" t="n">
        <v>109</v>
      </c>
      <c r="C722" s="8" t="s">
        <v>606</v>
      </c>
      <c r="D722" s="8" t="s">
        <v>286</v>
      </c>
      <c r="E722" s="9" t="s">
        <v>632</v>
      </c>
      <c r="F722" s="9" t="s">
        <v>360</v>
      </c>
      <c r="G722" s="8" t="s">
        <v>301</v>
      </c>
      <c r="H722" s="8" t="s">
        <v>302</v>
      </c>
      <c r="I722" s="8" t="s">
        <v>291</v>
      </c>
      <c r="J722" s="8" t="s">
        <v>292</v>
      </c>
      <c r="K722" s="8" t="s">
        <v>293</v>
      </c>
      <c r="L722" s="9" t="s">
        <v>294</v>
      </c>
      <c r="M722" s="8"/>
      <c r="N722" s="8" t="str">
        <f aca="true">IF(M722="","Active (per Notice 1)",IF(M722&lt;TODAY(),"Expired",IF(M722&lt;TODAY()+180,"Expiring Soon","Active")))</f>
        <v>Active (per Notice 1)</v>
      </c>
      <c r="O722" s="10" t="s">
        <v>295</v>
      </c>
      <c r="P722" s="8" t="s">
        <v>296</v>
      </c>
      <c r="Q722" s="8" t="n">
        <v>3.6</v>
      </c>
      <c r="R722" s="8" t="n">
        <v>3</v>
      </c>
      <c r="S722" s="11" t="n">
        <v>45101</v>
      </c>
      <c r="T722" s="8" t="str">
        <f aca="true">IF(S722="","",IF(EDATE(S722,60)&lt;TODAY(),"Expired",IF(EDATE(S722,60)&lt;TODAY()+180,"Expiring Soon","Valid")))</f>
        <v>Valid</v>
      </c>
      <c r="U722" s="8" t="str">
        <f aca="false">IF(P722="","",IF(P722="A++","Top Tier",IF(P722="A+","High",IF(P722="A","Strong",IF(LEFT(P722,1)="B","Acceptable",IF(LEFT(P722,1)="C","Below Avg","-"))))))</f>
        <v>Top Tier</v>
      </c>
      <c r="AT722" s="8"/>
      <c r="AU722" s="8"/>
    </row>
    <row r="723" customFormat="false" ht="15" hidden="false" customHeight="true" outlineLevel="0" collapsed="false">
      <c r="A723" s="8" t="n">
        <v>722</v>
      </c>
      <c r="B723" s="8" t="n">
        <v>109</v>
      </c>
      <c r="C723" s="8" t="s">
        <v>606</v>
      </c>
      <c r="D723" s="8" t="s">
        <v>286</v>
      </c>
      <c r="E723" s="9" t="s">
        <v>632</v>
      </c>
      <c r="F723" s="9" t="s">
        <v>311</v>
      </c>
      <c r="G723" s="8" t="s">
        <v>301</v>
      </c>
      <c r="H723" s="8" t="s">
        <v>302</v>
      </c>
      <c r="I723" s="8" t="s">
        <v>291</v>
      </c>
      <c r="J723" s="8" t="s">
        <v>292</v>
      </c>
      <c r="K723" s="8" t="s">
        <v>293</v>
      </c>
      <c r="L723" s="9" t="s">
        <v>294</v>
      </c>
      <c r="M723" s="8"/>
      <c r="N723" s="8" t="str">
        <f aca="true">IF(M723="","Active (per Notice 1)",IF(M723&lt;TODAY(),"Expired",IF(M723&lt;TODAY()+180,"Expiring Soon","Active")))</f>
        <v>Active (per Notice 1)</v>
      </c>
      <c r="O723" s="10" t="s">
        <v>295</v>
      </c>
      <c r="P723" s="8" t="s">
        <v>296</v>
      </c>
      <c r="Q723" s="8" t="n">
        <v>3.6</v>
      </c>
      <c r="R723" s="8" t="n">
        <v>3</v>
      </c>
      <c r="S723" s="11" t="n">
        <v>45101</v>
      </c>
      <c r="T723" s="8" t="str">
        <f aca="true">IF(S723="","",IF(EDATE(S723,60)&lt;TODAY(),"Expired",IF(EDATE(S723,60)&lt;TODAY()+180,"Expiring Soon","Valid")))</f>
        <v>Valid</v>
      </c>
      <c r="U723" s="8" t="str">
        <f aca="false">IF(P723="","",IF(P723="A++","Top Tier",IF(P723="A+","High",IF(P723="A","Strong",IF(LEFT(P723,1)="B","Acceptable",IF(LEFT(P723,1)="C","Below Avg","-"))))))</f>
        <v>Top Tier</v>
      </c>
      <c r="AT723" s="8"/>
      <c r="AU723" s="8"/>
    </row>
    <row r="724" customFormat="false" ht="15" hidden="false" customHeight="true" outlineLevel="0" collapsed="false">
      <c r="A724" s="8" t="n">
        <v>723</v>
      </c>
      <c r="B724" s="8" t="n">
        <v>109</v>
      </c>
      <c r="C724" s="8" t="s">
        <v>606</v>
      </c>
      <c r="D724" s="8" t="s">
        <v>286</v>
      </c>
      <c r="E724" s="9" t="s">
        <v>632</v>
      </c>
      <c r="F724" s="9" t="s">
        <v>312</v>
      </c>
      <c r="G724" s="8" t="s">
        <v>301</v>
      </c>
      <c r="H724" s="8" t="s">
        <v>302</v>
      </c>
      <c r="I724" s="8" t="s">
        <v>291</v>
      </c>
      <c r="J724" s="8" t="s">
        <v>292</v>
      </c>
      <c r="K724" s="8" t="s">
        <v>293</v>
      </c>
      <c r="L724" s="9" t="s">
        <v>294</v>
      </c>
      <c r="M724" s="8"/>
      <c r="N724" s="8" t="str">
        <f aca="true">IF(M724="","Active (per Notice 1)",IF(M724&lt;TODAY(),"Expired",IF(M724&lt;TODAY()+180,"Expiring Soon","Active")))</f>
        <v>Active (per Notice 1)</v>
      </c>
      <c r="O724" s="10" t="s">
        <v>295</v>
      </c>
      <c r="P724" s="8" t="s">
        <v>296</v>
      </c>
      <c r="Q724" s="8" t="n">
        <v>3.6</v>
      </c>
      <c r="R724" s="8" t="n">
        <v>3</v>
      </c>
      <c r="S724" s="11" t="n">
        <v>45101</v>
      </c>
      <c r="T724" s="8" t="str">
        <f aca="true">IF(S724="","",IF(EDATE(S724,60)&lt;TODAY(),"Expired",IF(EDATE(S724,60)&lt;TODAY()+180,"Expiring Soon","Valid")))</f>
        <v>Valid</v>
      </c>
      <c r="U724" s="8" t="str">
        <f aca="false">IF(P724="","",IF(P724="A++","Top Tier",IF(P724="A+","High",IF(P724="A","Strong",IF(LEFT(P724,1)="B","Acceptable",IF(LEFT(P724,1)="C","Below Avg","-"))))))</f>
        <v>Top Tier</v>
      </c>
      <c r="AT724" s="8"/>
      <c r="AU724" s="8"/>
    </row>
    <row r="725" customFormat="false" ht="15" hidden="false" customHeight="true" outlineLevel="0" collapsed="false">
      <c r="A725" s="8" t="n">
        <v>724</v>
      </c>
      <c r="B725" s="8" t="n">
        <v>109</v>
      </c>
      <c r="C725" s="8" t="s">
        <v>606</v>
      </c>
      <c r="D725" s="8" t="s">
        <v>286</v>
      </c>
      <c r="E725" s="9" t="s">
        <v>632</v>
      </c>
      <c r="F725" s="9" t="s">
        <v>362</v>
      </c>
      <c r="G725" s="8" t="s">
        <v>301</v>
      </c>
      <c r="H725" s="8" t="s">
        <v>302</v>
      </c>
      <c r="I725" s="8" t="s">
        <v>291</v>
      </c>
      <c r="J725" s="8" t="s">
        <v>292</v>
      </c>
      <c r="K725" s="8" t="s">
        <v>293</v>
      </c>
      <c r="L725" s="9" t="s">
        <v>294</v>
      </c>
      <c r="M725" s="8"/>
      <c r="N725" s="8" t="str">
        <f aca="true">IF(M725="","Active (per Notice 1)",IF(M725&lt;TODAY(),"Expired",IF(M725&lt;TODAY()+180,"Expiring Soon","Active")))</f>
        <v>Active (per Notice 1)</v>
      </c>
      <c r="O725" s="10" t="s">
        <v>295</v>
      </c>
      <c r="P725" s="8" t="s">
        <v>296</v>
      </c>
      <c r="Q725" s="8" t="n">
        <v>3.6</v>
      </c>
      <c r="R725" s="8" t="n">
        <v>3</v>
      </c>
      <c r="S725" s="11" t="n">
        <v>45101</v>
      </c>
      <c r="T725" s="8" t="str">
        <f aca="true">IF(S725="","",IF(EDATE(S725,60)&lt;TODAY(),"Expired",IF(EDATE(S725,60)&lt;TODAY()+180,"Expiring Soon","Valid")))</f>
        <v>Valid</v>
      </c>
      <c r="U725" s="8" t="str">
        <f aca="false">IF(P725="","",IF(P725="A++","Top Tier",IF(P725="A+","High",IF(P725="A","Strong",IF(LEFT(P725,1)="B","Acceptable",IF(LEFT(P725,1)="C","Below Avg","-"))))))</f>
        <v>Top Tier</v>
      </c>
      <c r="AT725" s="8"/>
      <c r="AU725" s="8"/>
    </row>
    <row r="726" customFormat="false" ht="15" hidden="false" customHeight="true" outlineLevel="0" collapsed="false">
      <c r="A726" s="8" t="n">
        <v>725</v>
      </c>
      <c r="B726" s="8" t="n">
        <v>109</v>
      </c>
      <c r="C726" s="8" t="s">
        <v>606</v>
      </c>
      <c r="D726" s="8" t="s">
        <v>286</v>
      </c>
      <c r="E726" s="9" t="s">
        <v>632</v>
      </c>
      <c r="F726" s="9" t="s">
        <v>308</v>
      </c>
      <c r="G726" s="8" t="s">
        <v>309</v>
      </c>
      <c r="H726" s="8" t="s">
        <v>302</v>
      </c>
      <c r="I726" s="8" t="s">
        <v>291</v>
      </c>
      <c r="J726" s="8" t="s">
        <v>292</v>
      </c>
      <c r="K726" s="8" t="s">
        <v>293</v>
      </c>
      <c r="L726" s="9" t="s">
        <v>294</v>
      </c>
      <c r="M726" s="8"/>
      <c r="N726" s="8" t="str">
        <f aca="true">IF(M726="","Active (per Notice 1)",IF(M726&lt;TODAY(),"Expired",IF(M726&lt;TODAY()+180,"Expiring Soon","Active")))</f>
        <v>Active (per Notice 1)</v>
      </c>
      <c r="O726" s="10" t="s">
        <v>295</v>
      </c>
      <c r="P726" s="8" t="s">
        <v>296</v>
      </c>
      <c r="Q726" s="8" t="n">
        <v>3.6</v>
      </c>
      <c r="R726" s="8" t="n">
        <v>3</v>
      </c>
      <c r="S726" s="11" t="n">
        <v>45101</v>
      </c>
      <c r="T726" s="8" t="str">
        <f aca="true">IF(S726="","",IF(EDATE(S726,60)&lt;TODAY(),"Expired",IF(EDATE(S726,60)&lt;TODAY()+180,"Expiring Soon","Valid")))</f>
        <v>Valid</v>
      </c>
      <c r="U726" s="8" t="str">
        <f aca="false">IF(P726="","",IF(P726="A++","Top Tier",IF(P726="A+","High",IF(P726="A","Strong",IF(LEFT(P726,1)="B","Acceptable",IF(LEFT(P726,1)="C","Below Avg","-"))))))</f>
        <v>Top Tier</v>
      </c>
      <c r="AT726" s="8"/>
      <c r="AU726" s="8"/>
    </row>
    <row r="727" customFormat="false" ht="15" hidden="false" customHeight="true" outlineLevel="0" collapsed="false">
      <c r="A727" s="8" t="n">
        <v>726</v>
      </c>
      <c r="B727" s="8" t="n">
        <v>109</v>
      </c>
      <c r="C727" s="8" t="s">
        <v>606</v>
      </c>
      <c r="D727" s="8" t="s">
        <v>286</v>
      </c>
      <c r="E727" s="9" t="s">
        <v>632</v>
      </c>
      <c r="F727" s="9" t="s">
        <v>347</v>
      </c>
      <c r="G727" s="8" t="s">
        <v>301</v>
      </c>
      <c r="H727" s="8" t="s">
        <v>302</v>
      </c>
      <c r="I727" s="8" t="s">
        <v>291</v>
      </c>
      <c r="J727" s="8" t="s">
        <v>292</v>
      </c>
      <c r="K727" s="8" t="s">
        <v>293</v>
      </c>
      <c r="L727" s="9" t="s">
        <v>294</v>
      </c>
      <c r="M727" s="8"/>
      <c r="N727" s="8" t="str">
        <f aca="true">IF(M727="","Active (per Notice 1)",IF(M727&lt;TODAY(),"Expired",IF(M727&lt;TODAY()+180,"Expiring Soon","Active")))</f>
        <v>Active (per Notice 1)</v>
      </c>
      <c r="O727" s="10" t="s">
        <v>295</v>
      </c>
      <c r="P727" s="8" t="s">
        <v>296</v>
      </c>
      <c r="Q727" s="8" t="n">
        <v>3.6</v>
      </c>
      <c r="R727" s="8" t="n">
        <v>3</v>
      </c>
      <c r="S727" s="11" t="n">
        <v>45101</v>
      </c>
      <c r="T727" s="8" t="str">
        <f aca="true">IF(S727="","",IF(EDATE(S727,60)&lt;TODAY(),"Expired",IF(EDATE(S727,60)&lt;TODAY()+180,"Expiring Soon","Valid")))</f>
        <v>Valid</v>
      </c>
      <c r="U727" s="8" t="str">
        <f aca="false">IF(P727="","",IF(P727="A++","Top Tier",IF(P727="A+","High",IF(P727="A","Strong",IF(LEFT(P727,1)="B","Acceptable",IF(LEFT(P727,1)="C","Below Avg","-"))))))</f>
        <v>Top Tier</v>
      </c>
      <c r="AT727" s="8"/>
      <c r="AU727" s="8"/>
    </row>
    <row r="728" customFormat="false" ht="15" hidden="false" customHeight="true" outlineLevel="0" collapsed="false">
      <c r="A728" s="8" t="n">
        <v>727</v>
      </c>
      <c r="B728" s="8" t="n">
        <v>109</v>
      </c>
      <c r="C728" s="8" t="s">
        <v>606</v>
      </c>
      <c r="D728" s="8" t="s">
        <v>286</v>
      </c>
      <c r="E728" s="9" t="s">
        <v>632</v>
      </c>
      <c r="F728" s="9" t="s">
        <v>385</v>
      </c>
      <c r="G728" s="8" t="s">
        <v>386</v>
      </c>
      <c r="H728" s="8" t="s">
        <v>302</v>
      </c>
      <c r="I728" s="8" t="s">
        <v>291</v>
      </c>
      <c r="J728" s="8" t="s">
        <v>292</v>
      </c>
      <c r="K728" s="8" t="s">
        <v>293</v>
      </c>
      <c r="L728" s="9" t="s">
        <v>294</v>
      </c>
      <c r="M728" s="8"/>
      <c r="N728" s="8" t="str">
        <f aca="true">IF(M728="","Active (per Notice 1)",IF(M728&lt;TODAY(),"Expired",IF(M728&lt;TODAY()+180,"Expiring Soon","Active")))</f>
        <v>Active (per Notice 1)</v>
      </c>
      <c r="O728" s="10" t="s">
        <v>295</v>
      </c>
      <c r="P728" s="8" t="s">
        <v>296</v>
      </c>
      <c r="Q728" s="8" t="n">
        <v>3.6</v>
      </c>
      <c r="R728" s="8" t="n">
        <v>3</v>
      </c>
      <c r="S728" s="11" t="n">
        <v>45101</v>
      </c>
      <c r="T728" s="8" t="str">
        <f aca="true">IF(S728="","",IF(EDATE(S728,60)&lt;TODAY(),"Expired",IF(EDATE(S728,60)&lt;TODAY()+180,"Expiring Soon","Valid")))</f>
        <v>Valid</v>
      </c>
      <c r="U728" s="8" t="str">
        <f aca="false">IF(P728="","",IF(P728="A++","Top Tier",IF(P728="A+","High",IF(P728="A","Strong",IF(LEFT(P728,1)="B","Acceptable",IF(LEFT(P728,1)="C","Below Avg","-"))))))</f>
        <v>Top Tier</v>
      </c>
      <c r="AT728" s="8"/>
      <c r="AU728" s="8"/>
    </row>
    <row r="729" customFormat="false" ht="15" hidden="false" customHeight="true" outlineLevel="0" collapsed="false">
      <c r="A729" s="8" t="n">
        <v>728</v>
      </c>
      <c r="B729" s="8" t="n">
        <v>110</v>
      </c>
      <c r="C729" s="8" t="s">
        <v>606</v>
      </c>
      <c r="D729" s="8" t="s">
        <v>286</v>
      </c>
      <c r="E729" s="9" t="s">
        <v>634</v>
      </c>
      <c r="F729" s="9" t="s">
        <v>317</v>
      </c>
      <c r="G729" s="8" t="s">
        <v>318</v>
      </c>
      <c r="H729" s="8" t="s">
        <v>290</v>
      </c>
      <c r="I729" s="8" t="s">
        <v>291</v>
      </c>
      <c r="J729" s="8" t="s">
        <v>292</v>
      </c>
      <c r="K729" s="8" t="s">
        <v>293</v>
      </c>
      <c r="L729" s="9" t="s">
        <v>294</v>
      </c>
      <c r="M729" s="8"/>
      <c r="N729" s="8" t="str">
        <f aca="true">IF(M729="","Active (per Notice 1)",IF(M729&lt;TODAY(),"Expired",IF(M729&lt;TODAY()+180,"Expiring Soon","Active")))</f>
        <v>Active (per Notice 1)</v>
      </c>
      <c r="O729" s="12" t="s">
        <v>305</v>
      </c>
      <c r="P729" s="8" t="s">
        <v>296</v>
      </c>
      <c r="Q729" s="8" t="n">
        <v>3.78</v>
      </c>
      <c r="R729" s="8" t="n">
        <v>2</v>
      </c>
      <c r="S729" s="11" t="n">
        <v>44943</v>
      </c>
      <c r="T729" s="8" t="str">
        <f aca="true">IF(S729="","",IF(EDATE(S729,60)&lt;TODAY(),"Expired",IF(EDATE(S729,60)&lt;TODAY()+180,"Expiring Soon","Valid")))</f>
        <v>Valid</v>
      </c>
      <c r="U729" s="8" t="str">
        <f aca="false">IF(P729="","",IF(P729="A++","Top Tier",IF(P729="A+","High",IF(P729="A","Strong",IF(LEFT(P729,1)="B","Acceptable",IF(LEFT(P729,1)="C","Below Avg","-"))))))</f>
        <v>Top Tier</v>
      </c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 t="n">
        <v>27</v>
      </c>
      <c r="AT729" s="8"/>
      <c r="AU729" s="8"/>
    </row>
    <row r="730" customFormat="false" ht="15" hidden="false" customHeight="true" outlineLevel="0" collapsed="false">
      <c r="A730" s="8" t="n">
        <v>729</v>
      </c>
      <c r="B730" s="8" t="n">
        <v>110</v>
      </c>
      <c r="C730" s="8" t="s">
        <v>606</v>
      </c>
      <c r="D730" s="8" t="s">
        <v>286</v>
      </c>
      <c r="E730" s="9" t="s">
        <v>634</v>
      </c>
      <c r="F730" s="9" t="s">
        <v>635</v>
      </c>
      <c r="G730" s="8" t="s">
        <v>289</v>
      </c>
      <c r="H730" s="8" t="s">
        <v>290</v>
      </c>
      <c r="I730" s="8" t="s">
        <v>291</v>
      </c>
      <c r="J730" s="8" t="s">
        <v>292</v>
      </c>
      <c r="K730" s="8" t="s">
        <v>293</v>
      </c>
      <c r="L730" s="9" t="s">
        <v>294</v>
      </c>
      <c r="M730" s="8"/>
      <c r="N730" s="8" t="str">
        <f aca="true">IF(M730="","Active (per Notice 1)",IF(M730&lt;TODAY(),"Expired",IF(M730&lt;TODAY()+180,"Expiring Soon","Active")))</f>
        <v>Active (per Notice 1)</v>
      </c>
      <c r="O730" s="10" t="s">
        <v>295</v>
      </c>
      <c r="P730" s="8" t="s">
        <v>296</v>
      </c>
      <c r="Q730" s="8" t="n">
        <v>3.78</v>
      </c>
      <c r="R730" s="8" t="n">
        <v>2</v>
      </c>
      <c r="S730" s="11" t="n">
        <v>44943</v>
      </c>
      <c r="T730" s="8" t="str">
        <f aca="true">IF(S730="","",IF(EDATE(S730,60)&lt;TODAY(),"Expired",IF(EDATE(S730,60)&lt;TODAY()+180,"Expiring Soon","Valid")))</f>
        <v>Valid</v>
      </c>
      <c r="U730" s="8" t="str">
        <f aca="false">IF(P730="","",IF(P730="A++","Top Tier",IF(P730="A+","High",IF(P730="A","Strong",IF(LEFT(P730,1)="B","Acceptable",IF(LEFT(P730,1)="C","Below Avg","-"))))))</f>
        <v>Top Tier</v>
      </c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 t="n">
        <v>27</v>
      </c>
      <c r="AT730" s="8"/>
      <c r="AU730" s="8"/>
    </row>
    <row r="731" customFormat="false" ht="15" hidden="false" customHeight="true" outlineLevel="0" collapsed="false">
      <c r="A731" s="8" t="n">
        <v>730</v>
      </c>
      <c r="B731" s="8" t="n">
        <v>110</v>
      </c>
      <c r="C731" s="8" t="s">
        <v>606</v>
      </c>
      <c r="D731" s="8" t="s">
        <v>286</v>
      </c>
      <c r="E731" s="9" t="s">
        <v>634</v>
      </c>
      <c r="F731" s="9" t="s">
        <v>303</v>
      </c>
      <c r="G731" s="8" t="s">
        <v>304</v>
      </c>
      <c r="H731" s="8" t="s">
        <v>302</v>
      </c>
      <c r="I731" s="8" t="s">
        <v>291</v>
      </c>
      <c r="J731" s="8" t="s">
        <v>292</v>
      </c>
      <c r="K731" s="8" t="s">
        <v>293</v>
      </c>
      <c r="L731" s="9" t="s">
        <v>294</v>
      </c>
      <c r="M731" s="8"/>
      <c r="N731" s="8" t="str">
        <f aca="true">IF(M731="","Active (per Notice 1)",IF(M731&lt;TODAY(),"Expired",IF(M731&lt;TODAY()+180,"Expiring Soon","Active")))</f>
        <v>Active (per Notice 1)</v>
      </c>
      <c r="O731" s="12" t="s">
        <v>305</v>
      </c>
      <c r="P731" s="8" t="s">
        <v>296</v>
      </c>
      <c r="Q731" s="8" t="n">
        <v>3.78</v>
      </c>
      <c r="R731" s="8" t="n">
        <v>2</v>
      </c>
      <c r="S731" s="11" t="n">
        <v>44943</v>
      </c>
      <c r="T731" s="8" t="str">
        <f aca="true">IF(S731="","",IF(EDATE(S731,60)&lt;TODAY(),"Expired",IF(EDATE(S731,60)&lt;TODAY()+180,"Expiring Soon","Valid")))</f>
        <v>Valid</v>
      </c>
      <c r="U731" s="8" t="str">
        <f aca="false">IF(P731="","",IF(P731="A++","Top Tier",IF(P731="A+","High",IF(P731="A","Strong",IF(LEFT(P731,1)="B","Acceptable",IF(LEFT(P731,1)="C","Below Avg","-"))))))</f>
        <v>Top Tier</v>
      </c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 t="n">
        <v>27</v>
      </c>
      <c r="AT731" s="8"/>
      <c r="AU731" s="8"/>
    </row>
    <row r="732" customFormat="false" ht="15" hidden="false" customHeight="true" outlineLevel="0" collapsed="false">
      <c r="A732" s="8" t="n">
        <v>731</v>
      </c>
      <c r="B732" s="8" t="n">
        <v>110</v>
      </c>
      <c r="C732" s="8" t="s">
        <v>606</v>
      </c>
      <c r="D732" s="8" t="s">
        <v>286</v>
      </c>
      <c r="E732" s="9" t="s">
        <v>634</v>
      </c>
      <c r="F732" s="9" t="s">
        <v>312</v>
      </c>
      <c r="G732" s="8" t="s">
        <v>301</v>
      </c>
      <c r="H732" s="8" t="s">
        <v>302</v>
      </c>
      <c r="I732" s="8" t="s">
        <v>291</v>
      </c>
      <c r="J732" s="8" t="s">
        <v>292</v>
      </c>
      <c r="K732" s="8" t="s">
        <v>293</v>
      </c>
      <c r="L732" s="9" t="s">
        <v>294</v>
      </c>
      <c r="M732" s="8"/>
      <c r="N732" s="8" t="str">
        <f aca="true">IF(M732="","Active (per Notice 1)",IF(M732&lt;TODAY(),"Expired",IF(M732&lt;TODAY()+180,"Expiring Soon","Active")))</f>
        <v>Active (per Notice 1)</v>
      </c>
      <c r="O732" s="10" t="s">
        <v>295</v>
      </c>
      <c r="P732" s="8" t="s">
        <v>296</v>
      </c>
      <c r="Q732" s="8" t="n">
        <v>3.78</v>
      </c>
      <c r="R732" s="8" t="n">
        <v>2</v>
      </c>
      <c r="S732" s="11" t="n">
        <v>44943</v>
      </c>
      <c r="T732" s="8" t="str">
        <f aca="true">IF(S732="","",IF(EDATE(S732,60)&lt;TODAY(),"Expired",IF(EDATE(S732,60)&lt;TODAY()+180,"Expiring Soon","Valid")))</f>
        <v>Valid</v>
      </c>
      <c r="U732" s="8" t="str">
        <f aca="false">IF(P732="","",IF(P732="A++","Top Tier",IF(P732="A+","High",IF(P732="A","Strong",IF(LEFT(P732,1)="B","Acceptable",IF(LEFT(P732,1)="C","Below Avg","-"))))))</f>
        <v>Top Tier</v>
      </c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 t="n">
        <v>27</v>
      </c>
      <c r="AT732" s="8"/>
      <c r="AU732" s="8"/>
    </row>
    <row r="733" customFormat="false" ht="15" hidden="false" customHeight="true" outlineLevel="0" collapsed="false">
      <c r="A733" s="8" t="n">
        <v>732</v>
      </c>
      <c r="B733" s="8" t="n">
        <v>110</v>
      </c>
      <c r="C733" s="8" t="s">
        <v>606</v>
      </c>
      <c r="D733" s="8" t="s">
        <v>286</v>
      </c>
      <c r="E733" s="9" t="s">
        <v>634</v>
      </c>
      <c r="F733" s="9" t="s">
        <v>308</v>
      </c>
      <c r="G733" s="8" t="s">
        <v>309</v>
      </c>
      <c r="H733" s="8" t="s">
        <v>302</v>
      </c>
      <c r="I733" s="8" t="s">
        <v>291</v>
      </c>
      <c r="J733" s="8" t="s">
        <v>292</v>
      </c>
      <c r="K733" s="8" t="s">
        <v>293</v>
      </c>
      <c r="L733" s="9" t="s">
        <v>294</v>
      </c>
      <c r="M733" s="8"/>
      <c r="N733" s="8" t="str">
        <f aca="true">IF(M733="","Active (per Notice 1)",IF(M733&lt;TODAY(),"Expired",IF(M733&lt;TODAY()+180,"Expiring Soon","Active")))</f>
        <v>Active (per Notice 1)</v>
      </c>
      <c r="O733" s="10" t="s">
        <v>295</v>
      </c>
      <c r="P733" s="8" t="s">
        <v>296</v>
      </c>
      <c r="Q733" s="8" t="n">
        <v>3.78</v>
      </c>
      <c r="R733" s="8" t="n">
        <v>2</v>
      </c>
      <c r="S733" s="11" t="n">
        <v>44943</v>
      </c>
      <c r="T733" s="8" t="str">
        <f aca="true">IF(S733="","",IF(EDATE(S733,60)&lt;TODAY(),"Expired",IF(EDATE(S733,60)&lt;TODAY()+180,"Expiring Soon","Valid")))</f>
        <v>Valid</v>
      </c>
      <c r="U733" s="8" t="str">
        <f aca="false">IF(P733="","",IF(P733="A++","Top Tier",IF(P733="A+","High",IF(P733="A","Strong",IF(LEFT(P733,1)="B","Acceptable",IF(LEFT(P733,1)="C","Below Avg","-"))))))</f>
        <v>Top Tier</v>
      </c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 t="n">
        <v>27</v>
      </c>
      <c r="AT733" s="8"/>
      <c r="AU733" s="8"/>
    </row>
    <row r="734" customFormat="false" ht="15" hidden="false" customHeight="true" outlineLevel="0" collapsed="false">
      <c r="A734" s="8" t="n">
        <v>733</v>
      </c>
      <c r="B734" s="8" t="n">
        <v>111</v>
      </c>
      <c r="C734" s="8" t="s">
        <v>636</v>
      </c>
      <c r="D734" s="8" t="s">
        <v>315</v>
      </c>
      <c r="E734" s="9" t="s">
        <v>637</v>
      </c>
      <c r="F734" s="9" t="s">
        <v>317</v>
      </c>
      <c r="G734" s="8" t="s">
        <v>318</v>
      </c>
      <c r="H734" s="8" t="s">
        <v>290</v>
      </c>
      <c r="I734" s="8" t="s">
        <v>291</v>
      </c>
      <c r="J734" s="8" t="s">
        <v>292</v>
      </c>
      <c r="K734" s="8" t="s">
        <v>293</v>
      </c>
      <c r="L734" s="9" t="s">
        <v>294</v>
      </c>
      <c r="M734" s="8"/>
      <c r="N734" s="8" t="str">
        <f aca="true">IF(M734="","Active (per Notice 1)",IF(M734&lt;TODAY(),"Expired",IF(M734&lt;TODAY()+180,"Expiring Soon","Active")))</f>
        <v>Active (per Notice 1)</v>
      </c>
      <c r="O734" s="13" t="s">
        <v>292</v>
      </c>
      <c r="P734" s="8" t="s">
        <v>327</v>
      </c>
      <c r="Q734" s="8" t="n">
        <v>3.29</v>
      </c>
      <c r="R734" s="8" t="n">
        <v>2</v>
      </c>
      <c r="S734" s="11" t="n">
        <v>44796</v>
      </c>
      <c r="T734" s="8" t="str">
        <f aca="true">IF(S734="","",IF(EDATE(S734,60)&lt;TODAY(),"Expired",IF(EDATE(S734,60)&lt;TODAY()+180,"Expiring Soon","Valid")))</f>
        <v>Valid</v>
      </c>
      <c r="U734" s="8" t="str">
        <f aca="false">IF(P734="","",IF(P734="A++","Top Tier",IF(P734="A+","High",IF(P734="A","Strong",IF(LEFT(P734,1)="B","Acceptable",IF(LEFT(P734,1)="C","Below Avg","-"))))))</f>
        <v>High</v>
      </c>
      <c r="Y734" s="8" t="n">
        <v>6</v>
      </c>
      <c r="Z734" s="11" t="n">
        <v>45838</v>
      </c>
      <c r="AA734" s="8" t="s">
        <v>404</v>
      </c>
      <c r="AB734" s="8" t="s">
        <v>405</v>
      </c>
      <c r="AC734" s="8" t="n">
        <v>72</v>
      </c>
      <c r="AD734" s="8" t="n">
        <v>48</v>
      </c>
      <c r="AE734" s="8"/>
      <c r="AF734" s="8" t="n">
        <v>52</v>
      </c>
      <c r="AG734" s="8" t="n">
        <v>52</v>
      </c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</row>
    <row r="735" customFormat="false" ht="15" hidden="false" customHeight="true" outlineLevel="0" collapsed="false">
      <c r="A735" s="8" t="n">
        <v>734</v>
      </c>
      <c r="B735" s="8" t="n">
        <v>111</v>
      </c>
      <c r="C735" s="8" t="s">
        <v>636</v>
      </c>
      <c r="D735" s="8" t="s">
        <v>315</v>
      </c>
      <c r="E735" s="9" t="s">
        <v>637</v>
      </c>
      <c r="F735" s="9" t="s">
        <v>319</v>
      </c>
      <c r="G735" s="8" t="s">
        <v>320</v>
      </c>
      <c r="H735" s="8" t="s">
        <v>290</v>
      </c>
      <c r="I735" s="8" t="s">
        <v>291</v>
      </c>
      <c r="J735" s="8" t="s">
        <v>292</v>
      </c>
      <c r="K735" s="8" t="s">
        <v>293</v>
      </c>
      <c r="L735" s="9" t="s">
        <v>294</v>
      </c>
      <c r="M735" s="8"/>
      <c r="N735" s="8" t="str">
        <f aca="true">IF(M735="","Active (per Notice 1)",IF(M735&lt;TODAY(),"Expired",IF(M735&lt;TODAY()+180,"Expiring Soon","Active")))</f>
        <v>Active (per Notice 1)</v>
      </c>
      <c r="O735" s="13" t="s">
        <v>292</v>
      </c>
      <c r="P735" s="8" t="s">
        <v>327</v>
      </c>
      <c r="Q735" s="8" t="n">
        <v>3.29</v>
      </c>
      <c r="R735" s="8" t="n">
        <v>2</v>
      </c>
      <c r="S735" s="11" t="n">
        <v>44796</v>
      </c>
      <c r="T735" s="8" t="str">
        <f aca="true">IF(S735="","",IF(EDATE(S735,60)&lt;TODAY(),"Expired",IF(EDATE(S735,60)&lt;TODAY()+180,"Expiring Soon","Valid")))</f>
        <v>Valid</v>
      </c>
      <c r="U735" s="8" t="str">
        <f aca="false">IF(P735="","",IF(P735="A++","Top Tier",IF(P735="A+","High",IF(P735="A","Strong",IF(LEFT(P735,1)="B","Acceptable",IF(LEFT(P735,1)="C","Below Avg","-"))))))</f>
        <v>High</v>
      </c>
      <c r="Y735" s="8" t="n">
        <v>6</v>
      </c>
      <c r="Z735" s="11" t="n">
        <v>45838</v>
      </c>
      <c r="AA735" s="8" t="s">
        <v>404</v>
      </c>
      <c r="AB735" s="8" t="s">
        <v>405</v>
      </c>
      <c r="AC735" s="8" t="n">
        <v>72</v>
      </c>
      <c r="AD735" s="8" t="n">
        <v>48</v>
      </c>
      <c r="AE735" s="8"/>
      <c r="AF735" s="8" t="n">
        <v>52</v>
      </c>
      <c r="AG735" s="8" t="n">
        <v>52</v>
      </c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</row>
    <row r="736" customFormat="false" ht="15" hidden="false" customHeight="true" outlineLevel="0" collapsed="false">
      <c r="A736" s="8" t="n">
        <v>735</v>
      </c>
      <c r="B736" s="8" t="n">
        <v>111</v>
      </c>
      <c r="C736" s="8" t="s">
        <v>636</v>
      </c>
      <c r="D736" s="8" t="s">
        <v>315</v>
      </c>
      <c r="E736" s="9" t="s">
        <v>637</v>
      </c>
      <c r="F736" s="9" t="s">
        <v>340</v>
      </c>
      <c r="G736" s="8" t="s">
        <v>289</v>
      </c>
      <c r="H736" s="8" t="s">
        <v>290</v>
      </c>
      <c r="I736" s="8" t="s">
        <v>291</v>
      </c>
      <c r="J736" s="8" t="s">
        <v>292</v>
      </c>
      <c r="K736" s="8" t="s">
        <v>293</v>
      </c>
      <c r="L736" s="9" t="s">
        <v>294</v>
      </c>
      <c r="M736" s="8"/>
      <c r="N736" s="8" t="str">
        <f aca="true">IF(M736="","Active (per Notice 1)",IF(M736&lt;TODAY(),"Expired",IF(M736&lt;TODAY()+180,"Expiring Soon","Active")))</f>
        <v>Active (per Notice 1)</v>
      </c>
      <c r="O736" s="10" t="s">
        <v>295</v>
      </c>
      <c r="P736" s="8" t="s">
        <v>327</v>
      </c>
      <c r="Q736" s="8" t="n">
        <v>3.29</v>
      </c>
      <c r="R736" s="8" t="n">
        <v>2</v>
      </c>
      <c r="S736" s="11" t="n">
        <v>44796</v>
      </c>
      <c r="T736" s="8" t="str">
        <f aca="true">IF(S736="","",IF(EDATE(S736,60)&lt;TODAY(),"Expired",IF(EDATE(S736,60)&lt;TODAY()+180,"Expiring Soon","Valid")))</f>
        <v>Valid</v>
      </c>
      <c r="U736" s="8" t="str">
        <f aca="false">IF(P736="","",IF(P736="A++","Top Tier",IF(P736="A+","High",IF(P736="A","Strong",IF(LEFT(P736,1)="B","Acceptable",IF(LEFT(P736,1)="C","Below Avg","-"))))))</f>
        <v>High</v>
      </c>
      <c r="Y736" s="8" t="n">
        <v>6</v>
      </c>
      <c r="Z736" s="11" t="n">
        <v>45838</v>
      </c>
      <c r="AA736" s="8" t="s">
        <v>404</v>
      </c>
      <c r="AB736" s="8" t="s">
        <v>405</v>
      </c>
      <c r="AC736" s="8" t="n">
        <v>72</v>
      </c>
      <c r="AD736" s="8" t="n">
        <v>48</v>
      </c>
      <c r="AE736" s="8"/>
      <c r="AF736" s="8" t="n">
        <v>52</v>
      </c>
      <c r="AG736" s="8" t="n">
        <v>52</v>
      </c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</row>
    <row r="737" customFormat="false" ht="15" hidden="false" customHeight="true" outlineLevel="0" collapsed="false">
      <c r="A737" s="8" t="n">
        <v>736</v>
      </c>
      <c r="B737" s="8" t="n">
        <v>111</v>
      </c>
      <c r="C737" s="8" t="s">
        <v>636</v>
      </c>
      <c r="D737" s="8" t="s">
        <v>315</v>
      </c>
      <c r="E737" s="9" t="s">
        <v>637</v>
      </c>
      <c r="F737" s="9" t="s">
        <v>306</v>
      </c>
      <c r="G737" s="8" t="s">
        <v>307</v>
      </c>
      <c r="H737" s="8" t="s">
        <v>302</v>
      </c>
      <c r="I737" s="8" t="s">
        <v>291</v>
      </c>
      <c r="J737" s="8" t="s">
        <v>292</v>
      </c>
      <c r="K737" s="8" t="s">
        <v>293</v>
      </c>
      <c r="L737" s="9" t="s">
        <v>294</v>
      </c>
      <c r="M737" s="8"/>
      <c r="N737" s="8" t="str">
        <f aca="true">IF(M737="","Active (per Notice 1)",IF(M737&lt;TODAY(),"Expired",IF(M737&lt;TODAY()+180,"Expiring Soon","Active")))</f>
        <v>Active (per Notice 1)</v>
      </c>
      <c r="O737" s="13" t="s">
        <v>292</v>
      </c>
      <c r="P737" s="8" t="s">
        <v>327</v>
      </c>
      <c r="Q737" s="8" t="n">
        <v>3.29</v>
      </c>
      <c r="R737" s="8" t="n">
        <v>2</v>
      </c>
      <c r="S737" s="11" t="n">
        <v>44796</v>
      </c>
      <c r="T737" s="8" t="str">
        <f aca="true">IF(S737="","",IF(EDATE(S737,60)&lt;TODAY(),"Expired",IF(EDATE(S737,60)&lt;TODAY()+180,"Expiring Soon","Valid")))</f>
        <v>Valid</v>
      </c>
      <c r="U737" s="8" t="str">
        <f aca="false">IF(P737="","",IF(P737="A++","Top Tier",IF(P737="A+","High",IF(P737="A","Strong",IF(LEFT(P737,1)="B","Acceptable",IF(LEFT(P737,1)="C","Below Avg","-"))))))</f>
        <v>High</v>
      </c>
      <c r="Y737" s="8" t="n">
        <v>6</v>
      </c>
      <c r="Z737" s="11" t="n">
        <v>45838</v>
      </c>
      <c r="AA737" s="8" t="s">
        <v>404</v>
      </c>
      <c r="AB737" s="8" t="s">
        <v>405</v>
      </c>
      <c r="AC737" s="8" t="n">
        <v>72</v>
      </c>
      <c r="AD737" s="8" t="n">
        <v>48</v>
      </c>
      <c r="AE737" s="8"/>
      <c r="AF737" s="8" t="n">
        <v>52</v>
      </c>
      <c r="AG737" s="8" t="n">
        <v>52</v>
      </c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</row>
    <row r="738" customFormat="false" ht="15" hidden="false" customHeight="true" outlineLevel="0" collapsed="false">
      <c r="A738" s="8" t="n">
        <v>737</v>
      </c>
      <c r="B738" s="8" t="n">
        <v>111</v>
      </c>
      <c r="C738" s="8" t="s">
        <v>636</v>
      </c>
      <c r="D738" s="8" t="s">
        <v>315</v>
      </c>
      <c r="E738" s="9" t="s">
        <v>637</v>
      </c>
      <c r="F738" s="9" t="s">
        <v>303</v>
      </c>
      <c r="G738" s="8" t="s">
        <v>304</v>
      </c>
      <c r="H738" s="8" t="s">
        <v>302</v>
      </c>
      <c r="I738" s="8" t="s">
        <v>291</v>
      </c>
      <c r="J738" s="8" t="s">
        <v>292</v>
      </c>
      <c r="K738" s="8" t="s">
        <v>293</v>
      </c>
      <c r="L738" s="9" t="s">
        <v>294</v>
      </c>
      <c r="M738" s="8"/>
      <c r="N738" s="8" t="str">
        <f aca="true">IF(M738="","Active (per Notice 1)",IF(M738&lt;TODAY(),"Expired",IF(M738&lt;TODAY()+180,"Expiring Soon","Active")))</f>
        <v>Active (per Notice 1)</v>
      </c>
      <c r="O738" s="13" t="s">
        <v>292</v>
      </c>
      <c r="P738" s="8" t="s">
        <v>327</v>
      </c>
      <c r="Q738" s="8" t="n">
        <v>3.29</v>
      </c>
      <c r="R738" s="8" t="n">
        <v>2</v>
      </c>
      <c r="S738" s="11" t="n">
        <v>44796</v>
      </c>
      <c r="T738" s="8" t="str">
        <f aca="true">IF(S738="","",IF(EDATE(S738,60)&lt;TODAY(),"Expired",IF(EDATE(S738,60)&lt;TODAY()+180,"Expiring Soon","Valid")))</f>
        <v>Valid</v>
      </c>
      <c r="U738" s="8" t="str">
        <f aca="false">IF(P738="","",IF(P738="A++","Top Tier",IF(P738="A+","High",IF(P738="A","Strong",IF(LEFT(P738,1)="B","Acceptable",IF(LEFT(P738,1)="C","Below Avg","-"))))))</f>
        <v>High</v>
      </c>
      <c r="Y738" s="8" t="n">
        <v>6</v>
      </c>
      <c r="Z738" s="11" t="n">
        <v>45838</v>
      </c>
      <c r="AA738" s="8" t="s">
        <v>404</v>
      </c>
      <c r="AB738" s="8" t="s">
        <v>405</v>
      </c>
      <c r="AC738" s="8" t="n">
        <v>72</v>
      </c>
      <c r="AD738" s="8" t="n">
        <v>48</v>
      </c>
      <c r="AE738" s="8"/>
      <c r="AF738" s="8" t="n">
        <v>52</v>
      </c>
      <c r="AG738" s="8" t="n">
        <v>52</v>
      </c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</row>
    <row r="739" customFormat="false" ht="15" hidden="false" customHeight="true" outlineLevel="0" collapsed="false">
      <c r="A739" s="8" t="n">
        <v>738</v>
      </c>
      <c r="B739" s="8" t="n">
        <v>112</v>
      </c>
      <c r="C739" s="8" t="s">
        <v>636</v>
      </c>
      <c r="D739" s="8" t="s">
        <v>333</v>
      </c>
      <c r="E739" s="9" t="s">
        <v>638</v>
      </c>
      <c r="F739" s="9" t="s">
        <v>326</v>
      </c>
      <c r="G739" s="8" t="s">
        <v>318</v>
      </c>
      <c r="H739" s="8" t="s">
        <v>290</v>
      </c>
      <c r="I739" s="8" t="s">
        <v>291</v>
      </c>
      <c r="J739" s="8" t="s">
        <v>292</v>
      </c>
      <c r="K739" s="8" t="s">
        <v>293</v>
      </c>
      <c r="L739" s="9" t="s">
        <v>294</v>
      </c>
      <c r="M739" s="8"/>
      <c r="N739" s="8" t="str">
        <f aca="true">IF(M739="","Active (per Notice 1)",IF(M739&lt;TODAY(),"Expired",IF(M739&lt;TODAY()+180,"Expiring Soon","Active")))</f>
        <v>Active (per Notice 1)</v>
      </c>
      <c r="O739" s="12" t="s">
        <v>305</v>
      </c>
      <c r="P739" s="8" t="s">
        <v>424</v>
      </c>
      <c r="Q739" s="8" t="n">
        <v>3.02</v>
      </c>
      <c r="R739" s="8" t="n">
        <v>2</v>
      </c>
      <c r="S739" s="11" t="n">
        <v>44256</v>
      </c>
      <c r="T739" s="8" t="str">
        <f aca="true">IF(S739="","",IF(EDATE(S739,60)&lt;TODAY(),"Expired",IF(EDATE(S739,60)&lt;TODAY()+180,"Expiring Soon","Valid")))</f>
        <v>Expired</v>
      </c>
      <c r="U739" s="8" t="str">
        <f aca="false">IF(P739="","",IF(P739="A++","Top Tier",IF(P739="A+","High",IF(P739="A","Strong",IF(LEFT(P739,1)="B","Acceptable",IF(LEFT(P739,1)="C","Below Avg","-"))))))</f>
        <v>Strong</v>
      </c>
      <c r="AC739" s="8" t="n">
        <v>64</v>
      </c>
      <c r="AD739" s="8" t="n">
        <v>45</v>
      </c>
      <c r="AE739" s="8" t="n">
        <v>45</v>
      </c>
      <c r="AF739" s="8" t="n">
        <v>43</v>
      </c>
      <c r="AG739" s="8" t="n">
        <v>36</v>
      </c>
      <c r="AH739" s="8"/>
      <c r="AI739" s="8"/>
      <c r="AJ739" s="8"/>
      <c r="AK739" s="8" t="n">
        <v>18</v>
      </c>
      <c r="AL739" s="8"/>
      <c r="AM739" s="8"/>
      <c r="AN739" s="8"/>
      <c r="AO739" s="8"/>
      <c r="AP739" s="8"/>
      <c r="AQ739" s="8"/>
      <c r="AR739" s="8"/>
      <c r="AS739" s="8"/>
      <c r="AT739" s="8"/>
      <c r="AU739" s="8"/>
    </row>
    <row r="740" customFormat="false" ht="15" hidden="false" customHeight="true" outlineLevel="0" collapsed="false">
      <c r="A740" s="8" t="n">
        <v>739</v>
      </c>
      <c r="B740" s="8" t="n">
        <v>112</v>
      </c>
      <c r="C740" s="8" t="s">
        <v>636</v>
      </c>
      <c r="D740" s="8" t="s">
        <v>333</v>
      </c>
      <c r="E740" s="9" t="s">
        <v>638</v>
      </c>
      <c r="F740" s="9" t="s">
        <v>319</v>
      </c>
      <c r="G740" s="8" t="s">
        <v>320</v>
      </c>
      <c r="H740" s="8" t="s">
        <v>290</v>
      </c>
      <c r="I740" s="8" t="s">
        <v>291</v>
      </c>
      <c r="J740" s="8" t="s">
        <v>292</v>
      </c>
      <c r="K740" s="8" t="s">
        <v>293</v>
      </c>
      <c r="L740" s="9" t="s">
        <v>294</v>
      </c>
      <c r="M740" s="8"/>
      <c r="N740" s="8" t="str">
        <f aca="true">IF(M740="","Active (per Notice 1)",IF(M740&lt;TODAY(),"Expired",IF(M740&lt;TODAY()+180,"Expiring Soon","Active")))</f>
        <v>Active (per Notice 1)</v>
      </c>
      <c r="O740" s="12" t="s">
        <v>305</v>
      </c>
      <c r="P740" s="8" t="s">
        <v>424</v>
      </c>
      <c r="Q740" s="8" t="n">
        <v>3.02</v>
      </c>
      <c r="R740" s="8" t="n">
        <v>2</v>
      </c>
      <c r="S740" s="11" t="n">
        <v>44256</v>
      </c>
      <c r="T740" s="8" t="str">
        <f aca="true">IF(S740="","",IF(EDATE(S740,60)&lt;TODAY(),"Expired",IF(EDATE(S740,60)&lt;TODAY()+180,"Expiring Soon","Valid")))</f>
        <v>Expired</v>
      </c>
      <c r="U740" s="8" t="str">
        <f aca="false">IF(P740="","",IF(P740="A++","Top Tier",IF(P740="A+","High",IF(P740="A","Strong",IF(LEFT(P740,1)="B","Acceptable",IF(LEFT(P740,1)="C","Below Avg","-"))))))</f>
        <v>Strong</v>
      </c>
      <c r="AC740" s="8" t="n">
        <v>64</v>
      </c>
      <c r="AD740" s="8" t="n">
        <v>45</v>
      </c>
      <c r="AE740" s="8" t="n">
        <v>45</v>
      </c>
      <c r="AF740" s="8" t="n">
        <v>43</v>
      </c>
      <c r="AG740" s="8" t="n">
        <v>36</v>
      </c>
      <c r="AH740" s="8"/>
      <c r="AI740" s="8"/>
      <c r="AJ740" s="8"/>
      <c r="AK740" s="8" t="n">
        <v>18</v>
      </c>
      <c r="AL740" s="8"/>
      <c r="AM740" s="8"/>
      <c r="AN740" s="8"/>
      <c r="AO740" s="8"/>
      <c r="AP740" s="8"/>
      <c r="AQ740" s="8"/>
      <c r="AR740" s="8"/>
      <c r="AS740" s="8"/>
      <c r="AT740" s="8"/>
      <c r="AU740" s="8"/>
    </row>
    <row r="741" customFormat="false" ht="23.25" hidden="false" customHeight="true" outlineLevel="0" collapsed="false">
      <c r="A741" s="8" t="n">
        <v>740</v>
      </c>
      <c r="B741" s="8" t="n">
        <v>112</v>
      </c>
      <c r="C741" s="8" t="s">
        <v>636</v>
      </c>
      <c r="D741" s="8" t="s">
        <v>333</v>
      </c>
      <c r="E741" s="9" t="s">
        <v>638</v>
      </c>
      <c r="F741" s="9" t="s">
        <v>639</v>
      </c>
      <c r="G741" s="8" t="s">
        <v>304</v>
      </c>
      <c r="H741" s="8" t="s">
        <v>302</v>
      </c>
      <c r="I741" s="8" t="s">
        <v>291</v>
      </c>
      <c r="J741" s="8" t="s">
        <v>292</v>
      </c>
      <c r="K741" s="8" t="s">
        <v>293</v>
      </c>
      <c r="L741" s="9" t="s">
        <v>294</v>
      </c>
      <c r="M741" s="8"/>
      <c r="N741" s="8" t="str">
        <f aca="true">IF(M741="","Active (per Notice 1)",IF(M741&lt;TODAY(),"Expired",IF(M741&lt;TODAY()+180,"Expiring Soon","Active")))</f>
        <v>Active (per Notice 1)</v>
      </c>
      <c r="O741" s="12" t="s">
        <v>305</v>
      </c>
      <c r="P741" s="8" t="s">
        <v>424</v>
      </c>
      <c r="Q741" s="8" t="n">
        <v>3.02</v>
      </c>
      <c r="R741" s="8" t="n">
        <v>2</v>
      </c>
      <c r="S741" s="11" t="n">
        <v>44256</v>
      </c>
      <c r="T741" s="8" t="str">
        <f aca="true">IF(S741="","",IF(EDATE(S741,60)&lt;TODAY(),"Expired",IF(EDATE(S741,60)&lt;TODAY()+180,"Expiring Soon","Valid")))</f>
        <v>Expired</v>
      </c>
      <c r="U741" s="8" t="str">
        <f aca="false">IF(P741="","",IF(P741="A++","Top Tier",IF(P741="A+","High",IF(P741="A","Strong",IF(LEFT(P741,1)="B","Acceptable",IF(LEFT(P741,1)="C","Below Avg","-"))))))</f>
        <v>Strong</v>
      </c>
      <c r="AC741" s="8" t="n">
        <v>64</v>
      </c>
      <c r="AD741" s="8" t="n">
        <v>45</v>
      </c>
      <c r="AE741" s="8" t="n">
        <v>45</v>
      </c>
      <c r="AF741" s="8" t="n">
        <v>43</v>
      </c>
      <c r="AG741" s="8" t="n">
        <v>36</v>
      </c>
      <c r="AH741" s="8"/>
      <c r="AI741" s="8"/>
      <c r="AJ741" s="8"/>
      <c r="AK741" s="8" t="n">
        <v>18</v>
      </c>
      <c r="AL741" s="8"/>
      <c r="AM741" s="8"/>
      <c r="AN741" s="8"/>
      <c r="AO741" s="8"/>
      <c r="AP741" s="8"/>
      <c r="AQ741" s="8"/>
      <c r="AR741" s="8"/>
      <c r="AS741" s="8"/>
      <c r="AT741" s="8"/>
      <c r="AU741" s="8"/>
    </row>
    <row r="742" customFormat="false" ht="23.25" hidden="false" customHeight="true" outlineLevel="0" collapsed="false">
      <c r="A742" s="8" t="n">
        <v>741</v>
      </c>
      <c r="B742" s="8" t="n">
        <v>112</v>
      </c>
      <c r="C742" s="8" t="s">
        <v>636</v>
      </c>
      <c r="D742" s="8" t="s">
        <v>333</v>
      </c>
      <c r="E742" s="9" t="s">
        <v>638</v>
      </c>
      <c r="F742" s="9" t="s">
        <v>518</v>
      </c>
      <c r="G742" s="8" t="s">
        <v>304</v>
      </c>
      <c r="H742" s="8" t="s">
        <v>302</v>
      </c>
      <c r="I742" s="8" t="s">
        <v>291</v>
      </c>
      <c r="J742" s="8" t="s">
        <v>292</v>
      </c>
      <c r="K742" s="8" t="s">
        <v>293</v>
      </c>
      <c r="L742" s="9" t="s">
        <v>294</v>
      </c>
      <c r="M742" s="8"/>
      <c r="N742" s="8" t="str">
        <f aca="true">IF(M742="","Active (per Notice 1)",IF(M742&lt;TODAY(),"Expired",IF(M742&lt;TODAY()+180,"Expiring Soon","Active")))</f>
        <v>Active (per Notice 1)</v>
      </c>
      <c r="O742" s="12" t="s">
        <v>305</v>
      </c>
      <c r="P742" s="8" t="s">
        <v>424</v>
      </c>
      <c r="Q742" s="8" t="n">
        <v>3.02</v>
      </c>
      <c r="R742" s="8" t="n">
        <v>2</v>
      </c>
      <c r="S742" s="11" t="n">
        <v>44256</v>
      </c>
      <c r="T742" s="8" t="str">
        <f aca="true">IF(S742="","",IF(EDATE(S742,60)&lt;TODAY(),"Expired",IF(EDATE(S742,60)&lt;TODAY()+180,"Expiring Soon","Valid")))</f>
        <v>Expired</v>
      </c>
      <c r="U742" s="8" t="str">
        <f aca="false">IF(P742="","",IF(P742="A++","Top Tier",IF(P742="A+","High",IF(P742="A","Strong",IF(LEFT(P742,1)="B","Acceptable",IF(LEFT(P742,1)="C","Below Avg","-"))))))</f>
        <v>Strong</v>
      </c>
      <c r="AC742" s="8" t="n">
        <v>64</v>
      </c>
      <c r="AD742" s="8" t="n">
        <v>45</v>
      </c>
      <c r="AE742" s="8" t="n">
        <v>45</v>
      </c>
      <c r="AF742" s="8" t="n">
        <v>43</v>
      </c>
      <c r="AG742" s="8" t="n">
        <v>36</v>
      </c>
      <c r="AH742" s="8"/>
      <c r="AI742" s="8"/>
      <c r="AJ742" s="8"/>
      <c r="AK742" s="8" t="n">
        <v>18</v>
      </c>
      <c r="AL742" s="8"/>
      <c r="AM742" s="8"/>
      <c r="AN742" s="8"/>
      <c r="AO742" s="8"/>
      <c r="AP742" s="8"/>
      <c r="AQ742" s="8"/>
      <c r="AR742" s="8"/>
      <c r="AS742" s="8"/>
      <c r="AT742" s="8"/>
      <c r="AU742" s="8"/>
    </row>
    <row r="743" customFormat="false" ht="15" hidden="false" customHeight="true" outlineLevel="0" collapsed="false">
      <c r="A743" s="8" t="n">
        <v>742</v>
      </c>
      <c r="B743" s="8" t="n">
        <v>112</v>
      </c>
      <c r="C743" s="8" t="s">
        <v>636</v>
      </c>
      <c r="D743" s="8" t="s">
        <v>333</v>
      </c>
      <c r="E743" s="9" t="s">
        <v>638</v>
      </c>
      <c r="F743" s="9" t="s">
        <v>332</v>
      </c>
      <c r="G743" s="8" t="s">
        <v>304</v>
      </c>
      <c r="H743" s="8" t="s">
        <v>302</v>
      </c>
      <c r="I743" s="8" t="s">
        <v>291</v>
      </c>
      <c r="J743" s="8" t="s">
        <v>292</v>
      </c>
      <c r="K743" s="8" t="s">
        <v>293</v>
      </c>
      <c r="L743" s="9" t="s">
        <v>294</v>
      </c>
      <c r="M743" s="8"/>
      <c r="N743" s="8" t="str">
        <f aca="true">IF(M743="","Active (per Notice 1)",IF(M743&lt;TODAY(),"Expired",IF(M743&lt;TODAY()+180,"Expiring Soon","Active")))</f>
        <v>Active (per Notice 1)</v>
      </c>
      <c r="O743" s="12" t="s">
        <v>305</v>
      </c>
      <c r="P743" s="8" t="s">
        <v>424</v>
      </c>
      <c r="Q743" s="8" t="n">
        <v>3.02</v>
      </c>
      <c r="R743" s="8" t="n">
        <v>2</v>
      </c>
      <c r="S743" s="11" t="n">
        <v>44256</v>
      </c>
      <c r="T743" s="8" t="str">
        <f aca="true">IF(S743="","",IF(EDATE(S743,60)&lt;TODAY(),"Expired",IF(EDATE(S743,60)&lt;TODAY()+180,"Expiring Soon","Valid")))</f>
        <v>Expired</v>
      </c>
      <c r="U743" s="8" t="str">
        <f aca="false">IF(P743="","",IF(P743="A++","Top Tier",IF(P743="A+","High",IF(P743="A","Strong",IF(LEFT(P743,1)="B","Acceptable",IF(LEFT(P743,1)="C","Below Avg","-"))))))</f>
        <v>Strong</v>
      </c>
      <c r="AC743" s="8" t="n">
        <v>64</v>
      </c>
      <c r="AD743" s="8" t="n">
        <v>45</v>
      </c>
      <c r="AE743" s="8" t="n">
        <v>45</v>
      </c>
      <c r="AF743" s="8" t="n">
        <v>43</v>
      </c>
      <c r="AG743" s="8" t="n">
        <v>36</v>
      </c>
      <c r="AH743" s="8"/>
      <c r="AI743" s="8"/>
      <c r="AJ743" s="8"/>
      <c r="AK743" s="8" t="n">
        <v>18</v>
      </c>
      <c r="AL743" s="8"/>
      <c r="AM743" s="8"/>
      <c r="AN743" s="8"/>
      <c r="AO743" s="8"/>
      <c r="AP743" s="8"/>
      <c r="AQ743" s="8"/>
      <c r="AR743" s="8"/>
      <c r="AS743" s="8"/>
      <c r="AT743" s="8"/>
      <c r="AU743" s="8"/>
    </row>
    <row r="744" customFormat="false" ht="15" hidden="false" customHeight="true" outlineLevel="0" collapsed="false">
      <c r="A744" s="8" t="n">
        <v>743</v>
      </c>
      <c r="B744" s="8" t="n">
        <v>112</v>
      </c>
      <c r="C744" s="8" t="s">
        <v>636</v>
      </c>
      <c r="D744" s="8" t="s">
        <v>333</v>
      </c>
      <c r="E744" s="9" t="s">
        <v>638</v>
      </c>
      <c r="F744" s="9" t="s">
        <v>640</v>
      </c>
      <c r="G744" s="8" t="s">
        <v>304</v>
      </c>
      <c r="H744" s="8" t="s">
        <v>302</v>
      </c>
      <c r="I744" s="8" t="s">
        <v>291</v>
      </c>
      <c r="J744" s="8" t="s">
        <v>292</v>
      </c>
      <c r="K744" s="8" t="s">
        <v>293</v>
      </c>
      <c r="L744" s="9" t="s">
        <v>294</v>
      </c>
      <c r="M744" s="8"/>
      <c r="N744" s="8" t="str">
        <f aca="true">IF(M744="","Active (per Notice 1)",IF(M744&lt;TODAY(),"Expired",IF(M744&lt;TODAY()+180,"Expiring Soon","Active")))</f>
        <v>Active (per Notice 1)</v>
      </c>
      <c r="O744" s="12" t="s">
        <v>305</v>
      </c>
      <c r="P744" s="8" t="s">
        <v>424</v>
      </c>
      <c r="Q744" s="8" t="n">
        <v>3.02</v>
      </c>
      <c r="R744" s="8" t="n">
        <v>2</v>
      </c>
      <c r="S744" s="11" t="n">
        <v>44256</v>
      </c>
      <c r="T744" s="8" t="str">
        <f aca="true">IF(S744="","",IF(EDATE(S744,60)&lt;TODAY(),"Expired",IF(EDATE(S744,60)&lt;TODAY()+180,"Expiring Soon","Valid")))</f>
        <v>Expired</v>
      </c>
      <c r="U744" s="8" t="str">
        <f aca="false">IF(P744="","",IF(P744="A++","Top Tier",IF(P744="A+","High",IF(P744="A","Strong",IF(LEFT(P744,1)="B","Acceptable",IF(LEFT(P744,1)="C","Below Avg","-"))))))</f>
        <v>Strong</v>
      </c>
      <c r="AC744" s="8" t="n">
        <v>64</v>
      </c>
      <c r="AD744" s="8" t="n">
        <v>45</v>
      </c>
      <c r="AE744" s="8" t="n">
        <v>45</v>
      </c>
      <c r="AF744" s="8" t="n">
        <v>43</v>
      </c>
      <c r="AG744" s="8" t="n">
        <v>36</v>
      </c>
      <c r="AH744" s="8"/>
      <c r="AI744" s="8"/>
      <c r="AJ744" s="8"/>
      <c r="AK744" s="8" t="n">
        <v>18</v>
      </c>
      <c r="AL744" s="8"/>
      <c r="AM744" s="8"/>
      <c r="AN744" s="8"/>
      <c r="AO744" s="8"/>
      <c r="AP744" s="8"/>
      <c r="AQ744" s="8"/>
      <c r="AR744" s="8"/>
      <c r="AS744" s="8"/>
      <c r="AT744" s="8"/>
      <c r="AU744" s="8"/>
    </row>
    <row r="745" customFormat="false" ht="23.25" hidden="false" customHeight="true" outlineLevel="0" collapsed="false">
      <c r="A745" s="8" t="n">
        <v>744</v>
      </c>
      <c r="B745" s="8" t="n">
        <v>112</v>
      </c>
      <c r="C745" s="8" t="s">
        <v>636</v>
      </c>
      <c r="D745" s="8" t="s">
        <v>333</v>
      </c>
      <c r="E745" s="9" t="s">
        <v>638</v>
      </c>
      <c r="F745" s="9" t="s">
        <v>641</v>
      </c>
      <c r="G745" s="8" t="s">
        <v>304</v>
      </c>
      <c r="H745" s="8" t="s">
        <v>302</v>
      </c>
      <c r="I745" s="8" t="s">
        <v>291</v>
      </c>
      <c r="J745" s="8" t="s">
        <v>292</v>
      </c>
      <c r="K745" s="8" t="s">
        <v>293</v>
      </c>
      <c r="L745" s="9" t="s">
        <v>294</v>
      </c>
      <c r="M745" s="8"/>
      <c r="N745" s="8" t="str">
        <f aca="true">IF(M745="","Active (per Notice 1)",IF(M745&lt;TODAY(),"Expired",IF(M745&lt;TODAY()+180,"Expiring Soon","Active")))</f>
        <v>Active (per Notice 1)</v>
      </c>
      <c r="O745" s="12" t="s">
        <v>305</v>
      </c>
      <c r="P745" s="8" t="s">
        <v>424</v>
      </c>
      <c r="Q745" s="8" t="n">
        <v>3.02</v>
      </c>
      <c r="R745" s="8" t="n">
        <v>2</v>
      </c>
      <c r="S745" s="11" t="n">
        <v>44256</v>
      </c>
      <c r="T745" s="8" t="str">
        <f aca="true">IF(S745="","",IF(EDATE(S745,60)&lt;TODAY(),"Expired",IF(EDATE(S745,60)&lt;TODAY()+180,"Expiring Soon","Valid")))</f>
        <v>Expired</v>
      </c>
      <c r="U745" s="8" t="str">
        <f aca="false">IF(P745="","",IF(P745="A++","Top Tier",IF(P745="A+","High",IF(P745="A","Strong",IF(LEFT(P745,1)="B","Acceptable",IF(LEFT(P745,1)="C","Below Avg","-"))))))</f>
        <v>Strong</v>
      </c>
      <c r="AC745" s="8" t="n">
        <v>64</v>
      </c>
      <c r="AD745" s="8" t="n">
        <v>45</v>
      </c>
      <c r="AE745" s="8" t="n">
        <v>45</v>
      </c>
      <c r="AF745" s="8" t="n">
        <v>43</v>
      </c>
      <c r="AG745" s="8" t="n">
        <v>36</v>
      </c>
      <c r="AH745" s="8"/>
      <c r="AI745" s="8"/>
      <c r="AJ745" s="8"/>
      <c r="AK745" s="8" t="n">
        <v>18</v>
      </c>
      <c r="AL745" s="8"/>
      <c r="AM745" s="8"/>
      <c r="AN745" s="8"/>
      <c r="AO745" s="8"/>
      <c r="AP745" s="8"/>
      <c r="AQ745" s="8"/>
      <c r="AR745" s="8"/>
      <c r="AS745" s="8"/>
      <c r="AT745" s="8"/>
      <c r="AU745" s="8"/>
    </row>
    <row r="746" customFormat="false" ht="15" hidden="false" customHeight="true" outlineLevel="0" collapsed="false">
      <c r="A746" s="8" t="n">
        <v>745</v>
      </c>
      <c r="B746" s="8" t="n">
        <v>112</v>
      </c>
      <c r="C746" s="8" t="s">
        <v>636</v>
      </c>
      <c r="D746" s="8" t="s">
        <v>333</v>
      </c>
      <c r="E746" s="9" t="s">
        <v>638</v>
      </c>
      <c r="F746" s="9" t="s">
        <v>306</v>
      </c>
      <c r="G746" s="8" t="s">
        <v>307</v>
      </c>
      <c r="H746" s="8" t="s">
        <v>302</v>
      </c>
      <c r="I746" s="8" t="s">
        <v>291</v>
      </c>
      <c r="J746" s="8" t="s">
        <v>292</v>
      </c>
      <c r="K746" s="8" t="s">
        <v>293</v>
      </c>
      <c r="L746" s="9" t="s">
        <v>294</v>
      </c>
      <c r="M746" s="8"/>
      <c r="N746" s="8" t="str">
        <f aca="true">IF(M746="","Active (per Notice 1)",IF(M746&lt;TODAY(),"Expired",IF(M746&lt;TODAY()+180,"Expiring Soon","Active")))</f>
        <v>Active (per Notice 1)</v>
      </c>
      <c r="O746" s="12" t="s">
        <v>305</v>
      </c>
      <c r="P746" s="8" t="s">
        <v>424</v>
      </c>
      <c r="Q746" s="8" t="n">
        <v>3.02</v>
      </c>
      <c r="R746" s="8" t="n">
        <v>2</v>
      </c>
      <c r="S746" s="11" t="n">
        <v>44256</v>
      </c>
      <c r="T746" s="8" t="str">
        <f aca="true">IF(S746="","",IF(EDATE(S746,60)&lt;TODAY(),"Expired",IF(EDATE(S746,60)&lt;TODAY()+180,"Expiring Soon","Valid")))</f>
        <v>Expired</v>
      </c>
      <c r="U746" s="8" t="str">
        <f aca="false">IF(P746="","",IF(P746="A++","Top Tier",IF(P746="A+","High",IF(P746="A","Strong",IF(LEFT(P746,1)="B","Acceptable",IF(LEFT(P746,1)="C","Below Avg","-"))))))</f>
        <v>Strong</v>
      </c>
      <c r="AC746" s="8" t="n">
        <v>64</v>
      </c>
      <c r="AD746" s="8" t="n">
        <v>45</v>
      </c>
      <c r="AE746" s="8" t="n">
        <v>45</v>
      </c>
      <c r="AF746" s="8" t="n">
        <v>43</v>
      </c>
      <c r="AG746" s="8" t="n">
        <v>36</v>
      </c>
      <c r="AH746" s="8"/>
      <c r="AI746" s="8"/>
      <c r="AJ746" s="8"/>
      <c r="AK746" s="8" t="n">
        <v>18</v>
      </c>
      <c r="AL746" s="8"/>
      <c r="AM746" s="8"/>
      <c r="AN746" s="8"/>
      <c r="AO746" s="8"/>
      <c r="AP746" s="8"/>
      <c r="AQ746" s="8"/>
      <c r="AR746" s="8"/>
      <c r="AS746" s="8"/>
      <c r="AT746" s="8"/>
      <c r="AU746" s="8"/>
    </row>
    <row r="747" customFormat="false" ht="15" hidden="false" customHeight="true" outlineLevel="0" collapsed="false">
      <c r="A747" s="8" t="n">
        <v>746</v>
      </c>
      <c r="B747" s="8" t="n">
        <v>113</v>
      </c>
      <c r="C747" s="8" t="s">
        <v>636</v>
      </c>
      <c r="D747" s="8" t="s">
        <v>333</v>
      </c>
      <c r="E747" s="9" t="s">
        <v>642</v>
      </c>
      <c r="F747" s="9" t="s">
        <v>408</v>
      </c>
      <c r="G747" s="8" t="s">
        <v>298</v>
      </c>
      <c r="H747" s="8" t="s">
        <v>290</v>
      </c>
      <c r="I747" s="8" t="s">
        <v>291</v>
      </c>
      <c r="J747" s="8" t="s">
        <v>292</v>
      </c>
      <c r="K747" s="8" t="s">
        <v>293</v>
      </c>
      <c r="L747" s="9" t="s">
        <v>294</v>
      </c>
      <c r="M747" s="8"/>
      <c r="N747" s="8" t="str">
        <f aca="true">IF(M747="","Active (per Notice 1)",IF(M747&lt;TODAY(),"Expired",IF(M747&lt;TODAY()+180,"Expiring Soon","Active")))</f>
        <v>Active (per Notice 1)</v>
      </c>
      <c r="O747" s="10" t="s">
        <v>295</v>
      </c>
      <c r="P747" s="8" t="s">
        <v>327</v>
      </c>
      <c r="Q747" s="8" t="n">
        <v>3.3</v>
      </c>
      <c r="R747" s="8" t="n">
        <v>1</v>
      </c>
      <c r="S747" s="11" t="n">
        <v>44572</v>
      </c>
      <c r="T747" s="8" t="str">
        <f aca="true">IF(S747="","",IF(EDATE(S747,60)&lt;TODAY(),"Expired",IF(EDATE(S747,60)&lt;TODAY()+180,"Expiring Soon","Valid")))</f>
        <v>Valid</v>
      </c>
      <c r="U747" s="8" t="str">
        <f aca="false">IF(P747="","",IF(P747="A++","Top Tier",IF(P747="A+","High",IF(P747="A","Strong",IF(LEFT(P747,1)="B","Acceptable",IF(LEFT(P747,1)="C","Below Avg","-"))))))</f>
        <v>High</v>
      </c>
      <c r="AC747" s="8"/>
      <c r="AD747" s="8"/>
      <c r="AE747" s="8"/>
      <c r="AF747" s="8"/>
      <c r="AG747" s="8"/>
      <c r="AH747" s="8" t="n">
        <v>75</v>
      </c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</row>
    <row r="748" customFormat="false" ht="15" hidden="false" customHeight="true" outlineLevel="0" collapsed="false">
      <c r="A748" s="8" t="n">
        <v>747</v>
      </c>
      <c r="B748" s="8" t="n">
        <v>113</v>
      </c>
      <c r="C748" s="8" t="s">
        <v>636</v>
      </c>
      <c r="D748" s="8" t="s">
        <v>333</v>
      </c>
      <c r="E748" s="9" t="s">
        <v>642</v>
      </c>
      <c r="F748" s="9" t="s">
        <v>317</v>
      </c>
      <c r="G748" s="8" t="s">
        <v>318</v>
      </c>
      <c r="H748" s="8" t="s">
        <v>290</v>
      </c>
      <c r="I748" s="8" t="s">
        <v>291</v>
      </c>
      <c r="J748" s="8" t="s">
        <v>292</v>
      </c>
      <c r="K748" s="8" t="s">
        <v>293</v>
      </c>
      <c r="L748" s="9" t="s">
        <v>294</v>
      </c>
      <c r="M748" s="8"/>
      <c r="N748" s="8" t="str">
        <f aca="true">IF(M748="","Active (per Notice 1)",IF(M748&lt;TODAY(),"Expired",IF(M748&lt;TODAY()+180,"Expiring Soon","Active")))</f>
        <v>Active (per Notice 1)</v>
      </c>
      <c r="O748" s="12" t="s">
        <v>305</v>
      </c>
      <c r="P748" s="8" t="s">
        <v>327</v>
      </c>
      <c r="Q748" s="8" t="n">
        <v>3.3</v>
      </c>
      <c r="R748" s="8" t="n">
        <v>1</v>
      </c>
      <c r="S748" s="11" t="n">
        <v>44572</v>
      </c>
      <c r="T748" s="8" t="str">
        <f aca="true">IF(S748="","",IF(EDATE(S748,60)&lt;TODAY(),"Expired",IF(EDATE(S748,60)&lt;TODAY()+180,"Expiring Soon","Valid")))</f>
        <v>Valid</v>
      </c>
      <c r="U748" s="8" t="str">
        <f aca="false">IF(P748="","",IF(P748="A++","Top Tier",IF(P748="A+","High",IF(P748="A","Strong",IF(LEFT(P748,1)="B","Acceptable",IF(LEFT(P748,1)="C","Below Avg","-"))))))</f>
        <v>High</v>
      </c>
      <c r="AC748" s="8"/>
      <c r="AD748" s="8"/>
      <c r="AE748" s="8"/>
      <c r="AF748" s="8"/>
      <c r="AG748" s="8"/>
      <c r="AH748" s="8" t="n">
        <v>75</v>
      </c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</row>
    <row r="749" customFormat="false" ht="15" hidden="false" customHeight="true" outlineLevel="0" collapsed="false">
      <c r="A749" s="8" t="n">
        <v>748</v>
      </c>
      <c r="B749" s="8" t="n">
        <v>113</v>
      </c>
      <c r="C749" s="8" t="s">
        <v>636</v>
      </c>
      <c r="D749" s="8" t="s">
        <v>333</v>
      </c>
      <c r="E749" s="9" t="s">
        <v>642</v>
      </c>
      <c r="F749" s="9" t="s">
        <v>319</v>
      </c>
      <c r="G749" s="8" t="s">
        <v>320</v>
      </c>
      <c r="H749" s="8" t="s">
        <v>290</v>
      </c>
      <c r="I749" s="8" t="s">
        <v>291</v>
      </c>
      <c r="J749" s="8" t="s">
        <v>292</v>
      </c>
      <c r="K749" s="8" t="s">
        <v>293</v>
      </c>
      <c r="L749" s="9" t="s">
        <v>294</v>
      </c>
      <c r="M749" s="8"/>
      <c r="N749" s="8" t="str">
        <f aca="true">IF(M749="","Active (per Notice 1)",IF(M749&lt;TODAY(),"Expired",IF(M749&lt;TODAY()+180,"Expiring Soon","Active")))</f>
        <v>Active (per Notice 1)</v>
      </c>
      <c r="O749" s="12" t="s">
        <v>305</v>
      </c>
      <c r="P749" s="8" t="s">
        <v>327</v>
      </c>
      <c r="Q749" s="8" t="n">
        <v>3.3</v>
      </c>
      <c r="R749" s="8" t="n">
        <v>1</v>
      </c>
      <c r="S749" s="11" t="n">
        <v>44572</v>
      </c>
      <c r="T749" s="8" t="str">
        <f aca="true">IF(S749="","",IF(EDATE(S749,60)&lt;TODAY(),"Expired",IF(EDATE(S749,60)&lt;TODAY()+180,"Expiring Soon","Valid")))</f>
        <v>Valid</v>
      </c>
      <c r="U749" s="8" t="str">
        <f aca="false">IF(P749="","",IF(P749="A++","Top Tier",IF(P749="A+","High",IF(P749="A","Strong",IF(LEFT(P749,1)="B","Acceptable",IF(LEFT(P749,1)="C","Below Avg","-"))))))</f>
        <v>High</v>
      </c>
      <c r="AC749" s="8"/>
      <c r="AD749" s="8"/>
      <c r="AE749" s="8"/>
      <c r="AF749" s="8"/>
      <c r="AG749" s="8"/>
      <c r="AH749" s="8" t="n">
        <v>75</v>
      </c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</row>
    <row r="750" customFormat="false" ht="15" hidden="false" customHeight="true" outlineLevel="0" collapsed="false">
      <c r="A750" s="8" t="n">
        <v>749</v>
      </c>
      <c r="B750" s="8" t="n">
        <v>113</v>
      </c>
      <c r="C750" s="8" t="s">
        <v>636</v>
      </c>
      <c r="D750" s="8" t="s">
        <v>333</v>
      </c>
      <c r="E750" s="9" t="s">
        <v>642</v>
      </c>
      <c r="F750" s="9" t="s">
        <v>306</v>
      </c>
      <c r="G750" s="8" t="s">
        <v>307</v>
      </c>
      <c r="H750" s="8" t="s">
        <v>302</v>
      </c>
      <c r="I750" s="8" t="s">
        <v>291</v>
      </c>
      <c r="J750" s="8" t="s">
        <v>292</v>
      </c>
      <c r="K750" s="8" t="s">
        <v>293</v>
      </c>
      <c r="L750" s="9" t="s">
        <v>294</v>
      </c>
      <c r="M750" s="8"/>
      <c r="N750" s="8" t="str">
        <f aca="true">IF(M750="","Active (per Notice 1)",IF(M750&lt;TODAY(),"Expired",IF(M750&lt;TODAY()+180,"Expiring Soon","Active")))</f>
        <v>Active (per Notice 1)</v>
      </c>
      <c r="O750" s="12" t="s">
        <v>305</v>
      </c>
      <c r="P750" s="8" t="s">
        <v>327</v>
      </c>
      <c r="Q750" s="8" t="n">
        <v>3.3</v>
      </c>
      <c r="R750" s="8" t="n">
        <v>1</v>
      </c>
      <c r="S750" s="11" t="n">
        <v>44572</v>
      </c>
      <c r="T750" s="8" t="str">
        <f aca="true">IF(S750="","",IF(EDATE(S750,60)&lt;TODAY(),"Expired",IF(EDATE(S750,60)&lt;TODAY()+180,"Expiring Soon","Valid")))</f>
        <v>Valid</v>
      </c>
      <c r="U750" s="8" t="str">
        <f aca="false">IF(P750="","",IF(P750="A++","Top Tier",IF(P750="A+","High",IF(P750="A","Strong",IF(LEFT(P750,1)="B","Acceptable",IF(LEFT(P750,1)="C","Below Avg","-"))))))</f>
        <v>High</v>
      </c>
      <c r="AC750" s="8"/>
      <c r="AD750" s="8"/>
      <c r="AE750" s="8"/>
      <c r="AF750" s="8"/>
      <c r="AG750" s="8"/>
      <c r="AH750" s="8" t="n">
        <v>75</v>
      </c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</row>
    <row r="751" customFormat="false" ht="15" hidden="false" customHeight="true" outlineLevel="0" collapsed="false">
      <c r="A751" s="8" t="n">
        <v>750</v>
      </c>
      <c r="B751" s="8" t="n">
        <v>113</v>
      </c>
      <c r="C751" s="8" t="s">
        <v>636</v>
      </c>
      <c r="D751" s="8" t="s">
        <v>333</v>
      </c>
      <c r="E751" s="9" t="s">
        <v>642</v>
      </c>
      <c r="F751" s="9" t="s">
        <v>303</v>
      </c>
      <c r="G751" s="8" t="s">
        <v>304</v>
      </c>
      <c r="H751" s="8" t="s">
        <v>302</v>
      </c>
      <c r="I751" s="8" t="s">
        <v>291</v>
      </c>
      <c r="J751" s="8" t="s">
        <v>292</v>
      </c>
      <c r="K751" s="8" t="s">
        <v>293</v>
      </c>
      <c r="L751" s="9" t="s">
        <v>294</v>
      </c>
      <c r="M751" s="8"/>
      <c r="N751" s="8" t="str">
        <f aca="true">IF(M751="","Active (per Notice 1)",IF(M751&lt;TODAY(),"Expired",IF(M751&lt;TODAY()+180,"Expiring Soon","Active")))</f>
        <v>Active (per Notice 1)</v>
      </c>
      <c r="O751" s="12" t="s">
        <v>305</v>
      </c>
      <c r="P751" s="8" t="s">
        <v>327</v>
      </c>
      <c r="Q751" s="8" t="n">
        <v>3.3</v>
      </c>
      <c r="R751" s="8" t="n">
        <v>1</v>
      </c>
      <c r="S751" s="11" t="n">
        <v>44572</v>
      </c>
      <c r="T751" s="8" t="str">
        <f aca="true">IF(S751="","",IF(EDATE(S751,60)&lt;TODAY(),"Expired",IF(EDATE(S751,60)&lt;TODAY()+180,"Expiring Soon","Valid")))</f>
        <v>Valid</v>
      </c>
      <c r="U751" s="8" t="str">
        <f aca="false">IF(P751="","",IF(P751="A++","Top Tier",IF(P751="A+","High",IF(P751="A","Strong",IF(LEFT(P751,1)="B","Acceptable",IF(LEFT(P751,1)="C","Below Avg","-"))))))</f>
        <v>High</v>
      </c>
      <c r="AC751" s="8"/>
      <c r="AD751" s="8"/>
      <c r="AE751" s="8"/>
      <c r="AF751" s="8"/>
      <c r="AG751" s="8"/>
      <c r="AH751" s="8" t="n">
        <v>75</v>
      </c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</row>
    <row r="752" customFormat="false" ht="15" hidden="false" customHeight="true" outlineLevel="0" collapsed="false">
      <c r="A752" s="8" t="n">
        <v>751</v>
      </c>
      <c r="B752" s="8" t="s">
        <v>643</v>
      </c>
      <c r="C752" s="8" t="s">
        <v>335</v>
      </c>
      <c r="D752" s="8" t="s">
        <v>333</v>
      </c>
      <c r="E752" s="9" t="s">
        <v>644</v>
      </c>
      <c r="F752" s="9" t="s">
        <v>303</v>
      </c>
      <c r="G752" s="8" t="s">
        <v>304</v>
      </c>
      <c r="H752" s="8" t="s">
        <v>302</v>
      </c>
      <c r="I752" s="8" t="s">
        <v>291</v>
      </c>
      <c r="J752" s="8" t="s">
        <v>292</v>
      </c>
      <c r="K752" s="8" t="s">
        <v>645</v>
      </c>
      <c r="L752" s="9" t="s">
        <v>646</v>
      </c>
      <c r="M752" s="11" t="n">
        <v>47514</v>
      </c>
      <c r="N752" s="8" t="str">
        <f aca="true">IF(M752="","Active (per Notice 1)",IF(M752&lt;TODAY(),"Expired",IF(M752&lt;TODAY()+180,"Expiring Soon","Active")))</f>
        <v>Active</v>
      </c>
      <c r="O752" s="16" t="s">
        <v>305</v>
      </c>
      <c r="P752" s="8" t="s">
        <v>424</v>
      </c>
      <c r="Q752" s="8" t="n">
        <v>3.08</v>
      </c>
      <c r="R752" s="8" t="n">
        <v>2</v>
      </c>
      <c r="S752" s="11" t="n">
        <v>44530</v>
      </c>
      <c r="T752" s="8" t="str">
        <f aca="true">IF(S752="","",IF(EDATE(S752,60)&lt;TODAY(),"Expired",IF(EDATE(S752,60)&lt;TODAY()+180,"Expiring Soon","Valid")))</f>
        <v>Valid</v>
      </c>
      <c r="U752" s="8" t="str">
        <f aca="false">IF(P752="","",IF(P752="A++","Top Tier",IF(P752="A+","High",IF(P752="A","Strong",IF(LEFT(P752,1)="B","Acceptable",IF(LEFT(P752,1)="C","Below Avg","-"))))))</f>
        <v>Strong</v>
      </c>
    </row>
    <row r="753" customFormat="false" ht="15" hidden="false" customHeight="true" outlineLevel="0" collapsed="false">
      <c r="A753" s="8" t="n">
        <v>752</v>
      </c>
      <c r="B753" s="8" t="s">
        <v>643</v>
      </c>
      <c r="C753" s="8" t="s">
        <v>335</v>
      </c>
      <c r="D753" s="8" t="s">
        <v>333</v>
      </c>
      <c r="E753" s="9" t="s">
        <v>644</v>
      </c>
      <c r="F753" s="9" t="s">
        <v>306</v>
      </c>
      <c r="G753" s="8" t="s">
        <v>307</v>
      </c>
      <c r="H753" s="8" t="s">
        <v>302</v>
      </c>
      <c r="I753" s="8" t="s">
        <v>291</v>
      </c>
      <c r="J753" s="8" t="s">
        <v>292</v>
      </c>
      <c r="K753" s="8" t="s">
        <v>645</v>
      </c>
      <c r="L753" s="9" t="s">
        <v>646</v>
      </c>
      <c r="M753" s="11" t="n">
        <v>47514</v>
      </c>
      <c r="N753" s="8" t="str">
        <f aca="true">IF(M753="","Active (per Notice 1)",IF(M753&lt;TODAY(),"Expired",IF(M753&lt;TODAY()+180,"Expiring Soon","Active")))</f>
        <v>Active</v>
      </c>
      <c r="O753" s="16" t="s">
        <v>305</v>
      </c>
      <c r="P753" s="8" t="s">
        <v>424</v>
      </c>
      <c r="Q753" s="8" t="n">
        <v>3.08</v>
      </c>
      <c r="R753" s="8" t="n">
        <v>2</v>
      </c>
      <c r="S753" s="11" t="n">
        <v>44530</v>
      </c>
      <c r="T753" s="8" t="str">
        <f aca="true">IF(S753="","",IF(EDATE(S753,60)&lt;TODAY(),"Expired",IF(EDATE(S753,60)&lt;TODAY()+180,"Expiring Soon","Valid")))</f>
        <v>Valid</v>
      </c>
      <c r="U753" s="8" t="str">
        <f aca="false">IF(P753="","",IF(P753="A++","Top Tier",IF(P753="A+","High",IF(P753="A","Strong",IF(LEFT(P753,1)="B","Acceptable",IF(LEFT(P753,1)="C","Below Avg","-"))))))</f>
        <v>Strong</v>
      </c>
    </row>
    <row r="754" customFormat="false" ht="23.25" hidden="false" customHeight="true" outlineLevel="0" collapsed="false">
      <c r="A754" s="8" t="n">
        <v>753</v>
      </c>
      <c r="B754" s="8" t="s">
        <v>647</v>
      </c>
      <c r="C754" s="8" t="s">
        <v>382</v>
      </c>
      <c r="D754" s="8" t="s">
        <v>333</v>
      </c>
      <c r="E754" s="9" t="s">
        <v>648</v>
      </c>
      <c r="F754" s="9" t="s">
        <v>326</v>
      </c>
      <c r="G754" s="8" t="s">
        <v>318</v>
      </c>
      <c r="H754" s="8" t="s">
        <v>290</v>
      </c>
      <c r="I754" s="8" t="s">
        <v>291</v>
      </c>
      <c r="J754" s="8" t="s">
        <v>292</v>
      </c>
      <c r="K754" s="8" t="s">
        <v>645</v>
      </c>
      <c r="L754" s="9" t="s">
        <v>649</v>
      </c>
      <c r="M754" s="11" t="n">
        <v>47542</v>
      </c>
      <c r="N754" s="8" t="str">
        <f aca="true">IF(M754="","Active (per Notice 1)",IF(M754&lt;TODAY(),"Expired",IF(M754&lt;TODAY()+180,"Expiring Soon","Active")))</f>
        <v>Active</v>
      </c>
      <c r="O754" s="16" t="s">
        <v>305</v>
      </c>
      <c r="P754" s="8" t="s">
        <v>424</v>
      </c>
      <c r="Q754" s="8" t="n">
        <v>3.11</v>
      </c>
      <c r="R754" s="8" t="n">
        <v>1</v>
      </c>
      <c r="S754" s="11" t="n">
        <v>45329</v>
      </c>
      <c r="T754" s="8" t="str">
        <f aca="true">IF(S754="","",IF(EDATE(S754,60)&lt;TODAY(),"Expired",IF(EDATE(S754,60)&lt;TODAY()+180,"Expiring Soon","Valid")))</f>
        <v>Valid</v>
      </c>
      <c r="U754" s="8" t="str">
        <f aca="false">IF(P754="","",IF(P754="A++","Top Tier",IF(P754="A+","High",IF(P754="A","Strong",IF(LEFT(P754,1)="B","Acceptable",IF(LEFT(P754,1)="C","Below Avg","-"))))))</f>
        <v>Strong</v>
      </c>
    </row>
    <row r="755" customFormat="false" ht="23.25" hidden="false" customHeight="true" outlineLevel="0" collapsed="false">
      <c r="A755" s="8" t="n">
        <v>754</v>
      </c>
      <c r="B755" s="8" t="s">
        <v>647</v>
      </c>
      <c r="C755" s="8" t="s">
        <v>382</v>
      </c>
      <c r="D755" s="8" t="s">
        <v>333</v>
      </c>
      <c r="E755" s="9" t="s">
        <v>648</v>
      </c>
      <c r="F755" s="9" t="s">
        <v>332</v>
      </c>
      <c r="G755" s="8" t="s">
        <v>304</v>
      </c>
      <c r="H755" s="8" t="s">
        <v>302</v>
      </c>
      <c r="I755" s="8" t="s">
        <v>291</v>
      </c>
      <c r="J755" s="8" t="s">
        <v>292</v>
      </c>
      <c r="K755" s="8" t="s">
        <v>645</v>
      </c>
      <c r="L755" s="9" t="s">
        <v>649</v>
      </c>
      <c r="M755" s="11" t="n">
        <v>47542</v>
      </c>
      <c r="N755" s="8" t="str">
        <f aca="true">IF(M755="","Active (per Notice 1)",IF(M755&lt;TODAY(),"Expired",IF(M755&lt;TODAY()+180,"Expiring Soon","Active")))</f>
        <v>Active</v>
      </c>
      <c r="O755" s="16" t="s">
        <v>305</v>
      </c>
      <c r="P755" s="8" t="s">
        <v>424</v>
      </c>
      <c r="Q755" s="8" t="n">
        <v>3.11</v>
      </c>
      <c r="R755" s="8" t="n">
        <v>1</v>
      </c>
      <c r="S755" s="11" t="n">
        <v>45329</v>
      </c>
      <c r="T755" s="8" t="str">
        <f aca="true">IF(S755="","",IF(EDATE(S755,60)&lt;TODAY(),"Expired",IF(EDATE(S755,60)&lt;TODAY()+180,"Expiring Soon","Valid")))</f>
        <v>Valid</v>
      </c>
      <c r="U755" s="8" t="str">
        <f aca="false">IF(P755="","",IF(P755="A++","Top Tier",IF(P755="A+","High",IF(P755="A","Strong",IF(LEFT(P755,1)="B","Acceptable",IF(LEFT(P755,1)="C","Below Avg","-"))))))</f>
        <v>Strong</v>
      </c>
    </row>
    <row r="756" customFormat="false" ht="23.25" hidden="false" customHeight="true" outlineLevel="0" collapsed="false">
      <c r="A756" s="8" t="n">
        <v>755</v>
      </c>
      <c r="B756" s="8" t="s">
        <v>647</v>
      </c>
      <c r="C756" s="8" t="s">
        <v>382</v>
      </c>
      <c r="D756" s="8" t="s">
        <v>333</v>
      </c>
      <c r="E756" s="9" t="s">
        <v>648</v>
      </c>
      <c r="F756" s="9" t="s">
        <v>306</v>
      </c>
      <c r="G756" s="8" t="s">
        <v>307</v>
      </c>
      <c r="H756" s="8" t="s">
        <v>302</v>
      </c>
      <c r="I756" s="8" t="s">
        <v>291</v>
      </c>
      <c r="J756" s="8" t="s">
        <v>292</v>
      </c>
      <c r="K756" s="8" t="s">
        <v>645</v>
      </c>
      <c r="L756" s="9" t="s">
        <v>649</v>
      </c>
      <c r="M756" s="11" t="n">
        <v>47542</v>
      </c>
      <c r="N756" s="8" t="str">
        <f aca="true">IF(M756="","Active (per Notice 1)",IF(M756&lt;TODAY(),"Expired",IF(M756&lt;TODAY()+180,"Expiring Soon","Active")))</f>
        <v>Active</v>
      </c>
      <c r="O756" s="16" t="s">
        <v>305</v>
      </c>
      <c r="P756" s="8" t="s">
        <v>424</v>
      </c>
      <c r="Q756" s="8" t="n">
        <v>3.11</v>
      </c>
      <c r="R756" s="8" t="n">
        <v>1</v>
      </c>
      <c r="S756" s="11" t="n">
        <v>45329</v>
      </c>
      <c r="T756" s="8" t="str">
        <f aca="true">IF(S756="","",IF(EDATE(S756,60)&lt;TODAY(),"Expired",IF(EDATE(S756,60)&lt;TODAY()+180,"Expiring Soon","Valid")))</f>
        <v>Valid</v>
      </c>
      <c r="U756" s="8" t="str">
        <f aca="false">IF(P756="","",IF(P756="A++","Top Tier",IF(P756="A+","High",IF(P756="A","Strong",IF(LEFT(P756,1)="B","Acceptable",IF(LEFT(P756,1)="C","Below Avg","-"))))))</f>
        <v>Strong</v>
      </c>
    </row>
    <row r="757" customFormat="false" ht="23.25" hidden="false" customHeight="true" outlineLevel="0" collapsed="false">
      <c r="A757" s="8" t="n">
        <v>756</v>
      </c>
      <c r="B757" s="8" t="s">
        <v>650</v>
      </c>
      <c r="C757" s="8" t="s">
        <v>402</v>
      </c>
      <c r="D757" s="8" t="s">
        <v>315</v>
      </c>
      <c r="E757" s="9" t="s">
        <v>412</v>
      </c>
      <c r="F757" s="9" t="s">
        <v>319</v>
      </c>
      <c r="G757" s="8" t="s">
        <v>320</v>
      </c>
      <c r="H757" s="8" t="s">
        <v>290</v>
      </c>
      <c r="I757" s="8" t="s">
        <v>291</v>
      </c>
      <c r="J757" s="8" t="s">
        <v>292</v>
      </c>
      <c r="K757" s="8" t="s">
        <v>645</v>
      </c>
      <c r="L757" s="9" t="s">
        <v>651</v>
      </c>
      <c r="M757" s="11" t="n">
        <v>46053</v>
      </c>
      <c r="N757" s="8" t="str">
        <f aca="true">IF(M757="","Active (per Notice 1)",IF(M757&lt;TODAY(),"Expired",IF(M757&lt;TODAY()+180,"Expiring Soon","Active")))</f>
        <v>Expired</v>
      </c>
      <c r="O757" s="13" t="s">
        <v>292</v>
      </c>
      <c r="P757" s="8" t="s">
        <v>296</v>
      </c>
      <c r="Q757" s="8" t="n">
        <v>3.53</v>
      </c>
      <c r="R757" s="8" t="n">
        <v>2</v>
      </c>
      <c r="S757" s="11" t="n">
        <v>44977</v>
      </c>
      <c r="T757" s="8" t="str">
        <f aca="true">IF(S757="","",IF(EDATE(S757,60)&lt;TODAY(),"Expired",IF(EDATE(S757,60)&lt;TODAY()+180,"Expiring Soon","Valid")))</f>
        <v>Valid</v>
      </c>
      <c r="U757" s="8" t="str">
        <f aca="false">IF(P757="","",IF(P757="A++","Top Tier",IF(P757="A+","High",IF(P757="A","Strong",IF(LEFT(P757,1)="B","Acceptable",IF(LEFT(P757,1)="C","Below Avg","-"))))))</f>
        <v>Top Tier</v>
      </c>
      <c r="Y757" s="8" t="n">
        <v>2</v>
      </c>
      <c r="Z757" s="11" t="n">
        <v>45838</v>
      </c>
      <c r="AA757" s="8" t="s">
        <v>404</v>
      </c>
      <c r="AB757" s="8" t="s">
        <v>329</v>
      </c>
      <c r="AC757" s="8"/>
      <c r="AD757" s="8" t="n">
        <v>96</v>
      </c>
      <c r="AE757" s="8"/>
      <c r="AF757" s="8"/>
      <c r="AG757" s="8"/>
      <c r="AH757" s="8"/>
      <c r="AI757" s="8"/>
      <c r="AJ757" s="8" t="n">
        <v>33</v>
      </c>
      <c r="AK757" s="8"/>
      <c r="AL757" s="8"/>
      <c r="AM757" s="8"/>
      <c r="AN757" s="8"/>
      <c r="AO757" s="8"/>
      <c r="AP757" s="8"/>
      <c r="AQ757" s="8"/>
      <c r="AR757" s="8"/>
      <c r="AS757" s="8"/>
    </row>
    <row r="758" customFormat="false" ht="23.25" hidden="false" customHeight="true" outlineLevel="0" collapsed="false">
      <c r="A758" s="8" t="n">
        <v>757</v>
      </c>
      <c r="B758" s="8" t="s">
        <v>650</v>
      </c>
      <c r="C758" s="8" t="s">
        <v>402</v>
      </c>
      <c r="D758" s="8" t="s">
        <v>315</v>
      </c>
      <c r="E758" s="9" t="s">
        <v>412</v>
      </c>
      <c r="F758" s="9" t="s">
        <v>317</v>
      </c>
      <c r="G758" s="8" t="s">
        <v>318</v>
      </c>
      <c r="H758" s="8" t="s">
        <v>290</v>
      </c>
      <c r="I758" s="8" t="s">
        <v>291</v>
      </c>
      <c r="J758" s="8" t="s">
        <v>292</v>
      </c>
      <c r="K758" s="8" t="s">
        <v>645</v>
      </c>
      <c r="L758" s="9" t="s">
        <v>651</v>
      </c>
      <c r="M758" s="11" t="n">
        <v>46053</v>
      </c>
      <c r="N758" s="8" t="str">
        <f aca="true">IF(M758="","Active (per Notice 1)",IF(M758&lt;TODAY(),"Expired",IF(M758&lt;TODAY()+180,"Expiring Soon","Active")))</f>
        <v>Expired</v>
      </c>
      <c r="O758" s="13" t="s">
        <v>292</v>
      </c>
      <c r="P758" s="8" t="s">
        <v>296</v>
      </c>
      <c r="Q758" s="8" t="n">
        <v>3.53</v>
      </c>
      <c r="R758" s="8" t="n">
        <v>2</v>
      </c>
      <c r="S758" s="11" t="n">
        <v>44977</v>
      </c>
      <c r="T758" s="8" t="str">
        <f aca="true">IF(S758="","",IF(EDATE(S758,60)&lt;TODAY(),"Expired",IF(EDATE(S758,60)&lt;TODAY()+180,"Expiring Soon","Valid")))</f>
        <v>Valid</v>
      </c>
      <c r="U758" s="8" t="str">
        <f aca="false">IF(P758="","",IF(P758="A++","Top Tier",IF(P758="A+","High",IF(P758="A","Strong",IF(LEFT(P758,1)="B","Acceptable",IF(LEFT(P758,1)="C","Below Avg","-"))))))</f>
        <v>Top Tier</v>
      </c>
      <c r="Y758" s="8" t="n">
        <v>2</v>
      </c>
      <c r="Z758" s="11" t="n">
        <v>45838</v>
      </c>
      <c r="AA758" s="8" t="s">
        <v>404</v>
      </c>
      <c r="AB758" s="8" t="s">
        <v>329</v>
      </c>
      <c r="AC758" s="8"/>
      <c r="AD758" s="8" t="n">
        <v>96</v>
      </c>
      <c r="AE758" s="8"/>
      <c r="AF758" s="8"/>
      <c r="AG758" s="8"/>
      <c r="AH758" s="8"/>
      <c r="AI758" s="8"/>
      <c r="AJ758" s="8" t="n">
        <v>33</v>
      </c>
      <c r="AK758" s="8"/>
      <c r="AL758" s="8"/>
      <c r="AM758" s="8"/>
      <c r="AN758" s="8"/>
      <c r="AO758" s="8"/>
      <c r="AP758" s="8"/>
      <c r="AQ758" s="8"/>
      <c r="AR758" s="8"/>
      <c r="AS758" s="8"/>
    </row>
    <row r="759" customFormat="false" ht="23.25" hidden="false" customHeight="true" outlineLevel="0" collapsed="false">
      <c r="A759" s="8" t="n">
        <v>758</v>
      </c>
      <c r="B759" s="8" t="s">
        <v>650</v>
      </c>
      <c r="C759" s="8" t="s">
        <v>402</v>
      </c>
      <c r="D759" s="8" t="s">
        <v>315</v>
      </c>
      <c r="E759" s="9" t="s">
        <v>412</v>
      </c>
      <c r="F759" s="9" t="s">
        <v>652</v>
      </c>
      <c r="G759" s="8" t="s">
        <v>298</v>
      </c>
      <c r="H759" s="8" t="s">
        <v>290</v>
      </c>
      <c r="I759" s="8" t="s">
        <v>291</v>
      </c>
      <c r="J759" s="8" t="s">
        <v>292</v>
      </c>
      <c r="K759" s="8" t="s">
        <v>645</v>
      </c>
      <c r="L759" s="9" t="s">
        <v>651</v>
      </c>
      <c r="M759" s="11" t="n">
        <v>46053</v>
      </c>
      <c r="N759" s="8" t="str">
        <f aca="true">IF(M759="","Active (per Notice 1)",IF(M759&lt;TODAY(),"Expired",IF(M759&lt;TODAY()+180,"Expiring Soon","Active")))</f>
        <v>Expired</v>
      </c>
      <c r="O759" s="17" t="s">
        <v>295</v>
      </c>
      <c r="P759" s="8" t="s">
        <v>296</v>
      </c>
      <c r="Q759" s="8" t="n">
        <v>3.53</v>
      </c>
      <c r="R759" s="8" t="n">
        <v>2</v>
      </c>
      <c r="S759" s="11" t="n">
        <v>44977</v>
      </c>
      <c r="T759" s="8" t="str">
        <f aca="true">IF(S759="","",IF(EDATE(S759,60)&lt;TODAY(),"Expired",IF(EDATE(S759,60)&lt;TODAY()+180,"Expiring Soon","Valid")))</f>
        <v>Valid</v>
      </c>
      <c r="U759" s="8" t="str">
        <f aca="false">IF(P759="","",IF(P759="A++","Top Tier",IF(P759="A+","High",IF(P759="A","Strong",IF(LEFT(P759,1)="B","Acceptable",IF(LEFT(P759,1)="C","Below Avg","-"))))))</f>
        <v>Top Tier</v>
      </c>
      <c r="Y759" s="8" t="n">
        <v>2</v>
      </c>
      <c r="Z759" s="11" t="n">
        <v>45838</v>
      </c>
      <c r="AA759" s="8" t="s">
        <v>404</v>
      </c>
      <c r="AB759" s="8" t="s">
        <v>329</v>
      </c>
      <c r="AC759" s="8"/>
      <c r="AD759" s="8" t="n">
        <v>96</v>
      </c>
      <c r="AE759" s="8"/>
      <c r="AF759" s="8"/>
      <c r="AG759" s="8"/>
      <c r="AH759" s="8"/>
      <c r="AI759" s="8"/>
      <c r="AJ759" s="8" t="n">
        <v>33</v>
      </c>
      <c r="AK759" s="8"/>
      <c r="AL759" s="8"/>
      <c r="AM759" s="8"/>
      <c r="AN759" s="8"/>
      <c r="AO759" s="8"/>
      <c r="AP759" s="8"/>
      <c r="AQ759" s="8"/>
      <c r="AR759" s="8"/>
      <c r="AS759" s="8"/>
    </row>
    <row r="760" customFormat="false" ht="23.25" hidden="false" customHeight="true" outlineLevel="0" collapsed="false">
      <c r="A760" s="8" t="n">
        <v>759</v>
      </c>
      <c r="B760" s="8" t="s">
        <v>650</v>
      </c>
      <c r="C760" s="8" t="s">
        <v>402</v>
      </c>
      <c r="D760" s="8" t="s">
        <v>315</v>
      </c>
      <c r="E760" s="9" t="s">
        <v>412</v>
      </c>
      <c r="F760" s="9" t="s">
        <v>299</v>
      </c>
      <c r="G760" s="8" t="s">
        <v>289</v>
      </c>
      <c r="H760" s="8" t="s">
        <v>290</v>
      </c>
      <c r="I760" s="8" t="s">
        <v>291</v>
      </c>
      <c r="J760" s="8" t="s">
        <v>292</v>
      </c>
      <c r="K760" s="8" t="s">
        <v>645</v>
      </c>
      <c r="L760" s="9" t="s">
        <v>651</v>
      </c>
      <c r="M760" s="11" t="n">
        <v>46053</v>
      </c>
      <c r="N760" s="8" t="str">
        <f aca="true">IF(M760="","Active (per Notice 1)",IF(M760&lt;TODAY(),"Expired",IF(M760&lt;TODAY()+180,"Expiring Soon","Active")))</f>
        <v>Expired</v>
      </c>
      <c r="O760" s="17" t="s">
        <v>295</v>
      </c>
      <c r="P760" s="8" t="s">
        <v>296</v>
      </c>
      <c r="Q760" s="8" t="n">
        <v>3.53</v>
      </c>
      <c r="R760" s="8" t="n">
        <v>2</v>
      </c>
      <c r="S760" s="11" t="n">
        <v>44977</v>
      </c>
      <c r="T760" s="8" t="str">
        <f aca="true">IF(S760="","",IF(EDATE(S760,60)&lt;TODAY(),"Expired",IF(EDATE(S760,60)&lt;TODAY()+180,"Expiring Soon","Valid")))</f>
        <v>Valid</v>
      </c>
      <c r="U760" s="8" t="str">
        <f aca="false">IF(P760="","",IF(P760="A++","Top Tier",IF(P760="A+","High",IF(P760="A","Strong",IF(LEFT(P760,1)="B","Acceptable",IF(LEFT(P760,1)="C","Below Avg","-"))))))</f>
        <v>Top Tier</v>
      </c>
      <c r="Y760" s="8" t="n">
        <v>2</v>
      </c>
      <c r="Z760" s="11" t="n">
        <v>45838</v>
      </c>
      <c r="AA760" s="8" t="s">
        <v>404</v>
      </c>
      <c r="AB760" s="8" t="s">
        <v>329</v>
      </c>
      <c r="AC760" s="8"/>
      <c r="AD760" s="8" t="n">
        <v>96</v>
      </c>
      <c r="AE760" s="8"/>
      <c r="AF760" s="8"/>
      <c r="AG760" s="8"/>
      <c r="AH760" s="8"/>
      <c r="AI760" s="8"/>
      <c r="AJ760" s="8" t="n">
        <v>33</v>
      </c>
      <c r="AK760" s="8"/>
      <c r="AL760" s="8"/>
      <c r="AM760" s="8"/>
      <c r="AN760" s="8"/>
      <c r="AO760" s="8"/>
      <c r="AP760" s="8"/>
      <c r="AQ760" s="8"/>
      <c r="AR760" s="8"/>
      <c r="AS760" s="8"/>
    </row>
    <row r="761" customFormat="false" ht="23.25" hidden="false" customHeight="true" outlineLevel="0" collapsed="false">
      <c r="A761" s="8" t="n">
        <v>760</v>
      </c>
      <c r="B761" s="8" t="s">
        <v>650</v>
      </c>
      <c r="C761" s="8" t="s">
        <v>402</v>
      </c>
      <c r="D761" s="8" t="s">
        <v>315</v>
      </c>
      <c r="E761" s="9" t="s">
        <v>412</v>
      </c>
      <c r="F761" s="9" t="s">
        <v>308</v>
      </c>
      <c r="G761" s="8" t="s">
        <v>309</v>
      </c>
      <c r="H761" s="8" t="s">
        <v>302</v>
      </c>
      <c r="I761" s="8" t="s">
        <v>291</v>
      </c>
      <c r="J761" s="8" t="s">
        <v>292</v>
      </c>
      <c r="K761" s="8" t="s">
        <v>645</v>
      </c>
      <c r="L761" s="9" t="s">
        <v>651</v>
      </c>
      <c r="M761" s="11" t="n">
        <v>46053</v>
      </c>
      <c r="N761" s="8" t="str">
        <f aca="true">IF(M761="","Active (per Notice 1)",IF(M761&lt;TODAY(),"Expired",IF(M761&lt;TODAY()+180,"Expiring Soon","Active")))</f>
        <v>Expired</v>
      </c>
      <c r="O761" s="17" t="s">
        <v>295</v>
      </c>
      <c r="P761" s="8" t="s">
        <v>296</v>
      </c>
      <c r="Q761" s="8" t="n">
        <v>3.53</v>
      </c>
      <c r="R761" s="8" t="n">
        <v>2</v>
      </c>
      <c r="S761" s="11" t="n">
        <v>44977</v>
      </c>
      <c r="T761" s="8" t="str">
        <f aca="true">IF(S761="","",IF(EDATE(S761,60)&lt;TODAY(),"Expired",IF(EDATE(S761,60)&lt;TODAY()+180,"Expiring Soon","Valid")))</f>
        <v>Valid</v>
      </c>
      <c r="U761" s="8" t="str">
        <f aca="false">IF(P761="","",IF(P761="A++","Top Tier",IF(P761="A+","High",IF(P761="A","Strong",IF(LEFT(P761,1)="B","Acceptable",IF(LEFT(P761,1)="C","Below Avg","-"))))))</f>
        <v>Top Tier</v>
      </c>
      <c r="Y761" s="8" t="n">
        <v>2</v>
      </c>
      <c r="Z761" s="11" t="n">
        <v>45838</v>
      </c>
      <c r="AA761" s="8" t="s">
        <v>404</v>
      </c>
      <c r="AB761" s="8" t="s">
        <v>329</v>
      </c>
      <c r="AC761" s="8"/>
      <c r="AD761" s="8" t="n">
        <v>96</v>
      </c>
      <c r="AE761" s="8"/>
      <c r="AF761" s="8"/>
      <c r="AG761" s="8"/>
      <c r="AH761" s="8"/>
      <c r="AI761" s="8"/>
      <c r="AJ761" s="8" t="n">
        <v>33</v>
      </c>
      <c r="AK761" s="8"/>
      <c r="AL761" s="8"/>
      <c r="AM761" s="8"/>
      <c r="AN761" s="8"/>
      <c r="AO761" s="8"/>
      <c r="AP761" s="8"/>
      <c r="AQ761" s="8"/>
      <c r="AR761" s="8"/>
      <c r="AS761" s="8"/>
    </row>
    <row r="762" customFormat="false" ht="15" hidden="false" customHeight="true" outlineLevel="0" collapsed="false">
      <c r="A762" s="8" t="n">
        <v>761</v>
      </c>
      <c r="B762" s="8" t="s">
        <v>653</v>
      </c>
      <c r="C762" s="8" t="s">
        <v>402</v>
      </c>
      <c r="D762" s="8" t="s">
        <v>333</v>
      </c>
      <c r="E762" s="9" t="s">
        <v>654</v>
      </c>
      <c r="F762" s="9" t="s">
        <v>299</v>
      </c>
      <c r="G762" s="8" t="s">
        <v>289</v>
      </c>
      <c r="H762" s="8" t="s">
        <v>290</v>
      </c>
      <c r="I762" s="8" t="s">
        <v>291</v>
      </c>
      <c r="J762" s="8" t="s">
        <v>292</v>
      </c>
      <c r="K762" s="8" t="s">
        <v>645</v>
      </c>
      <c r="L762" s="9" t="s">
        <v>655</v>
      </c>
      <c r="M762" s="11" t="n">
        <v>46783</v>
      </c>
      <c r="N762" s="8" t="str">
        <f aca="true">IF(M762="","Active (per Notice 1)",IF(M762&lt;TODAY(),"Expired",IF(M762&lt;TODAY()+180,"Expiring Soon","Active")))</f>
        <v>Active</v>
      </c>
      <c r="O762" s="17" t="s">
        <v>295</v>
      </c>
      <c r="P762" s="8" t="s">
        <v>424</v>
      </c>
      <c r="Q762" s="8" t="n">
        <v>3.02</v>
      </c>
      <c r="R762" s="8" t="n">
        <v>2</v>
      </c>
      <c r="S762" s="11" t="n">
        <v>44775</v>
      </c>
      <c r="T762" s="8" t="str">
        <f aca="true">IF(S762="","",IF(EDATE(S762,60)&lt;TODAY(),"Expired",IF(EDATE(S762,60)&lt;TODAY()+180,"Expiring Soon","Valid")))</f>
        <v>Valid</v>
      </c>
      <c r="U762" s="8" t="str">
        <f aca="false">IF(P762="","",IF(P762="A++","Top Tier",IF(P762="A+","High",IF(P762="A","Strong",IF(LEFT(P762,1)="B","Acceptable",IF(LEFT(P762,1)="C","Below Avg","-"))))))</f>
        <v>Strong</v>
      </c>
    </row>
    <row r="763" customFormat="false" ht="15" hidden="false" customHeight="true" outlineLevel="0" collapsed="false">
      <c r="A763" s="8" t="n">
        <v>762</v>
      </c>
      <c r="B763" s="8" t="s">
        <v>653</v>
      </c>
      <c r="C763" s="8" t="s">
        <v>402</v>
      </c>
      <c r="D763" s="8" t="s">
        <v>333</v>
      </c>
      <c r="E763" s="9" t="s">
        <v>654</v>
      </c>
      <c r="F763" s="9" t="s">
        <v>317</v>
      </c>
      <c r="G763" s="8" t="s">
        <v>318</v>
      </c>
      <c r="H763" s="8" t="s">
        <v>290</v>
      </c>
      <c r="I763" s="8" t="s">
        <v>291</v>
      </c>
      <c r="J763" s="8" t="s">
        <v>292</v>
      </c>
      <c r="K763" s="8" t="s">
        <v>645</v>
      </c>
      <c r="L763" s="9" t="s">
        <v>655</v>
      </c>
      <c r="M763" s="11" t="n">
        <v>46783</v>
      </c>
      <c r="N763" s="8" t="str">
        <f aca="true">IF(M763="","Active (per Notice 1)",IF(M763&lt;TODAY(),"Expired",IF(M763&lt;TODAY()+180,"Expiring Soon","Active")))</f>
        <v>Active</v>
      </c>
      <c r="O763" s="16" t="s">
        <v>305</v>
      </c>
      <c r="P763" s="8" t="s">
        <v>424</v>
      </c>
      <c r="Q763" s="8" t="n">
        <v>3.02</v>
      </c>
      <c r="R763" s="8" t="n">
        <v>2</v>
      </c>
      <c r="S763" s="11" t="n">
        <v>44775</v>
      </c>
      <c r="T763" s="8" t="str">
        <f aca="true">IF(S763="","",IF(EDATE(S763,60)&lt;TODAY(),"Expired",IF(EDATE(S763,60)&lt;TODAY()+180,"Expiring Soon","Valid")))</f>
        <v>Valid</v>
      </c>
      <c r="U763" s="8" t="str">
        <f aca="false">IF(P763="","",IF(P763="A++","Top Tier",IF(P763="A+","High",IF(P763="A","Strong",IF(LEFT(P763,1)="B","Acceptable",IF(LEFT(P763,1)="C","Below Avg","-"))))))</f>
        <v>Strong</v>
      </c>
    </row>
    <row r="764" customFormat="false" ht="15" hidden="false" customHeight="true" outlineLevel="0" collapsed="false">
      <c r="A764" s="8" t="n">
        <v>763</v>
      </c>
      <c r="B764" s="8" t="s">
        <v>656</v>
      </c>
      <c r="C764" s="8" t="s">
        <v>422</v>
      </c>
      <c r="D764" s="8" t="s">
        <v>333</v>
      </c>
      <c r="E764" s="9" t="s">
        <v>657</v>
      </c>
      <c r="F764" s="9" t="s">
        <v>317</v>
      </c>
      <c r="G764" s="8" t="s">
        <v>318</v>
      </c>
      <c r="H764" s="8" t="s">
        <v>290</v>
      </c>
      <c r="I764" s="8" t="s">
        <v>291</v>
      </c>
      <c r="J764" s="8" t="s">
        <v>292</v>
      </c>
      <c r="K764" s="8" t="s">
        <v>645</v>
      </c>
      <c r="L764" s="9" t="s">
        <v>658</v>
      </c>
      <c r="M764" s="11" t="n">
        <v>47361</v>
      </c>
      <c r="N764" s="8" t="str">
        <f aca="true">IF(M764="","Active (per Notice 1)",IF(M764&lt;TODAY(),"Expired",IF(M764&lt;TODAY()+180,"Expiring Soon","Active")))</f>
        <v>Active</v>
      </c>
      <c r="O764" s="16" t="s">
        <v>305</v>
      </c>
      <c r="P764" s="8" t="s">
        <v>424</v>
      </c>
      <c r="Q764" s="8" t="n">
        <v>3.15</v>
      </c>
      <c r="R764" s="8" t="n">
        <v>1</v>
      </c>
      <c r="S764" s="11" t="n">
        <v>45344</v>
      </c>
      <c r="T764" s="8" t="str">
        <f aca="true">IF(S764="","",IF(EDATE(S764,60)&lt;TODAY(),"Expired",IF(EDATE(S764,60)&lt;TODAY()+180,"Expiring Soon","Valid")))</f>
        <v>Valid</v>
      </c>
      <c r="U764" s="8" t="str">
        <f aca="false">IF(P764="","",IF(P764="A++","Top Tier",IF(P764="A+","High",IF(P764="A","Strong",IF(LEFT(P764,1)="B","Acceptable",IF(LEFT(P764,1)="C","Below Avg","-"))))))</f>
        <v>Strong</v>
      </c>
    </row>
    <row r="765" customFormat="false" ht="15" hidden="false" customHeight="true" outlineLevel="0" collapsed="false">
      <c r="A765" s="8" t="n">
        <v>764</v>
      </c>
      <c r="B765" s="8" t="s">
        <v>656</v>
      </c>
      <c r="C765" s="8" t="s">
        <v>422</v>
      </c>
      <c r="D765" s="8" t="s">
        <v>333</v>
      </c>
      <c r="E765" s="9" t="s">
        <v>657</v>
      </c>
      <c r="F765" s="9" t="s">
        <v>332</v>
      </c>
      <c r="G765" s="8" t="s">
        <v>304</v>
      </c>
      <c r="H765" s="8" t="s">
        <v>302</v>
      </c>
      <c r="I765" s="8" t="s">
        <v>291</v>
      </c>
      <c r="J765" s="8" t="s">
        <v>292</v>
      </c>
      <c r="K765" s="8" t="s">
        <v>645</v>
      </c>
      <c r="L765" s="9" t="s">
        <v>658</v>
      </c>
      <c r="M765" s="11" t="n">
        <v>47361</v>
      </c>
      <c r="N765" s="8" t="str">
        <f aca="true">IF(M765="","Active (per Notice 1)",IF(M765&lt;TODAY(),"Expired",IF(M765&lt;TODAY()+180,"Expiring Soon","Active")))</f>
        <v>Active</v>
      </c>
      <c r="O765" s="16" t="s">
        <v>305</v>
      </c>
      <c r="P765" s="8" t="s">
        <v>424</v>
      </c>
      <c r="Q765" s="8" t="n">
        <v>3.15</v>
      </c>
      <c r="R765" s="8" t="n">
        <v>1</v>
      </c>
      <c r="S765" s="11" t="n">
        <v>45344</v>
      </c>
      <c r="T765" s="8" t="str">
        <f aca="true">IF(S765="","",IF(EDATE(S765,60)&lt;TODAY(),"Expired",IF(EDATE(S765,60)&lt;TODAY()+180,"Expiring Soon","Valid")))</f>
        <v>Valid</v>
      </c>
      <c r="U765" s="8" t="str">
        <f aca="false">IF(P765="","",IF(P765="A++","Top Tier",IF(P765="A+","High",IF(P765="A","Strong",IF(LEFT(P765,1)="B","Acceptable",IF(LEFT(P765,1)="C","Below Avg","-"))))))</f>
        <v>Strong</v>
      </c>
    </row>
    <row r="766" customFormat="false" ht="15" hidden="false" customHeight="true" outlineLevel="0" collapsed="false">
      <c r="A766" s="8" t="n">
        <v>765</v>
      </c>
      <c r="B766" s="8" t="s">
        <v>656</v>
      </c>
      <c r="C766" s="8" t="s">
        <v>422</v>
      </c>
      <c r="D766" s="8" t="s">
        <v>333</v>
      </c>
      <c r="E766" s="9" t="s">
        <v>657</v>
      </c>
      <c r="F766" s="9" t="s">
        <v>319</v>
      </c>
      <c r="G766" s="8" t="s">
        <v>320</v>
      </c>
      <c r="H766" s="8" t="s">
        <v>290</v>
      </c>
      <c r="I766" s="8" t="s">
        <v>291</v>
      </c>
      <c r="J766" s="8" t="s">
        <v>292</v>
      </c>
      <c r="K766" s="8" t="s">
        <v>645</v>
      </c>
      <c r="L766" s="9" t="s">
        <v>646</v>
      </c>
      <c r="M766" s="11" t="n">
        <v>47514</v>
      </c>
      <c r="N766" s="8" t="str">
        <f aca="true">IF(M766="","Active (per Notice 1)",IF(M766&lt;TODAY(),"Expired",IF(M766&lt;TODAY()+180,"Expiring Soon","Active")))</f>
        <v>Active</v>
      </c>
      <c r="O766" s="16" t="s">
        <v>305</v>
      </c>
      <c r="P766" s="8" t="s">
        <v>424</v>
      </c>
      <c r="Q766" s="8" t="n">
        <v>3.15</v>
      </c>
      <c r="R766" s="8" t="n">
        <v>1</v>
      </c>
      <c r="S766" s="11" t="n">
        <v>45344</v>
      </c>
      <c r="T766" s="8" t="str">
        <f aca="true">IF(S766="","",IF(EDATE(S766,60)&lt;TODAY(),"Expired",IF(EDATE(S766,60)&lt;TODAY()+180,"Expiring Soon","Valid")))</f>
        <v>Valid</v>
      </c>
      <c r="U766" s="8" t="str">
        <f aca="false">IF(P766="","",IF(P766="A++","Top Tier",IF(P766="A+","High",IF(P766="A","Strong",IF(LEFT(P766,1)="B","Acceptable",IF(LEFT(P766,1)="C","Below Avg","-"))))))</f>
        <v>Strong</v>
      </c>
    </row>
    <row r="767" customFormat="false" ht="15" hidden="false" customHeight="true" outlineLevel="0" collapsed="false">
      <c r="A767" s="8" t="n">
        <v>766</v>
      </c>
      <c r="B767" s="8" t="s">
        <v>656</v>
      </c>
      <c r="C767" s="8" t="s">
        <v>422</v>
      </c>
      <c r="D767" s="8" t="s">
        <v>333</v>
      </c>
      <c r="E767" s="9" t="s">
        <v>657</v>
      </c>
      <c r="F767" s="9" t="s">
        <v>306</v>
      </c>
      <c r="G767" s="8" t="s">
        <v>307</v>
      </c>
      <c r="H767" s="8" t="s">
        <v>302</v>
      </c>
      <c r="I767" s="8" t="s">
        <v>291</v>
      </c>
      <c r="J767" s="8" t="s">
        <v>292</v>
      </c>
      <c r="K767" s="8" t="s">
        <v>645</v>
      </c>
      <c r="L767" s="9" t="s">
        <v>646</v>
      </c>
      <c r="M767" s="11" t="n">
        <v>47514</v>
      </c>
      <c r="N767" s="8" t="str">
        <f aca="true">IF(M767="","Active (per Notice 1)",IF(M767&lt;TODAY(),"Expired",IF(M767&lt;TODAY()+180,"Expiring Soon","Active")))</f>
        <v>Active</v>
      </c>
      <c r="O767" s="16" t="s">
        <v>305</v>
      </c>
      <c r="P767" s="8" t="s">
        <v>424</v>
      </c>
      <c r="Q767" s="8" t="n">
        <v>3.15</v>
      </c>
      <c r="R767" s="8" t="n">
        <v>1</v>
      </c>
      <c r="S767" s="11" t="n">
        <v>45344</v>
      </c>
      <c r="T767" s="8" t="str">
        <f aca="true">IF(S767="","",IF(EDATE(S767,60)&lt;TODAY(),"Expired",IF(EDATE(S767,60)&lt;TODAY()+180,"Expiring Soon","Valid")))</f>
        <v>Valid</v>
      </c>
      <c r="U767" s="8" t="str">
        <f aca="false">IF(P767="","",IF(P767="A++","Top Tier",IF(P767="A+","High",IF(P767="A","Strong",IF(LEFT(P767,1)="B","Acceptable",IF(LEFT(P767,1)="C","Below Avg","-"))))))</f>
        <v>Strong</v>
      </c>
    </row>
    <row r="768" customFormat="false" ht="15" hidden="false" customHeight="true" outlineLevel="0" collapsed="false">
      <c r="A768" s="8" t="n">
        <v>767</v>
      </c>
      <c r="B768" s="8" t="s">
        <v>656</v>
      </c>
      <c r="C768" s="8" t="s">
        <v>422</v>
      </c>
      <c r="D768" s="8" t="s">
        <v>333</v>
      </c>
      <c r="E768" s="9" t="s">
        <v>657</v>
      </c>
      <c r="F768" s="9" t="s">
        <v>359</v>
      </c>
      <c r="G768" s="8" t="s">
        <v>289</v>
      </c>
      <c r="H768" s="8" t="s">
        <v>290</v>
      </c>
      <c r="I768" s="8" t="s">
        <v>291</v>
      </c>
      <c r="J768" s="8" t="s">
        <v>292</v>
      </c>
      <c r="K768" s="8" t="s">
        <v>645</v>
      </c>
      <c r="L768" s="9" t="s">
        <v>646</v>
      </c>
      <c r="M768" s="11" t="n">
        <v>47514</v>
      </c>
      <c r="N768" s="8" t="str">
        <f aca="true">IF(M768="","Active (per Notice 1)",IF(M768&lt;TODAY(),"Expired",IF(M768&lt;TODAY()+180,"Expiring Soon","Active")))</f>
        <v>Active</v>
      </c>
      <c r="O768" s="17" t="s">
        <v>295</v>
      </c>
      <c r="P768" s="8" t="s">
        <v>424</v>
      </c>
      <c r="Q768" s="8" t="n">
        <v>3.15</v>
      </c>
      <c r="R768" s="8" t="n">
        <v>1</v>
      </c>
      <c r="S768" s="11" t="n">
        <v>45344</v>
      </c>
      <c r="T768" s="8" t="str">
        <f aca="true">IF(S768="","",IF(EDATE(S768,60)&lt;TODAY(),"Expired",IF(EDATE(S768,60)&lt;TODAY()+180,"Expiring Soon","Valid")))</f>
        <v>Valid</v>
      </c>
      <c r="U768" s="8" t="str">
        <f aca="false">IF(P768="","",IF(P768="A++","Top Tier",IF(P768="A+","High",IF(P768="A","Strong",IF(LEFT(P768,1)="B","Acceptable",IF(LEFT(P768,1)="C","Below Avg","-"))))))</f>
        <v>Strong</v>
      </c>
    </row>
    <row r="769" customFormat="false" ht="15" hidden="false" customHeight="true" outlineLevel="0" collapsed="false">
      <c r="A769" s="8" t="n">
        <v>768</v>
      </c>
      <c r="B769" s="8" t="s">
        <v>659</v>
      </c>
      <c r="C769" s="8" t="s">
        <v>543</v>
      </c>
      <c r="D769" s="8" t="s">
        <v>333</v>
      </c>
      <c r="E769" s="9" t="s">
        <v>660</v>
      </c>
      <c r="F769" s="9" t="s">
        <v>317</v>
      </c>
      <c r="G769" s="8" t="s">
        <v>318</v>
      </c>
      <c r="H769" s="8" t="s">
        <v>290</v>
      </c>
      <c r="I769" s="8" t="s">
        <v>291</v>
      </c>
      <c r="J769" s="8" t="s">
        <v>292</v>
      </c>
      <c r="K769" s="8" t="s">
        <v>645</v>
      </c>
      <c r="L769" s="9" t="s">
        <v>661</v>
      </c>
      <c r="M769" s="11" t="n">
        <v>46965</v>
      </c>
      <c r="N769" s="8" t="str">
        <f aca="true">IF(M769="","Active (per Notice 1)",IF(M769&lt;TODAY(),"Expired",IF(M769&lt;TODAY()+180,"Expiring Soon","Active")))</f>
        <v>Active</v>
      </c>
      <c r="O769" s="16" t="s">
        <v>305</v>
      </c>
      <c r="P769" s="8" t="s">
        <v>424</v>
      </c>
      <c r="Q769" s="8" t="n">
        <v>3.01</v>
      </c>
      <c r="R769" s="8" t="n">
        <v>2</v>
      </c>
      <c r="S769" s="11" t="n">
        <v>44740</v>
      </c>
      <c r="T769" s="8" t="str">
        <f aca="true">IF(S769="","",IF(EDATE(S769,60)&lt;TODAY(),"Expired",IF(EDATE(S769,60)&lt;TODAY()+180,"Expiring Soon","Valid")))</f>
        <v>Valid</v>
      </c>
      <c r="U769" s="8" t="str">
        <f aca="false">IF(P769="","",IF(P769="A++","Top Tier",IF(P769="A+","High",IF(P769="A","Strong",IF(LEFT(P769,1)="B","Acceptable",IF(LEFT(P769,1)="C","Below Avg","-"))))))</f>
        <v>Strong</v>
      </c>
    </row>
    <row r="770" customFormat="false" ht="15" hidden="false" customHeight="true" outlineLevel="0" collapsed="false">
      <c r="A770" s="8" t="n">
        <v>769</v>
      </c>
      <c r="B770" s="8" t="s">
        <v>659</v>
      </c>
      <c r="C770" s="8" t="s">
        <v>543</v>
      </c>
      <c r="D770" s="8" t="s">
        <v>333</v>
      </c>
      <c r="E770" s="9" t="s">
        <v>660</v>
      </c>
      <c r="F770" s="9" t="s">
        <v>299</v>
      </c>
      <c r="G770" s="8" t="s">
        <v>289</v>
      </c>
      <c r="H770" s="8" t="s">
        <v>290</v>
      </c>
      <c r="I770" s="8" t="s">
        <v>291</v>
      </c>
      <c r="J770" s="8" t="s">
        <v>292</v>
      </c>
      <c r="K770" s="8" t="s">
        <v>645</v>
      </c>
      <c r="L770" s="9" t="s">
        <v>662</v>
      </c>
      <c r="M770" s="11" t="n">
        <v>47149</v>
      </c>
      <c r="N770" s="8" t="str">
        <f aca="true">IF(M770="","Active (per Notice 1)",IF(M770&lt;TODAY(),"Expired",IF(M770&lt;TODAY()+180,"Expiring Soon","Active")))</f>
        <v>Active</v>
      </c>
      <c r="O770" s="17" t="s">
        <v>295</v>
      </c>
      <c r="P770" s="8" t="s">
        <v>424</v>
      </c>
      <c r="Q770" s="8" t="n">
        <v>3.01</v>
      </c>
      <c r="R770" s="8" t="n">
        <v>2</v>
      </c>
      <c r="S770" s="11" t="n">
        <v>44740</v>
      </c>
      <c r="T770" s="8" t="str">
        <f aca="true">IF(S770="","",IF(EDATE(S770,60)&lt;TODAY(),"Expired",IF(EDATE(S770,60)&lt;TODAY()+180,"Expiring Soon","Valid")))</f>
        <v>Valid</v>
      </c>
      <c r="U770" s="8" t="str">
        <f aca="false">IF(P770="","",IF(P770="A++","Top Tier",IF(P770="A+","High",IF(P770="A","Strong",IF(LEFT(P770,1)="B","Acceptable",IF(LEFT(P770,1)="C","Below Avg","-"))))))</f>
        <v>Strong</v>
      </c>
    </row>
    <row r="771" customFormat="false" ht="15" hidden="false" customHeight="true" outlineLevel="0" collapsed="false">
      <c r="A771" s="8" t="n">
        <v>770</v>
      </c>
      <c r="B771" s="8" t="s">
        <v>659</v>
      </c>
      <c r="C771" s="8" t="s">
        <v>543</v>
      </c>
      <c r="D771" s="8" t="s">
        <v>333</v>
      </c>
      <c r="E771" s="9" t="s">
        <v>660</v>
      </c>
      <c r="F771" s="9" t="s">
        <v>524</v>
      </c>
      <c r="G771" s="8" t="s">
        <v>298</v>
      </c>
      <c r="H771" s="8" t="s">
        <v>290</v>
      </c>
      <c r="I771" s="8" t="s">
        <v>291</v>
      </c>
      <c r="J771" s="8" t="s">
        <v>292</v>
      </c>
      <c r="K771" s="8" t="s">
        <v>645</v>
      </c>
      <c r="L771" s="9" t="s">
        <v>662</v>
      </c>
      <c r="M771" s="11" t="n">
        <v>47149</v>
      </c>
      <c r="N771" s="8" t="str">
        <f aca="true">IF(M771="","Active (per Notice 1)",IF(M771&lt;TODAY(),"Expired",IF(M771&lt;TODAY()+180,"Expiring Soon","Active")))</f>
        <v>Active</v>
      </c>
      <c r="O771" s="17" t="s">
        <v>295</v>
      </c>
      <c r="P771" s="8" t="s">
        <v>424</v>
      </c>
      <c r="Q771" s="8" t="n">
        <v>3.01</v>
      </c>
      <c r="R771" s="8" t="n">
        <v>2</v>
      </c>
      <c r="S771" s="11" t="n">
        <v>44740</v>
      </c>
      <c r="T771" s="8" t="str">
        <f aca="true">IF(S771="","",IF(EDATE(S771,60)&lt;TODAY(),"Expired",IF(EDATE(S771,60)&lt;TODAY()+180,"Expiring Soon","Valid")))</f>
        <v>Valid</v>
      </c>
      <c r="U771" s="8" t="str">
        <f aca="false">IF(P771="","",IF(P771="A++","Top Tier",IF(P771="A+","High",IF(P771="A","Strong",IF(LEFT(P771,1)="B","Acceptable",IF(LEFT(P771,1)="C","Below Avg","-"))))))</f>
        <v>Strong</v>
      </c>
    </row>
    <row r="772" customFormat="false" ht="15" hidden="false" customHeight="true" outlineLevel="0" collapsed="false">
      <c r="A772" s="8" t="n">
        <v>771</v>
      </c>
      <c r="B772" s="8" t="s">
        <v>659</v>
      </c>
      <c r="C772" s="8" t="s">
        <v>543</v>
      </c>
      <c r="D772" s="8" t="s">
        <v>333</v>
      </c>
      <c r="E772" s="9" t="s">
        <v>660</v>
      </c>
      <c r="F772" s="9" t="s">
        <v>484</v>
      </c>
      <c r="G772" s="8" t="s">
        <v>301</v>
      </c>
      <c r="H772" s="8" t="s">
        <v>302</v>
      </c>
      <c r="I772" s="8" t="s">
        <v>291</v>
      </c>
      <c r="J772" s="8" t="s">
        <v>292</v>
      </c>
      <c r="K772" s="8" t="s">
        <v>645</v>
      </c>
      <c r="L772" s="9" t="s">
        <v>662</v>
      </c>
      <c r="M772" s="11" t="n">
        <v>47149</v>
      </c>
      <c r="N772" s="8" t="str">
        <f aca="true">IF(M772="","Active (per Notice 1)",IF(M772&lt;TODAY(),"Expired",IF(M772&lt;TODAY()+180,"Expiring Soon","Active")))</f>
        <v>Active</v>
      </c>
      <c r="O772" s="17" t="s">
        <v>295</v>
      </c>
      <c r="P772" s="8" t="s">
        <v>424</v>
      </c>
      <c r="Q772" s="8" t="n">
        <v>3.01</v>
      </c>
      <c r="R772" s="8" t="n">
        <v>2</v>
      </c>
      <c r="S772" s="11" t="n">
        <v>44740</v>
      </c>
      <c r="T772" s="8" t="str">
        <f aca="true">IF(S772="","",IF(EDATE(S772,60)&lt;TODAY(),"Expired",IF(EDATE(S772,60)&lt;TODAY()+180,"Expiring Soon","Valid")))</f>
        <v>Valid</v>
      </c>
      <c r="U772" s="8" t="str">
        <f aca="false">IF(P772="","",IF(P772="A++","Top Tier",IF(P772="A+","High",IF(P772="A","Strong",IF(LEFT(P772,1)="B","Acceptable",IF(LEFT(P772,1)="C","Below Avg","-"))))))</f>
        <v>Strong</v>
      </c>
    </row>
    <row r="773" customFormat="false" ht="15" hidden="false" customHeight="true" outlineLevel="0" collapsed="false">
      <c r="A773" s="8" t="n">
        <v>772</v>
      </c>
      <c r="B773" s="8" t="s">
        <v>659</v>
      </c>
      <c r="C773" s="8" t="s">
        <v>543</v>
      </c>
      <c r="D773" s="8" t="s">
        <v>333</v>
      </c>
      <c r="E773" s="9" t="s">
        <v>660</v>
      </c>
      <c r="F773" s="9" t="s">
        <v>332</v>
      </c>
      <c r="G773" s="8" t="s">
        <v>304</v>
      </c>
      <c r="H773" s="8" t="s">
        <v>302</v>
      </c>
      <c r="I773" s="8" t="s">
        <v>291</v>
      </c>
      <c r="J773" s="8" t="s">
        <v>292</v>
      </c>
      <c r="K773" s="8" t="s">
        <v>645</v>
      </c>
      <c r="L773" s="9" t="s">
        <v>662</v>
      </c>
      <c r="M773" s="11" t="n">
        <v>47149</v>
      </c>
      <c r="N773" s="8" t="str">
        <f aca="true">IF(M773="","Active (per Notice 1)",IF(M773&lt;TODAY(),"Expired",IF(M773&lt;TODAY()+180,"Expiring Soon","Active")))</f>
        <v>Active</v>
      </c>
      <c r="O773" s="16" t="s">
        <v>305</v>
      </c>
      <c r="P773" s="8" t="s">
        <v>424</v>
      </c>
      <c r="Q773" s="8" t="n">
        <v>3.01</v>
      </c>
      <c r="R773" s="8" t="n">
        <v>2</v>
      </c>
      <c r="S773" s="11" t="n">
        <v>44740</v>
      </c>
      <c r="T773" s="8" t="str">
        <f aca="true">IF(S773="","",IF(EDATE(S773,60)&lt;TODAY(),"Expired",IF(EDATE(S773,60)&lt;TODAY()+180,"Expiring Soon","Valid")))</f>
        <v>Valid</v>
      </c>
      <c r="U773" s="8" t="str">
        <f aca="false">IF(P773="","",IF(P773="A++","Top Tier",IF(P773="A+","High",IF(P773="A","Strong",IF(LEFT(P773,1)="B","Acceptable",IF(LEFT(P773,1)="C","Below Avg","-"))))))</f>
        <v>Strong</v>
      </c>
    </row>
    <row r="774" customFormat="false" ht="15" hidden="false" customHeight="true" outlineLevel="0" collapsed="false">
      <c r="A774" s="8" t="n">
        <v>773</v>
      </c>
      <c r="B774" s="8" t="s">
        <v>663</v>
      </c>
      <c r="C774" s="8" t="s">
        <v>557</v>
      </c>
      <c r="D774" s="8" t="s">
        <v>315</v>
      </c>
      <c r="E774" s="9" t="s">
        <v>664</v>
      </c>
      <c r="F774" s="9" t="s">
        <v>299</v>
      </c>
      <c r="G774" s="8" t="s">
        <v>289</v>
      </c>
      <c r="H774" s="8" t="s">
        <v>290</v>
      </c>
      <c r="I774" s="8" t="s">
        <v>291</v>
      </c>
      <c r="J774" s="8" t="s">
        <v>292</v>
      </c>
      <c r="K774" s="8" t="s">
        <v>645</v>
      </c>
      <c r="L774" s="9" t="s">
        <v>665</v>
      </c>
      <c r="M774" s="11" t="n">
        <v>46965</v>
      </c>
      <c r="N774" s="8" t="str">
        <f aca="true">IF(M774="","Active (per Notice 1)",IF(M774&lt;TODAY(),"Expired",IF(M774&lt;TODAY()+180,"Expiring Soon","Active")))</f>
        <v>Active</v>
      </c>
      <c r="O774" s="17" t="s">
        <v>295</v>
      </c>
      <c r="P774" s="8" t="s">
        <v>424</v>
      </c>
      <c r="Q774" s="8" t="n">
        <v>3.13</v>
      </c>
      <c r="R774" s="8" t="n">
        <v>2</v>
      </c>
      <c r="S774" s="11" t="n">
        <v>44452</v>
      </c>
      <c r="T774" s="8" t="str">
        <f aca="true">IF(S774="","",IF(EDATE(S774,60)&lt;TODAY(),"Expired",IF(EDATE(S774,60)&lt;TODAY()+180,"Expiring Soon","Valid")))</f>
        <v>Expiring Soon</v>
      </c>
      <c r="U774" s="8" t="str">
        <f aca="false">IF(P774="","",IF(P774="A++","Top Tier",IF(P774="A+","High",IF(P774="A","Strong",IF(LEFT(P774,1)="B","Acceptable",IF(LEFT(P774,1)="C","Below Avg","-"))))))</f>
        <v>Strong</v>
      </c>
    </row>
    <row r="775" customFormat="false" ht="15" hidden="false" customHeight="true" outlineLevel="0" collapsed="false">
      <c r="A775" s="8" t="n">
        <v>774</v>
      </c>
      <c r="B775" s="8" t="s">
        <v>663</v>
      </c>
      <c r="C775" s="8" t="s">
        <v>557</v>
      </c>
      <c r="D775" s="8" t="s">
        <v>315</v>
      </c>
      <c r="E775" s="9" t="s">
        <v>664</v>
      </c>
      <c r="F775" s="9" t="s">
        <v>317</v>
      </c>
      <c r="G775" s="8" t="s">
        <v>318</v>
      </c>
      <c r="H775" s="8" t="s">
        <v>290</v>
      </c>
      <c r="I775" s="8" t="s">
        <v>291</v>
      </c>
      <c r="J775" s="8" t="s">
        <v>292</v>
      </c>
      <c r="K775" s="8" t="s">
        <v>645</v>
      </c>
      <c r="L775" s="9" t="s">
        <v>666</v>
      </c>
      <c r="M775" s="11" t="n">
        <v>46081</v>
      </c>
      <c r="N775" s="8" t="str">
        <f aca="true">IF(M775="","Active (per Notice 1)",IF(M775&lt;TODAY(),"Expired",IF(M775&lt;TODAY()+180,"Expiring Soon","Active")))</f>
        <v>Expired</v>
      </c>
      <c r="O775" s="13" t="s">
        <v>292</v>
      </c>
      <c r="P775" s="8" t="s">
        <v>424</v>
      </c>
      <c r="Q775" s="8" t="n">
        <v>3.13</v>
      </c>
      <c r="R775" s="8" t="n">
        <v>2</v>
      </c>
      <c r="S775" s="11" t="n">
        <v>44452</v>
      </c>
      <c r="T775" s="8" t="str">
        <f aca="true">IF(S775="","",IF(EDATE(S775,60)&lt;TODAY(),"Expired",IF(EDATE(S775,60)&lt;TODAY()+180,"Expiring Soon","Valid")))</f>
        <v>Expiring Soon</v>
      </c>
      <c r="U775" s="8" t="str">
        <f aca="false">IF(P775="","",IF(P775="A++","Top Tier",IF(P775="A+","High",IF(P775="A","Strong",IF(LEFT(P775,1)="B","Acceptable",IF(LEFT(P775,1)="C","Below Avg","-"))))))</f>
        <v>Strong</v>
      </c>
    </row>
    <row r="776" customFormat="false" ht="23.25" hidden="false" customHeight="true" outlineLevel="0" collapsed="false">
      <c r="A776" s="8" t="n">
        <v>775</v>
      </c>
      <c r="B776" s="8" t="s">
        <v>663</v>
      </c>
      <c r="C776" s="8" t="s">
        <v>557</v>
      </c>
      <c r="D776" s="8" t="s">
        <v>315</v>
      </c>
      <c r="E776" s="9" t="s">
        <v>664</v>
      </c>
      <c r="F776" s="9" t="s">
        <v>667</v>
      </c>
      <c r="G776" s="8" t="s">
        <v>304</v>
      </c>
      <c r="H776" s="8" t="s">
        <v>302</v>
      </c>
      <c r="I776" s="8" t="s">
        <v>291</v>
      </c>
      <c r="J776" s="8" t="s">
        <v>292</v>
      </c>
      <c r="K776" s="8" t="s">
        <v>645</v>
      </c>
      <c r="L776" s="9" t="s">
        <v>666</v>
      </c>
      <c r="M776" s="11" t="n">
        <v>46081</v>
      </c>
      <c r="N776" s="8" t="str">
        <f aca="true">IF(M776="","Active (per Notice 1)",IF(M776&lt;TODAY(),"Expired",IF(M776&lt;TODAY()+180,"Expiring Soon","Active")))</f>
        <v>Expired</v>
      </c>
      <c r="O776" s="13" t="s">
        <v>292</v>
      </c>
      <c r="P776" s="8" t="s">
        <v>424</v>
      </c>
      <c r="Q776" s="8" t="n">
        <v>3.13</v>
      </c>
      <c r="R776" s="8" t="n">
        <v>2</v>
      </c>
      <c r="S776" s="11" t="n">
        <v>44452</v>
      </c>
      <c r="T776" s="8" t="str">
        <f aca="true">IF(S776="","",IF(EDATE(S776,60)&lt;TODAY(),"Expired",IF(EDATE(S776,60)&lt;TODAY()+180,"Expiring Soon","Valid")))</f>
        <v>Expiring Soon</v>
      </c>
      <c r="U776" s="8" t="str">
        <f aca="false">IF(P776="","",IF(P776="A++","Top Tier",IF(P776="A+","High",IF(P776="A","Strong",IF(LEFT(P776,1)="B","Acceptable",IF(LEFT(P776,1)="C","Below Avg","-"))))))</f>
        <v>Strong</v>
      </c>
    </row>
    <row r="777" customFormat="false" ht="15" hidden="false" customHeight="true" outlineLevel="0" collapsed="false">
      <c r="A777" s="8" t="n">
        <v>776</v>
      </c>
      <c r="B777" s="8" t="s">
        <v>668</v>
      </c>
      <c r="C777" s="8" t="s">
        <v>606</v>
      </c>
      <c r="D777" s="8" t="s">
        <v>333</v>
      </c>
      <c r="E777" s="9" t="s">
        <v>623</v>
      </c>
      <c r="F777" s="9" t="s">
        <v>340</v>
      </c>
      <c r="G777" s="8" t="s">
        <v>289</v>
      </c>
      <c r="H777" s="8" t="s">
        <v>290</v>
      </c>
      <c r="I777" s="8" t="s">
        <v>291</v>
      </c>
      <c r="J777" s="8" t="s">
        <v>292</v>
      </c>
      <c r="K777" s="8" t="s">
        <v>645</v>
      </c>
      <c r="L777" s="9" t="s">
        <v>651</v>
      </c>
      <c r="M777" s="11" t="n">
        <v>46053</v>
      </c>
      <c r="N777" s="8" t="str">
        <f aca="true">IF(M777="","Active (per Notice 1)",IF(M777&lt;TODAY(),"Expired",IF(M777&lt;TODAY()+180,"Expiring Soon","Active")))</f>
        <v>Expired</v>
      </c>
      <c r="O777" s="17" t="s">
        <v>295</v>
      </c>
      <c r="P777" s="8" t="s">
        <v>327</v>
      </c>
      <c r="Q777" s="8" t="n">
        <v>3.46</v>
      </c>
      <c r="R777" s="8" t="n">
        <v>2</v>
      </c>
      <c r="S777" s="11" t="n">
        <v>44950</v>
      </c>
      <c r="T777" s="8" t="str">
        <f aca="true">IF(S777="","",IF(EDATE(S777,60)&lt;TODAY(),"Expired",IF(EDATE(S777,60)&lt;TODAY()+180,"Expiring Soon","Valid")))</f>
        <v>Valid</v>
      </c>
      <c r="U777" s="8" t="str">
        <f aca="false">IF(P777="","",IF(P777="A++","Top Tier",IF(P777="A+","High",IF(P777="A","Strong",IF(LEFT(P777,1)="B","Acceptable",IF(LEFT(P777,1)="C","Below Avg","-"))))))</f>
        <v>High</v>
      </c>
    </row>
    <row r="778" customFormat="false" ht="15" hidden="false" customHeight="true" outlineLevel="0" collapsed="false">
      <c r="A778" s="8" t="n">
        <v>777</v>
      </c>
      <c r="B778" s="8" t="s">
        <v>668</v>
      </c>
      <c r="C778" s="8" t="s">
        <v>606</v>
      </c>
      <c r="D778" s="8" t="s">
        <v>333</v>
      </c>
      <c r="E778" s="9" t="s">
        <v>623</v>
      </c>
      <c r="F778" s="9" t="s">
        <v>317</v>
      </c>
      <c r="G778" s="8" t="s">
        <v>318</v>
      </c>
      <c r="H778" s="8" t="s">
        <v>290</v>
      </c>
      <c r="I778" s="8" t="s">
        <v>291</v>
      </c>
      <c r="J778" s="8" t="s">
        <v>292</v>
      </c>
      <c r="K778" s="8" t="s">
        <v>645</v>
      </c>
      <c r="L778" s="9" t="s">
        <v>651</v>
      </c>
      <c r="M778" s="11" t="n">
        <v>46053</v>
      </c>
      <c r="N778" s="8" t="str">
        <f aca="true">IF(M778="","Active (per Notice 1)",IF(M778&lt;TODAY(),"Expired",IF(M778&lt;TODAY()+180,"Expiring Soon","Active")))</f>
        <v>Expired</v>
      </c>
      <c r="O778" s="16" t="s">
        <v>305</v>
      </c>
      <c r="P778" s="8" t="s">
        <v>327</v>
      </c>
      <c r="Q778" s="8" t="n">
        <v>3.46</v>
      </c>
      <c r="R778" s="8" t="n">
        <v>2</v>
      </c>
      <c r="S778" s="11" t="n">
        <v>44950</v>
      </c>
      <c r="T778" s="8" t="str">
        <f aca="true">IF(S778="","",IF(EDATE(S778,60)&lt;TODAY(),"Expired",IF(EDATE(S778,60)&lt;TODAY()+180,"Expiring Soon","Valid")))</f>
        <v>Valid</v>
      </c>
      <c r="U778" s="8" t="str">
        <f aca="false">IF(P778="","",IF(P778="A++","Top Tier",IF(P778="A+","High",IF(P778="A","Strong",IF(LEFT(P778,1)="B","Acceptable",IF(LEFT(P778,1)="C","Below Avg","-"))))))</f>
        <v>High</v>
      </c>
    </row>
    <row r="779" customFormat="false" ht="15" hidden="false" customHeight="true" outlineLevel="0" collapsed="false">
      <c r="A779" s="8" t="n">
        <v>778</v>
      </c>
      <c r="B779" s="8" t="s">
        <v>669</v>
      </c>
      <c r="C779" s="8" t="s">
        <v>606</v>
      </c>
      <c r="D779" s="8" t="s">
        <v>333</v>
      </c>
      <c r="E779" s="9" t="s">
        <v>609</v>
      </c>
      <c r="F779" s="9" t="s">
        <v>670</v>
      </c>
      <c r="G779" s="8" t="s">
        <v>671</v>
      </c>
      <c r="H779" s="8" t="s">
        <v>290</v>
      </c>
      <c r="I779" s="8" t="s">
        <v>291</v>
      </c>
      <c r="J779" s="8" t="s">
        <v>292</v>
      </c>
      <c r="K779" s="8" t="s">
        <v>645</v>
      </c>
      <c r="L779" s="9" t="s">
        <v>672</v>
      </c>
      <c r="M779" s="11" t="n">
        <v>46418</v>
      </c>
      <c r="N779" s="8" t="str">
        <f aca="true">IF(M779="","Active (per Notice 1)",IF(M779&lt;TODAY(),"Expired",IF(M779&lt;TODAY()+180,"Expiring Soon","Active")))</f>
        <v>Active</v>
      </c>
      <c r="O779" s="17" t="s">
        <v>295</v>
      </c>
      <c r="AC779" s="8" t="n">
        <v>37</v>
      </c>
      <c r="AD779" s="8" t="n">
        <v>22</v>
      </c>
      <c r="AE779" s="8" t="n">
        <v>38</v>
      </c>
      <c r="AF779" s="8" t="n">
        <v>37</v>
      </c>
      <c r="AG779" s="8" t="n">
        <v>49</v>
      </c>
      <c r="AH779" s="8" t="n">
        <v>18</v>
      </c>
      <c r="AI779" s="8"/>
      <c r="AJ779" s="8"/>
      <c r="AK779" s="8"/>
      <c r="AL779" s="8"/>
      <c r="AM779" s="8" t="n">
        <v>15</v>
      </c>
      <c r="AN779" s="8"/>
      <c r="AO779" s="8"/>
      <c r="AP779" s="8"/>
      <c r="AQ779" s="8"/>
      <c r="AR779" s="8"/>
      <c r="AS779" s="8"/>
    </row>
    <row r="780" customFormat="false" ht="15" hidden="false" customHeight="true" outlineLevel="0" collapsed="false">
      <c r="A780" s="8" t="n">
        <v>779</v>
      </c>
      <c r="B780" s="8" t="s">
        <v>669</v>
      </c>
      <c r="C780" s="8" t="s">
        <v>606</v>
      </c>
      <c r="D780" s="8" t="s">
        <v>333</v>
      </c>
      <c r="E780" s="9" t="s">
        <v>609</v>
      </c>
      <c r="F780" s="9" t="s">
        <v>359</v>
      </c>
      <c r="G780" s="8" t="s">
        <v>289</v>
      </c>
      <c r="H780" s="8" t="s">
        <v>290</v>
      </c>
      <c r="I780" s="8" t="s">
        <v>291</v>
      </c>
      <c r="J780" s="8" t="s">
        <v>292</v>
      </c>
      <c r="K780" s="8" t="s">
        <v>645</v>
      </c>
      <c r="L780" s="9" t="s">
        <v>672</v>
      </c>
      <c r="M780" s="11" t="n">
        <v>46418</v>
      </c>
      <c r="N780" s="8" t="str">
        <f aca="true">IF(M780="","Active (per Notice 1)",IF(M780&lt;TODAY(),"Expired",IF(M780&lt;TODAY()+180,"Expiring Soon","Active")))</f>
        <v>Active</v>
      </c>
      <c r="O780" s="17" t="s">
        <v>295</v>
      </c>
      <c r="AC780" s="8" t="n">
        <v>37</v>
      </c>
      <c r="AD780" s="8" t="n">
        <v>22</v>
      </c>
      <c r="AE780" s="8" t="n">
        <v>38</v>
      </c>
      <c r="AF780" s="8" t="n">
        <v>37</v>
      </c>
      <c r="AG780" s="8" t="n">
        <v>49</v>
      </c>
      <c r="AH780" s="8" t="n">
        <v>18</v>
      </c>
      <c r="AI780" s="8"/>
      <c r="AJ780" s="8"/>
      <c r="AK780" s="8"/>
      <c r="AL780" s="8"/>
      <c r="AM780" s="8" t="n">
        <v>15</v>
      </c>
      <c r="AN780" s="8"/>
      <c r="AO780" s="8"/>
      <c r="AP780" s="8"/>
      <c r="AQ780" s="8"/>
      <c r="AR780" s="8"/>
      <c r="AS780" s="8"/>
    </row>
    <row r="781" customFormat="false" ht="15" hidden="false" customHeight="true" outlineLevel="0" collapsed="false">
      <c r="A781" s="8" t="n">
        <v>780</v>
      </c>
      <c r="B781" s="8" t="s">
        <v>669</v>
      </c>
      <c r="C781" s="8" t="s">
        <v>606</v>
      </c>
      <c r="D781" s="8" t="s">
        <v>333</v>
      </c>
      <c r="E781" s="9" t="s">
        <v>609</v>
      </c>
      <c r="F781" s="9" t="s">
        <v>524</v>
      </c>
      <c r="G781" s="8" t="s">
        <v>298</v>
      </c>
      <c r="H781" s="8" t="s">
        <v>290</v>
      </c>
      <c r="I781" s="8" t="s">
        <v>291</v>
      </c>
      <c r="J781" s="8" t="s">
        <v>292</v>
      </c>
      <c r="K781" s="8" t="s">
        <v>645</v>
      </c>
      <c r="L781" s="9" t="s">
        <v>672</v>
      </c>
      <c r="M781" s="11" t="n">
        <v>46418</v>
      </c>
      <c r="N781" s="8" t="str">
        <f aca="true">IF(M781="","Active (per Notice 1)",IF(M781&lt;TODAY(),"Expired",IF(M781&lt;TODAY()+180,"Expiring Soon","Active")))</f>
        <v>Active</v>
      </c>
      <c r="O781" s="17" t="s">
        <v>295</v>
      </c>
      <c r="AC781" s="8" t="n">
        <v>37</v>
      </c>
      <c r="AD781" s="8" t="n">
        <v>22</v>
      </c>
      <c r="AE781" s="8" t="n">
        <v>38</v>
      </c>
      <c r="AF781" s="8" t="n">
        <v>37</v>
      </c>
      <c r="AG781" s="8" t="n">
        <v>49</v>
      </c>
      <c r="AH781" s="8" t="n">
        <v>18</v>
      </c>
      <c r="AI781" s="8"/>
      <c r="AJ781" s="8"/>
      <c r="AK781" s="8"/>
      <c r="AL781" s="8"/>
      <c r="AM781" s="8" t="n">
        <v>15</v>
      </c>
      <c r="AN781" s="8"/>
      <c r="AO781" s="8"/>
      <c r="AP781" s="8"/>
      <c r="AQ781" s="8"/>
      <c r="AR781" s="8"/>
      <c r="AS781" s="8"/>
    </row>
    <row r="782" customFormat="false" ht="15" hidden="false" customHeight="true" outlineLevel="0" collapsed="false">
      <c r="A782" s="8" t="n">
        <v>781</v>
      </c>
      <c r="B782" s="8" t="s">
        <v>669</v>
      </c>
      <c r="C782" s="8" t="s">
        <v>606</v>
      </c>
      <c r="D782" s="8" t="s">
        <v>333</v>
      </c>
      <c r="E782" s="9" t="s">
        <v>609</v>
      </c>
      <c r="F782" s="9" t="s">
        <v>673</v>
      </c>
      <c r="G782" s="8" t="s">
        <v>301</v>
      </c>
      <c r="H782" s="8" t="s">
        <v>302</v>
      </c>
      <c r="I782" s="8" t="s">
        <v>291</v>
      </c>
      <c r="J782" s="8" t="s">
        <v>292</v>
      </c>
      <c r="K782" s="8" t="s">
        <v>645</v>
      </c>
      <c r="L782" s="9" t="s">
        <v>672</v>
      </c>
      <c r="M782" s="11" t="n">
        <v>46418</v>
      </c>
      <c r="N782" s="8" t="str">
        <f aca="true">IF(M782="","Active (per Notice 1)",IF(M782&lt;TODAY(),"Expired",IF(M782&lt;TODAY()+180,"Expiring Soon","Active")))</f>
        <v>Active</v>
      </c>
      <c r="O782" s="17" t="s">
        <v>295</v>
      </c>
      <c r="AC782" s="8" t="n">
        <v>37</v>
      </c>
      <c r="AD782" s="8" t="n">
        <v>22</v>
      </c>
      <c r="AE782" s="8" t="n">
        <v>38</v>
      </c>
      <c r="AF782" s="8" t="n">
        <v>37</v>
      </c>
      <c r="AG782" s="8" t="n">
        <v>49</v>
      </c>
      <c r="AH782" s="8" t="n">
        <v>18</v>
      </c>
      <c r="AI782" s="8"/>
      <c r="AJ782" s="8"/>
      <c r="AK782" s="8"/>
      <c r="AL782" s="8"/>
      <c r="AM782" s="8" t="n">
        <v>15</v>
      </c>
      <c r="AN782" s="8"/>
      <c r="AO782" s="8"/>
      <c r="AP782" s="8"/>
      <c r="AQ782" s="8"/>
      <c r="AR782" s="8"/>
      <c r="AS782" s="8"/>
    </row>
    <row r="783" customFormat="false" ht="15" hidden="false" customHeight="true" outlineLevel="0" collapsed="false">
      <c r="A783" s="8" t="n">
        <v>782</v>
      </c>
      <c r="B783" s="8" t="s">
        <v>669</v>
      </c>
      <c r="C783" s="8" t="s">
        <v>606</v>
      </c>
      <c r="D783" s="8" t="s">
        <v>333</v>
      </c>
      <c r="E783" s="9" t="s">
        <v>609</v>
      </c>
      <c r="F783" s="9" t="s">
        <v>343</v>
      </c>
      <c r="G783" s="8" t="s">
        <v>344</v>
      </c>
      <c r="H783" s="8" t="s">
        <v>302</v>
      </c>
      <c r="I783" s="8" t="s">
        <v>291</v>
      </c>
      <c r="J783" s="8" t="s">
        <v>292</v>
      </c>
      <c r="K783" s="8" t="s">
        <v>645</v>
      </c>
      <c r="L783" s="9" t="s">
        <v>672</v>
      </c>
      <c r="M783" s="11" t="n">
        <v>46418</v>
      </c>
      <c r="N783" s="8" t="str">
        <f aca="true">IF(M783="","Active (per Notice 1)",IF(M783&lt;TODAY(),"Expired",IF(M783&lt;TODAY()+180,"Expiring Soon","Active")))</f>
        <v>Active</v>
      </c>
      <c r="O783" s="17" t="s">
        <v>295</v>
      </c>
      <c r="AC783" s="8" t="n">
        <v>37</v>
      </c>
      <c r="AD783" s="8" t="n">
        <v>22</v>
      </c>
      <c r="AE783" s="8" t="n">
        <v>38</v>
      </c>
      <c r="AF783" s="8" t="n">
        <v>37</v>
      </c>
      <c r="AG783" s="8" t="n">
        <v>49</v>
      </c>
      <c r="AH783" s="8" t="n">
        <v>18</v>
      </c>
      <c r="AI783" s="8"/>
      <c r="AJ783" s="8"/>
      <c r="AK783" s="8"/>
      <c r="AL783" s="8"/>
      <c r="AM783" s="8" t="n">
        <v>15</v>
      </c>
      <c r="AN783" s="8"/>
      <c r="AO783" s="8"/>
      <c r="AP783" s="8"/>
      <c r="AQ783" s="8"/>
      <c r="AR783" s="8"/>
      <c r="AS783" s="8"/>
    </row>
    <row r="784" customFormat="false" ht="15" hidden="false" customHeight="true" outlineLevel="0" collapsed="false">
      <c r="A784" s="8" t="n">
        <v>783</v>
      </c>
      <c r="B784" s="8" t="s">
        <v>669</v>
      </c>
      <c r="C784" s="8" t="s">
        <v>606</v>
      </c>
      <c r="D784" s="8" t="s">
        <v>333</v>
      </c>
      <c r="E784" s="9" t="s">
        <v>609</v>
      </c>
      <c r="F784" s="9" t="s">
        <v>312</v>
      </c>
      <c r="G784" s="8" t="s">
        <v>301</v>
      </c>
      <c r="H784" s="8" t="s">
        <v>302</v>
      </c>
      <c r="I784" s="8" t="s">
        <v>291</v>
      </c>
      <c r="J784" s="8" t="s">
        <v>292</v>
      </c>
      <c r="K784" s="8" t="s">
        <v>645</v>
      </c>
      <c r="L784" s="9" t="s">
        <v>672</v>
      </c>
      <c r="M784" s="11" t="n">
        <v>46418</v>
      </c>
      <c r="N784" s="8" t="str">
        <f aca="true">IF(M784="","Active (per Notice 1)",IF(M784&lt;TODAY(),"Expired",IF(M784&lt;TODAY()+180,"Expiring Soon","Active")))</f>
        <v>Active</v>
      </c>
      <c r="O784" s="17" t="s">
        <v>295</v>
      </c>
      <c r="AC784" s="8" t="n">
        <v>37</v>
      </c>
      <c r="AD784" s="8" t="n">
        <v>22</v>
      </c>
      <c r="AE784" s="8" t="n">
        <v>38</v>
      </c>
      <c r="AF784" s="8" t="n">
        <v>37</v>
      </c>
      <c r="AG784" s="8" t="n">
        <v>49</v>
      </c>
      <c r="AH784" s="8" t="n">
        <v>18</v>
      </c>
      <c r="AI784" s="8"/>
      <c r="AJ784" s="8"/>
      <c r="AK784" s="8"/>
      <c r="AL784" s="8"/>
      <c r="AM784" s="8" t="n">
        <v>15</v>
      </c>
      <c r="AN784" s="8"/>
      <c r="AO784" s="8"/>
      <c r="AP784" s="8"/>
      <c r="AQ784" s="8"/>
      <c r="AR784" s="8"/>
      <c r="AS784" s="8"/>
    </row>
    <row r="785" customFormat="false" ht="15" hidden="false" customHeight="true" outlineLevel="0" collapsed="false">
      <c r="A785" s="8" t="n">
        <v>784</v>
      </c>
      <c r="B785" s="8" t="s">
        <v>674</v>
      </c>
      <c r="C785" s="8" t="s">
        <v>606</v>
      </c>
      <c r="D785" s="8" t="s">
        <v>315</v>
      </c>
      <c r="E785" s="9" t="s">
        <v>675</v>
      </c>
      <c r="F785" s="9" t="s">
        <v>317</v>
      </c>
      <c r="G785" s="8" t="s">
        <v>318</v>
      </c>
      <c r="H785" s="8" t="s">
        <v>290</v>
      </c>
      <c r="I785" s="8" t="s">
        <v>291</v>
      </c>
      <c r="J785" s="8" t="s">
        <v>292</v>
      </c>
      <c r="K785" s="8" t="s">
        <v>645</v>
      </c>
      <c r="L785" s="9" t="s">
        <v>666</v>
      </c>
      <c r="M785" s="11" t="n">
        <v>46081</v>
      </c>
      <c r="N785" s="8" t="str">
        <f aca="true">IF(M785="","Active (per Notice 1)",IF(M785&lt;TODAY(),"Expired",IF(M785&lt;TODAY()+180,"Expiring Soon","Active")))</f>
        <v>Expired</v>
      </c>
      <c r="O785" s="13" t="s">
        <v>292</v>
      </c>
      <c r="P785" s="8" t="s">
        <v>424</v>
      </c>
      <c r="Q785" s="8" t="n">
        <v>3.12</v>
      </c>
      <c r="R785" s="8" t="n">
        <v>2</v>
      </c>
      <c r="S785" s="11" t="n">
        <v>44915</v>
      </c>
      <c r="T785" s="8" t="str">
        <f aca="true">IF(S785="","",IF(EDATE(S785,60)&lt;TODAY(),"Expired",IF(EDATE(S785,60)&lt;TODAY()+180,"Expiring Soon","Valid")))</f>
        <v>Valid</v>
      </c>
      <c r="U785" s="8" t="str">
        <f aca="false">IF(P785="","",IF(P785="A++","Top Tier",IF(P785="A+","High",IF(P785="A","Strong",IF(LEFT(P785,1)="B","Acceptable",IF(LEFT(P785,1)="C","Below Avg","-"))))))</f>
        <v>Strong</v>
      </c>
    </row>
    <row r="786" customFormat="false" ht="15" hidden="false" customHeight="true" outlineLevel="0" collapsed="false">
      <c r="A786" s="8" t="n">
        <v>785</v>
      </c>
      <c r="B786" s="8" t="s">
        <v>674</v>
      </c>
      <c r="C786" s="8" t="s">
        <v>606</v>
      </c>
      <c r="D786" s="8" t="s">
        <v>315</v>
      </c>
      <c r="E786" s="9" t="s">
        <v>675</v>
      </c>
      <c r="F786" s="9" t="s">
        <v>319</v>
      </c>
      <c r="G786" s="8" t="s">
        <v>320</v>
      </c>
      <c r="H786" s="8" t="s">
        <v>290</v>
      </c>
      <c r="I786" s="8" t="s">
        <v>291</v>
      </c>
      <c r="J786" s="8" t="s">
        <v>292</v>
      </c>
      <c r="K786" s="8" t="s">
        <v>645</v>
      </c>
      <c r="L786" s="9" t="s">
        <v>666</v>
      </c>
      <c r="M786" s="11" t="n">
        <v>46081</v>
      </c>
      <c r="N786" s="8" t="str">
        <f aca="true">IF(M786="","Active (per Notice 1)",IF(M786&lt;TODAY(),"Expired",IF(M786&lt;TODAY()+180,"Expiring Soon","Active")))</f>
        <v>Expired</v>
      </c>
      <c r="O786" s="13" t="s">
        <v>292</v>
      </c>
      <c r="P786" s="8" t="s">
        <v>424</v>
      </c>
      <c r="Q786" s="8" t="n">
        <v>3.12</v>
      </c>
      <c r="R786" s="8" t="n">
        <v>2</v>
      </c>
      <c r="S786" s="11" t="n">
        <v>44915</v>
      </c>
      <c r="T786" s="8" t="str">
        <f aca="true">IF(S786="","",IF(EDATE(S786,60)&lt;TODAY(),"Expired",IF(EDATE(S786,60)&lt;TODAY()+180,"Expiring Soon","Valid")))</f>
        <v>Valid</v>
      </c>
      <c r="U786" s="8" t="str">
        <f aca="false">IF(P786="","",IF(P786="A++","Top Tier",IF(P786="A+","High",IF(P786="A","Strong",IF(LEFT(P786,1)="B","Acceptable",IF(LEFT(P786,1)="C","Below Avg","-"))))))</f>
        <v>Strong</v>
      </c>
    </row>
    <row r="787" customFormat="false" ht="15" hidden="false" customHeight="true" outlineLevel="0" collapsed="false">
      <c r="A787" s="8" t="n">
        <v>786</v>
      </c>
      <c r="B787" s="8" t="s">
        <v>674</v>
      </c>
      <c r="C787" s="8" t="s">
        <v>606</v>
      </c>
      <c r="D787" s="8" t="s">
        <v>315</v>
      </c>
      <c r="E787" s="9" t="s">
        <v>675</v>
      </c>
      <c r="F787" s="9" t="s">
        <v>303</v>
      </c>
      <c r="G787" s="8" t="s">
        <v>304</v>
      </c>
      <c r="H787" s="8" t="s">
        <v>302</v>
      </c>
      <c r="I787" s="8" t="s">
        <v>291</v>
      </c>
      <c r="J787" s="8" t="s">
        <v>292</v>
      </c>
      <c r="K787" s="8" t="s">
        <v>645</v>
      </c>
      <c r="L787" s="9" t="s">
        <v>666</v>
      </c>
      <c r="M787" s="11" t="n">
        <v>46081</v>
      </c>
      <c r="N787" s="8" t="str">
        <f aca="true">IF(M787="","Active (per Notice 1)",IF(M787&lt;TODAY(),"Expired",IF(M787&lt;TODAY()+180,"Expiring Soon","Active")))</f>
        <v>Expired</v>
      </c>
      <c r="O787" s="13" t="s">
        <v>292</v>
      </c>
      <c r="P787" s="8" t="s">
        <v>424</v>
      </c>
      <c r="Q787" s="8" t="n">
        <v>3.12</v>
      </c>
      <c r="R787" s="8" t="n">
        <v>2</v>
      </c>
      <c r="S787" s="11" t="n">
        <v>44915</v>
      </c>
      <c r="T787" s="8" t="str">
        <f aca="true">IF(S787="","",IF(EDATE(S787,60)&lt;TODAY(),"Expired",IF(EDATE(S787,60)&lt;TODAY()+180,"Expiring Soon","Valid")))</f>
        <v>Valid</v>
      </c>
      <c r="U787" s="8" t="str">
        <f aca="false">IF(P787="","",IF(P787="A++","Top Tier",IF(P787="A+","High",IF(P787="A","Strong",IF(LEFT(P787,1)="B","Acceptable",IF(LEFT(P787,1)="C","Below Avg","-"))))))</f>
        <v>Strong</v>
      </c>
    </row>
    <row r="788" customFormat="false" ht="15" hidden="false" customHeight="true" outlineLevel="0" collapsed="false">
      <c r="A788" s="8" t="n">
        <v>787</v>
      </c>
      <c r="B788" s="8" t="s">
        <v>674</v>
      </c>
      <c r="C788" s="8" t="s">
        <v>606</v>
      </c>
      <c r="D788" s="8" t="s">
        <v>315</v>
      </c>
      <c r="E788" s="9" t="s">
        <v>675</v>
      </c>
      <c r="F788" s="9" t="s">
        <v>306</v>
      </c>
      <c r="G788" s="8" t="s">
        <v>307</v>
      </c>
      <c r="H788" s="8" t="s">
        <v>302</v>
      </c>
      <c r="I788" s="8" t="s">
        <v>291</v>
      </c>
      <c r="J788" s="8" t="s">
        <v>292</v>
      </c>
      <c r="K788" s="8" t="s">
        <v>645</v>
      </c>
      <c r="L788" s="9" t="s">
        <v>666</v>
      </c>
      <c r="M788" s="11" t="n">
        <v>46081</v>
      </c>
      <c r="N788" s="8" t="str">
        <f aca="true">IF(M788="","Active (per Notice 1)",IF(M788&lt;TODAY(),"Expired",IF(M788&lt;TODAY()+180,"Expiring Soon","Active")))</f>
        <v>Expired</v>
      </c>
      <c r="O788" s="13" t="s">
        <v>292</v>
      </c>
      <c r="P788" s="8" t="s">
        <v>424</v>
      </c>
      <c r="Q788" s="8" t="n">
        <v>3.12</v>
      </c>
      <c r="R788" s="8" t="n">
        <v>2</v>
      </c>
      <c r="S788" s="11" t="n">
        <v>44915</v>
      </c>
      <c r="T788" s="8" t="str">
        <f aca="true">IF(S788="","",IF(EDATE(S788,60)&lt;TODAY(),"Expired",IF(EDATE(S788,60)&lt;TODAY()+180,"Expiring Soon","Valid")))</f>
        <v>Valid</v>
      </c>
      <c r="U788" s="8" t="str">
        <f aca="false">IF(P788="","",IF(P788="A++","Top Tier",IF(P788="A+","High",IF(P788="A","Strong",IF(LEFT(P788,1)="B","Acceptable",IF(LEFT(P788,1)="C","Below Avg","-"))))))</f>
        <v>Strong</v>
      </c>
    </row>
    <row r="789" customFormat="false" ht="15" hidden="false" customHeight="true" outlineLevel="0" collapsed="false">
      <c r="A789" s="8" t="n">
        <v>788</v>
      </c>
      <c r="B789" s="8" t="s">
        <v>676</v>
      </c>
      <c r="C789" s="8" t="s">
        <v>606</v>
      </c>
      <c r="D789" s="8" t="s">
        <v>333</v>
      </c>
      <c r="E789" s="9" t="s">
        <v>677</v>
      </c>
      <c r="F789" s="9" t="s">
        <v>678</v>
      </c>
      <c r="G789" s="8" t="s">
        <v>298</v>
      </c>
      <c r="H789" s="8" t="s">
        <v>290</v>
      </c>
      <c r="I789" s="8" t="s">
        <v>291</v>
      </c>
      <c r="J789" s="8" t="s">
        <v>292</v>
      </c>
      <c r="K789" s="8" t="s">
        <v>645</v>
      </c>
      <c r="L789" s="9" t="s">
        <v>658</v>
      </c>
      <c r="M789" s="11" t="n">
        <v>47361</v>
      </c>
      <c r="N789" s="8" t="str">
        <f aca="true">IF(M789="","Active (per Notice 1)",IF(M789&lt;TODAY(),"Expired",IF(M789&lt;TODAY()+180,"Expiring Soon","Active")))</f>
        <v>Active</v>
      </c>
      <c r="O789" s="17" t="s">
        <v>295</v>
      </c>
      <c r="P789" s="8" t="s">
        <v>424</v>
      </c>
      <c r="Q789" s="8" t="n">
        <v>3.15</v>
      </c>
      <c r="R789" s="8" t="n">
        <v>2</v>
      </c>
      <c r="S789" s="11" t="n">
        <v>44733</v>
      </c>
      <c r="T789" s="8" t="str">
        <f aca="true">IF(S789="","",IF(EDATE(S789,60)&lt;TODAY(),"Expired",IF(EDATE(S789,60)&lt;TODAY()+180,"Expiring Soon","Valid")))</f>
        <v>Valid</v>
      </c>
      <c r="U789" s="8" t="str">
        <f aca="false">IF(P789="","",IF(P789="A++","Top Tier",IF(P789="A+","High",IF(P789="A","Strong",IF(LEFT(P789,1)="B","Acceptable",IF(LEFT(P789,1)="C","Below Avg","-"))))))</f>
        <v>Strong</v>
      </c>
    </row>
    <row r="790" customFormat="false" ht="15" hidden="false" customHeight="true" outlineLevel="0" collapsed="false">
      <c r="A790" s="8" t="n">
        <v>789</v>
      </c>
      <c r="B790" s="8" t="s">
        <v>676</v>
      </c>
      <c r="C790" s="8" t="s">
        <v>606</v>
      </c>
      <c r="D790" s="8" t="s">
        <v>333</v>
      </c>
      <c r="E790" s="9" t="s">
        <v>677</v>
      </c>
      <c r="F790" s="9" t="s">
        <v>679</v>
      </c>
      <c r="G790" s="8" t="s">
        <v>298</v>
      </c>
      <c r="H790" s="8" t="s">
        <v>290</v>
      </c>
      <c r="I790" s="8" t="s">
        <v>291</v>
      </c>
      <c r="J790" s="8" t="s">
        <v>292</v>
      </c>
      <c r="K790" s="8" t="s">
        <v>645</v>
      </c>
      <c r="L790" s="9" t="s">
        <v>658</v>
      </c>
      <c r="M790" s="11" t="n">
        <v>47361</v>
      </c>
      <c r="N790" s="8" t="str">
        <f aca="true">IF(M790="","Active (per Notice 1)",IF(M790&lt;TODAY(),"Expired",IF(M790&lt;TODAY()+180,"Expiring Soon","Active")))</f>
        <v>Active</v>
      </c>
      <c r="O790" s="17" t="s">
        <v>295</v>
      </c>
      <c r="P790" s="8" t="s">
        <v>424</v>
      </c>
      <c r="Q790" s="8" t="n">
        <v>3.15</v>
      </c>
      <c r="R790" s="8" t="n">
        <v>2</v>
      </c>
      <c r="S790" s="11" t="n">
        <v>44733</v>
      </c>
      <c r="T790" s="8" t="str">
        <f aca="true">IF(S790="","",IF(EDATE(S790,60)&lt;TODAY(),"Expired",IF(EDATE(S790,60)&lt;TODAY()+180,"Expiring Soon","Valid")))</f>
        <v>Valid</v>
      </c>
      <c r="U790" s="8" t="str">
        <f aca="false">IF(P790="","",IF(P790="A++","Top Tier",IF(P790="A+","High",IF(P790="A","Strong",IF(LEFT(P790,1)="B","Acceptable",IF(LEFT(P790,1)="C","Below Avg","-"))))))</f>
        <v>Strong</v>
      </c>
    </row>
    <row r="791" customFormat="false" ht="15" hidden="false" customHeight="true" outlineLevel="0" collapsed="false">
      <c r="A791" s="8" t="n">
        <v>790</v>
      </c>
      <c r="B791" s="8" t="s">
        <v>676</v>
      </c>
      <c r="C791" s="8" t="s">
        <v>606</v>
      </c>
      <c r="D791" s="8" t="s">
        <v>333</v>
      </c>
      <c r="E791" s="9" t="s">
        <v>677</v>
      </c>
      <c r="F791" s="9" t="s">
        <v>617</v>
      </c>
      <c r="G791" s="8" t="s">
        <v>298</v>
      </c>
      <c r="H791" s="8" t="s">
        <v>290</v>
      </c>
      <c r="I791" s="8" t="s">
        <v>291</v>
      </c>
      <c r="J791" s="8" t="s">
        <v>292</v>
      </c>
      <c r="K791" s="8" t="s">
        <v>645</v>
      </c>
      <c r="L791" s="9" t="s">
        <v>658</v>
      </c>
      <c r="M791" s="11" t="n">
        <v>47361</v>
      </c>
      <c r="N791" s="8" t="str">
        <f aca="true">IF(M791="","Active (per Notice 1)",IF(M791&lt;TODAY(),"Expired",IF(M791&lt;TODAY()+180,"Expiring Soon","Active")))</f>
        <v>Active</v>
      </c>
      <c r="O791" s="17" t="s">
        <v>295</v>
      </c>
      <c r="P791" s="8" t="s">
        <v>424</v>
      </c>
      <c r="Q791" s="8" t="n">
        <v>3.15</v>
      </c>
      <c r="R791" s="8" t="n">
        <v>2</v>
      </c>
      <c r="S791" s="11" t="n">
        <v>44733</v>
      </c>
      <c r="T791" s="8" t="str">
        <f aca="true">IF(S791="","",IF(EDATE(S791,60)&lt;TODAY(),"Expired",IF(EDATE(S791,60)&lt;TODAY()+180,"Expiring Soon","Valid")))</f>
        <v>Valid</v>
      </c>
      <c r="U791" s="8" t="str">
        <f aca="false">IF(P791="","",IF(P791="A++","Top Tier",IF(P791="A+","High",IF(P791="A","Strong",IF(LEFT(P791,1)="B","Acceptable",IF(LEFT(P791,1)="C","Below Avg","-"))))))</f>
        <v>Strong</v>
      </c>
    </row>
    <row r="792" customFormat="false" ht="15" hidden="false" customHeight="true" outlineLevel="0" collapsed="false">
      <c r="A792" s="8" t="n">
        <v>791</v>
      </c>
      <c r="B792" s="8" t="s">
        <v>676</v>
      </c>
      <c r="C792" s="8" t="s">
        <v>606</v>
      </c>
      <c r="D792" s="8" t="s">
        <v>333</v>
      </c>
      <c r="E792" s="9" t="s">
        <v>677</v>
      </c>
      <c r="F792" s="9" t="s">
        <v>317</v>
      </c>
      <c r="G792" s="8" t="s">
        <v>318</v>
      </c>
      <c r="H792" s="8" t="s">
        <v>290</v>
      </c>
      <c r="I792" s="8" t="s">
        <v>291</v>
      </c>
      <c r="J792" s="8" t="s">
        <v>292</v>
      </c>
      <c r="K792" s="8" t="s">
        <v>645</v>
      </c>
      <c r="L792" s="9" t="s">
        <v>658</v>
      </c>
      <c r="M792" s="11" t="n">
        <v>47361</v>
      </c>
      <c r="N792" s="8" t="str">
        <f aca="true">IF(M792="","Active (per Notice 1)",IF(M792&lt;TODAY(),"Expired",IF(M792&lt;TODAY()+180,"Expiring Soon","Active")))</f>
        <v>Active</v>
      </c>
      <c r="O792" s="16" t="s">
        <v>305</v>
      </c>
      <c r="P792" s="8" t="s">
        <v>424</v>
      </c>
      <c r="Q792" s="8" t="n">
        <v>3.15</v>
      </c>
      <c r="R792" s="8" t="n">
        <v>2</v>
      </c>
      <c r="S792" s="11" t="n">
        <v>44733</v>
      </c>
      <c r="T792" s="8" t="str">
        <f aca="true">IF(S792="","",IF(EDATE(S792,60)&lt;TODAY(),"Expired",IF(EDATE(S792,60)&lt;TODAY()+180,"Expiring Soon","Valid")))</f>
        <v>Valid</v>
      </c>
      <c r="U792" s="8" t="str">
        <f aca="false">IF(P792="","",IF(P792="A++","Top Tier",IF(P792="A+","High",IF(P792="A","Strong",IF(LEFT(P792,1)="B","Acceptable",IF(LEFT(P792,1)="C","Below Avg","-"))))))</f>
        <v>Strong</v>
      </c>
    </row>
    <row r="793" customFormat="false" ht="15" hidden="false" customHeight="true" outlineLevel="0" collapsed="false">
      <c r="A793" s="8" t="n">
        <v>792</v>
      </c>
      <c r="B793" s="8" t="s">
        <v>676</v>
      </c>
      <c r="C793" s="8" t="s">
        <v>606</v>
      </c>
      <c r="D793" s="8" t="s">
        <v>333</v>
      </c>
      <c r="E793" s="9" t="s">
        <v>677</v>
      </c>
      <c r="F793" s="9" t="s">
        <v>303</v>
      </c>
      <c r="G793" s="8" t="s">
        <v>304</v>
      </c>
      <c r="H793" s="8" t="s">
        <v>302</v>
      </c>
      <c r="I793" s="8" t="s">
        <v>291</v>
      </c>
      <c r="J793" s="8" t="s">
        <v>292</v>
      </c>
      <c r="K793" s="8" t="s">
        <v>645</v>
      </c>
      <c r="L793" s="9" t="s">
        <v>658</v>
      </c>
      <c r="M793" s="11" t="n">
        <v>47361</v>
      </c>
      <c r="N793" s="8" t="str">
        <f aca="true">IF(M793="","Active (per Notice 1)",IF(M793&lt;TODAY(),"Expired",IF(M793&lt;TODAY()+180,"Expiring Soon","Active")))</f>
        <v>Active</v>
      </c>
      <c r="O793" s="16" t="s">
        <v>305</v>
      </c>
      <c r="P793" s="8" t="s">
        <v>424</v>
      </c>
      <c r="Q793" s="8" t="n">
        <v>3.15</v>
      </c>
      <c r="R793" s="8" t="n">
        <v>2</v>
      </c>
      <c r="S793" s="11" t="n">
        <v>44733</v>
      </c>
      <c r="T793" s="8" t="str">
        <f aca="true">IF(S793="","",IF(EDATE(S793,60)&lt;TODAY(),"Expired",IF(EDATE(S793,60)&lt;TODAY()+180,"Expiring Soon","Valid")))</f>
        <v>Valid</v>
      </c>
      <c r="U793" s="8" t="str">
        <f aca="false">IF(P793="","",IF(P793="A++","Top Tier",IF(P793="A+","High",IF(P793="A","Strong",IF(LEFT(P793,1)="B","Acceptable",IF(LEFT(P793,1)="C","Below Avg","-"))))))</f>
        <v>Strong</v>
      </c>
    </row>
    <row r="794" customFormat="false" ht="23.25" hidden="false" customHeight="true" outlineLevel="0" collapsed="false">
      <c r="A794" s="8" t="n">
        <v>793</v>
      </c>
      <c r="B794" s="8" t="s">
        <v>680</v>
      </c>
      <c r="C794" s="8" t="s">
        <v>606</v>
      </c>
      <c r="D794" s="8" t="s">
        <v>333</v>
      </c>
      <c r="E794" s="9" t="s">
        <v>681</v>
      </c>
      <c r="F794" s="9" t="s">
        <v>682</v>
      </c>
      <c r="G794" s="8" t="s">
        <v>301</v>
      </c>
      <c r="H794" s="8" t="s">
        <v>302</v>
      </c>
      <c r="I794" s="8" t="s">
        <v>291</v>
      </c>
      <c r="J794" s="8" t="s">
        <v>292</v>
      </c>
      <c r="K794" s="8" t="s">
        <v>645</v>
      </c>
      <c r="L794" s="9" t="s">
        <v>649</v>
      </c>
      <c r="M794" s="11" t="n">
        <v>47542</v>
      </c>
      <c r="N794" s="8" t="str">
        <f aca="true">IF(M794="","Active (per Notice 1)",IF(M794&lt;TODAY(),"Expired",IF(M794&lt;TODAY()+180,"Expiring Soon","Active")))</f>
        <v>Active</v>
      </c>
      <c r="O794" s="17" t="s">
        <v>295</v>
      </c>
      <c r="P794" s="8" t="s">
        <v>424</v>
      </c>
      <c r="Q794" s="8" t="n">
        <v>3.22</v>
      </c>
      <c r="R794" s="8" t="n">
        <v>2</v>
      </c>
      <c r="S794" s="11" t="n">
        <v>44783</v>
      </c>
      <c r="T794" s="8" t="str">
        <f aca="true">IF(S794="","",IF(EDATE(S794,60)&lt;TODAY(),"Expired",IF(EDATE(S794,60)&lt;TODAY()+180,"Expiring Soon","Valid")))</f>
        <v>Valid</v>
      </c>
      <c r="U794" s="8" t="str">
        <f aca="false">IF(P794="","",IF(P794="A++","Top Tier",IF(P794="A+","High",IF(P794="A","Strong",IF(LEFT(P794,1)="B","Acceptable",IF(LEFT(P794,1)="C","Below Avg","-"))))))</f>
        <v>Strong</v>
      </c>
    </row>
    <row r="795" customFormat="false" ht="23.25" hidden="false" customHeight="true" outlineLevel="0" collapsed="false">
      <c r="A795" s="8" t="n">
        <v>794</v>
      </c>
      <c r="B795" s="8" t="s">
        <v>680</v>
      </c>
      <c r="C795" s="8" t="s">
        <v>606</v>
      </c>
      <c r="D795" s="8" t="s">
        <v>333</v>
      </c>
      <c r="E795" s="9" t="s">
        <v>681</v>
      </c>
      <c r="F795" s="9" t="s">
        <v>332</v>
      </c>
      <c r="G795" s="8" t="s">
        <v>304</v>
      </c>
      <c r="H795" s="8" t="s">
        <v>302</v>
      </c>
      <c r="I795" s="8" t="s">
        <v>291</v>
      </c>
      <c r="J795" s="8" t="s">
        <v>292</v>
      </c>
      <c r="K795" s="8" t="s">
        <v>645</v>
      </c>
      <c r="L795" s="9" t="s">
        <v>649</v>
      </c>
      <c r="M795" s="11" t="n">
        <v>47542</v>
      </c>
      <c r="N795" s="8" t="str">
        <f aca="true">IF(M795="","Active (per Notice 1)",IF(M795&lt;TODAY(),"Expired",IF(M795&lt;TODAY()+180,"Expiring Soon","Active")))</f>
        <v>Active</v>
      </c>
      <c r="O795" s="16" t="s">
        <v>305</v>
      </c>
      <c r="P795" s="8" t="s">
        <v>424</v>
      </c>
      <c r="Q795" s="8" t="n">
        <v>3.22</v>
      </c>
      <c r="R795" s="8" t="n">
        <v>2</v>
      </c>
      <c r="S795" s="11" t="n">
        <v>44783</v>
      </c>
      <c r="T795" s="8" t="str">
        <f aca="true">IF(S795="","",IF(EDATE(S795,60)&lt;TODAY(),"Expired",IF(EDATE(S795,60)&lt;TODAY()+180,"Expiring Soon","Valid")))</f>
        <v>Valid</v>
      </c>
      <c r="U795" s="8" t="str">
        <f aca="false">IF(P795="","",IF(P795="A++","Top Tier",IF(P795="A+","High",IF(P795="A","Strong",IF(LEFT(P795,1)="B","Acceptable",IF(LEFT(P795,1)="C","Below Avg","-"))))))</f>
        <v>Strong</v>
      </c>
    </row>
    <row r="796" customFormat="false" ht="15" hidden="false" customHeight="true" outlineLevel="0" collapsed="false">
      <c r="A796" s="8" t="n">
        <v>795</v>
      </c>
      <c r="B796" s="8" t="s">
        <v>683</v>
      </c>
      <c r="C796" s="8" t="s">
        <v>606</v>
      </c>
      <c r="D796" s="8" t="s">
        <v>315</v>
      </c>
      <c r="E796" s="9" t="s">
        <v>684</v>
      </c>
      <c r="F796" s="9" t="s">
        <v>317</v>
      </c>
      <c r="G796" s="8" t="s">
        <v>318</v>
      </c>
      <c r="H796" s="8" t="s">
        <v>290</v>
      </c>
      <c r="I796" s="8" t="s">
        <v>291</v>
      </c>
      <c r="J796" s="8" t="s">
        <v>292</v>
      </c>
      <c r="K796" s="8" t="s">
        <v>645</v>
      </c>
      <c r="L796" s="9" t="s">
        <v>666</v>
      </c>
      <c r="M796" s="11" t="n">
        <v>46081</v>
      </c>
      <c r="N796" s="8" t="str">
        <f aca="true">IF(M796="","Active (per Notice 1)",IF(M796&lt;TODAY(),"Expired",IF(M796&lt;TODAY()+180,"Expiring Soon","Active")))</f>
        <v>Expired</v>
      </c>
      <c r="O796" s="13" t="s">
        <v>292</v>
      </c>
      <c r="P796" s="8" t="s">
        <v>424</v>
      </c>
      <c r="Q796" s="8" t="n">
        <v>3.1</v>
      </c>
      <c r="R796" s="8" t="n">
        <v>2</v>
      </c>
      <c r="S796" s="11" t="n">
        <v>44950</v>
      </c>
      <c r="T796" s="8" t="str">
        <f aca="true">IF(S796="","",IF(EDATE(S796,60)&lt;TODAY(),"Expired",IF(EDATE(S796,60)&lt;TODAY()+180,"Expiring Soon","Valid")))</f>
        <v>Valid</v>
      </c>
      <c r="U796" s="8" t="str">
        <f aca="false">IF(P796="","",IF(P796="A++","Top Tier",IF(P796="A+","High",IF(P796="A","Strong",IF(LEFT(P796,1)="B","Acceptable",IF(LEFT(P796,1)="C","Below Avg","-"))))))</f>
        <v>Strong</v>
      </c>
      <c r="Y796" s="8" t="n">
        <v>4</v>
      </c>
      <c r="Z796" s="11" t="n">
        <v>46568</v>
      </c>
      <c r="AA796" s="8" t="s">
        <v>328</v>
      </c>
      <c r="AB796" s="8" t="s">
        <v>329</v>
      </c>
    </row>
    <row r="797" customFormat="false" ht="15" hidden="false" customHeight="true" outlineLevel="0" collapsed="false">
      <c r="A797" s="8" t="n">
        <v>796</v>
      </c>
      <c r="B797" s="8" t="s">
        <v>683</v>
      </c>
      <c r="C797" s="8" t="s">
        <v>606</v>
      </c>
      <c r="D797" s="8" t="s">
        <v>315</v>
      </c>
      <c r="E797" s="9" t="s">
        <v>684</v>
      </c>
      <c r="F797" s="9" t="s">
        <v>303</v>
      </c>
      <c r="G797" s="8" t="s">
        <v>304</v>
      </c>
      <c r="H797" s="8" t="s">
        <v>302</v>
      </c>
      <c r="I797" s="8" t="s">
        <v>291</v>
      </c>
      <c r="J797" s="8" t="s">
        <v>292</v>
      </c>
      <c r="K797" s="8" t="s">
        <v>645</v>
      </c>
      <c r="L797" s="9" t="s">
        <v>666</v>
      </c>
      <c r="M797" s="11" t="n">
        <v>46081</v>
      </c>
      <c r="N797" s="8" t="str">
        <f aca="true">IF(M797="","Active (per Notice 1)",IF(M797&lt;TODAY(),"Expired",IF(M797&lt;TODAY()+180,"Expiring Soon","Active")))</f>
        <v>Expired</v>
      </c>
      <c r="O797" s="13" t="s">
        <v>292</v>
      </c>
      <c r="P797" s="8" t="s">
        <v>424</v>
      </c>
      <c r="Q797" s="8" t="n">
        <v>3.1</v>
      </c>
      <c r="R797" s="8" t="n">
        <v>2</v>
      </c>
      <c r="S797" s="11" t="n">
        <v>44950</v>
      </c>
      <c r="T797" s="8" t="str">
        <f aca="true">IF(S797="","",IF(EDATE(S797,60)&lt;TODAY(),"Expired",IF(EDATE(S797,60)&lt;TODAY()+180,"Expiring Soon","Valid")))</f>
        <v>Valid</v>
      </c>
      <c r="U797" s="8" t="str">
        <f aca="false">IF(P797="","",IF(P797="A++","Top Tier",IF(P797="A+","High",IF(P797="A","Strong",IF(LEFT(P797,1)="B","Acceptable",IF(LEFT(P797,1)="C","Below Avg","-"))))))</f>
        <v>Strong</v>
      </c>
      <c r="Y797" s="8" t="n">
        <v>4</v>
      </c>
      <c r="Z797" s="11" t="n">
        <v>46568</v>
      </c>
      <c r="AA797" s="8" t="s">
        <v>328</v>
      </c>
      <c r="AB797" s="8" t="s">
        <v>329</v>
      </c>
    </row>
  </sheetData>
  <autoFilter ref="A1:AU797"/>
  <conditionalFormatting sqref="J2:J751">
    <cfRule type="cellIs" priority="2" operator="equal" aboveAverage="0" equalAverage="0" bottom="0" percent="0" rank="0" text="" dxfId="15">
      <formula>"Yes"</formula>
    </cfRule>
    <cfRule type="cellIs" priority="3" operator="equal" aboveAverage="0" equalAverage="0" bottom="0" percent="0" rank="0" text="" dxfId="16">
      <formula>"No"</formula>
    </cfRule>
  </conditionalFormatting>
  <conditionalFormatting sqref="K2:K751">
    <cfRule type="cellIs" priority="4" operator="equal" aboveAverage="0" equalAverage="0" bottom="0" percent="0" rank="0" text="" dxfId="15">
      <formula>"Yes"</formula>
    </cfRule>
    <cfRule type="cellIs" priority="5" operator="equal" aboveAverage="0" equalAverage="0" bottom="0" percent="0" rank="0" text="" dxfId="16">
      <formula>"No"</formula>
    </cfRule>
    <cfRule type="cellIs" priority="6" operator="equal" aboveAverage="0" equalAverage="0" bottom="0" percent="0" rank="0" text="" dxfId="17">
      <formula>"N/A"</formula>
    </cfRule>
    <cfRule type="expression" priority="7" aboveAverage="0" equalAverage="0" bottom="0" percent="0" rank="0" text="" dxfId="17">
      <formula>AND(K2="",ROW()&lt;=751)</formula>
    </cfRule>
  </conditionalFormatting>
  <conditionalFormatting sqref="L2:L751">
    <cfRule type="expression" priority="8" aboveAverage="0" equalAverage="0" bottom="0" percent="0" rank="0" text="" dxfId="17">
      <formula>L2=""</formula>
    </cfRule>
  </conditionalFormatting>
  <conditionalFormatting sqref="M2:M751">
    <cfRule type="expression" priority="9" aboveAverage="0" equalAverage="0" bottom="0" percent="0" rank="0" text="" dxfId="17">
      <formula>M2=""</formula>
    </cfRule>
  </conditionalFormatting>
  <conditionalFormatting sqref="N2:N751">
    <cfRule type="expression" priority="10" aboveAverage="0" equalAverage="0" bottom="0" percent="0" rank="0" text="" dxfId="17">
      <formula>N2=""</formula>
    </cfRule>
  </conditionalFormatting>
  <conditionalFormatting sqref="O2:O751">
    <cfRule type="expression" priority="11" aboveAverage="0" equalAverage="0" bottom="0" percent="0" rank="0" text="" dxfId="17">
      <formula>O2=""</formula>
    </cfRule>
  </conditionalFormatting>
  <conditionalFormatting sqref="P2:P751">
    <cfRule type="expression" priority="12" aboveAverage="0" equalAverage="0" bottom="0" percent="0" rank="0" text="" dxfId="17">
      <formula>P2=""</formula>
    </cfRule>
  </conditionalFormatting>
  <conditionalFormatting sqref="N2:N797">
    <cfRule type="cellIs" priority="13" operator="equal" aboveAverage="0" equalAverage="0" bottom="0" percent="0" rank="0" text="" dxfId="15">
      <formula>"Active"</formula>
    </cfRule>
    <cfRule type="cellIs" priority="14" operator="equal" aboveAverage="0" equalAverage="0" bottom="0" percent="0" rank="0" text="" dxfId="15">
      <formula>"Active (per Notice 1)"</formula>
    </cfRule>
    <cfRule type="cellIs" priority="15" operator="equal" aboveAverage="0" equalAverage="0" bottom="0" percent="0" rank="0" text="" dxfId="17">
      <formula>"Expiring Soon"</formula>
    </cfRule>
    <cfRule type="cellIs" priority="16" operator="equal" aboveAverage="0" equalAverage="0" bottom="0" percent="0" rank="0" text="" dxfId="16">
      <formula>"Expired"</formula>
    </cfRule>
  </conditionalFormatting>
  <conditionalFormatting sqref="R2:R797">
    <cfRule type="cellIs" priority="17" operator="lessThanOrEqual" aboveAverage="0" equalAverage="0" bottom="0" percent="0" rank="0" text="" dxfId="15">
      <formula>10</formula>
    </cfRule>
    <cfRule type="cellIs" priority="18" operator="between" aboveAverage="0" equalAverage="0" bottom="0" percent="0" rank="0" text="" dxfId="18">
      <formula>11</formula>
      <formula>50</formula>
    </cfRule>
    <cfRule type="cellIs" priority="19" operator="between" aboveAverage="0" equalAverage="0" bottom="0" percent="0" rank="0" text="" dxfId="19">
      <formula>51</formula>
      <formula>100</formula>
    </cfRule>
  </conditionalFormatting>
  <conditionalFormatting sqref="S2:S797">
    <cfRule type="cellIs" priority="20" operator="lessThanOrEqual" aboveAverage="0" equalAverage="0" bottom="0" percent="0" rank="0" text="" dxfId="15">
      <formula>10</formula>
    </cfRule>
    <cfRule type="cellIs" priority="21" operator="between" aboveAverage="0" equalAverage="0" bottom="0" percent="0" rank="0" text="" dxfId="18">
      <formula>11</formula>
      <formula>50</formula>
    </cfRule>
    <cfRule type="cellIs" priority="22" operator="between" aboveAverage="0" equalAverage="0" bottom="0" percent="0" rank="0" text="" dxfId="19">
      <formula>51</formula>
      <formula>100</formula>
    </cfRule>
  </conditionalFormatting>
  <conditionalFormatting sqref="T2:T797">
    <cfRule type="cellIs" priority="23" operator="lessThanOrEqual" aboveAverage="0" equalAverage="0" bottom="0" percent="0" rank="0" text="" dxfId="15">
      <formula>10</formula>
    </cfRule>
    <cfRule type="cellIs" priority="24" operator="between" aboveAverage="0" equalAverage="0" bottom="0" percent="0" rank="0" text="" dxfId="18">
      <formula>11</formula>
      <formula>50</formula>
    </cfRule>
    <cfRule type="cellIs" priority="25" operator="between" aboveAverage="0" equalAverage="0" bottom="0" percent="0" rank="0" text="" dxfId="19">
      <formula>51</formula>
      <formula>100</formula>
    </cfRule>
    <cfRule type="cellIs" priority="26" operator="equal" aboveAverage="0" equalAverage="0" bottom="0" percent="0" rank="0" text="" dxfId="15">
      <formula>"Valid"</formula>
    </cfRule>
    <cfRule type="cellIs" priority="27" operator="equal" aboveAverage="0" equalAverage="0" bottom="0" percent="0" rank="0" text="" dxfId="17">
      <formula>"Expiring Soon"</formula>
    </cfRule>
    <cfRule type="cellIs" priority="28" operator="equal" aboveAverage="0" equalAverage="0" bottom="0" percent="0" rank="0" text="" dxfId="16">
      <formula>"Expired"</formula>
    </cfRule>
  </conditionalFormatting>
  <conditionalFormatting sqref="U2:U797">
    <cfRule type="cellIs" priority="29" operator="lessThanOrEqual" aboveAverage="0" equalAverage="0" bottom="0" percent="0" rank="0" text="" dxfId="15">
      <formula>10</formula>
    </cfRule>
    <cfRule type="cellIs" priority="30" operator="between" aboveAverage="0" equalAverage="0" bottom="0" percent="0" rank="0" text="" dxfId="18">
      <formula>11</formula>
      <formula>50</formula>
    </cfRule>
    <cfRule type="cellIs" priority="31" operator="between" aboveAverage="0" equalAverage="0" bottom="0" percent="0" rank="0" text="" dxfId="19">
      <formula>51</formula>
      <formula>100</formula>
    </cfRule>
  </conditionalFormatting>
  <conditionalFormatting sqref="V2:V797">
    <cfRule type="cellIs" priority="32" operator="lessThanOrEqual" aboveAverage="0" equalAverage="0" bottom="0" percent="0" rank="0" text="" dxfId="15">
      <formula>10</formula>
    </cfRule>
    <cfRule type="cellIs" priority="33" operator="between" aboveAverage="0" equalAverage="0" bottom="0" percent="0" rank="0" text="" dxfId="18">
      <formula>11</formula>
      <formula>50</formula>
    </cfRule>
    <cfRule type="cellIs" priority="34" operator="between" aboveAverage="0" equalAverage="0" bottom="0" percent="0" rank="0" text="" dxfId="19">
      <formula>51</formula>
      <formula>100</formula>
    </cfRule>
    <cfRule type="cellIs" priority="35" operator="equal" aboveAverage="0" equalAverage="0" bottom="0" percent="0" rank="0" text="" dxfId="20">
      <formula>"Accredited"</formula>
    </cfRule>
    <cfRule type="cellIs" priority="36" operator="equal" aboveAverage="0" equalAverage="0" bottom="0" percent="0" rank="0" text="" dxfId="17">
      <formula>"Member-Only"</formula>
    </cfRule>
  </conditionalFormatting>
  <conditionalFormatting sqref="W2:W797">
    <cfRule type="cellIs" priority="37" operator="lessThanOrEqual" aboveAverage="0" equalAverage="0" bottom="0" percent="0" rank="0" text="" dxfId="15">
      <formula>10</formula>
    </cfRule>
    <cfRule type="cellIs" priority="38" operator="between" aboveAverage="0" equalAverage="0" bottom="0" percent="0" rank="0" text="" dxfId="18">
      <formula>11</formula>
      <formula>50</formula>
    </cfRule>
    <cfRule type="cellIs" priority="39" operator="between" aboveAverage="0" equalAverage="0" bottom="0" percent="0" rank="0" text="" dxfId="19">
      <formula>51</formula>
      <formula>100</formula>
    </cfRule>
  </conditionalFormatting>
  <conditionalFormatting sqref="X2:X797">
    <cfRule type="cellIs" priority="40" operator="lessThanOrEqual" aboveAverage="0" equalAverage="0" bottom="0" percent="0" rank="0" text="" dxfId="15">
      <formula>10</formula>
    </cfRule>
    <cfRule type="cellIs" priority="41" operator="between" aboveAverage="0" equalAverage="0" bottom="0" percent="0" rank="0" text="" dxfId="18">
      <formula>11</formula>
      <formula>50</formula>
    </cfRule>
    <cfRule type="cellIs" priority="42" operator="between" aboveAverage="0" equalAverage="0" bottom="0" percent="0" rank="0" text="" dxfId="19">
      <formula>51</formula>
      <formula>100</formula>
    </cfRule>
  </conditionalFormatting>
  <conditionalFormatting sqref="Y2:Y797">
    <cfRule type="cellIs" priority="43" operator="lessThanOrEqual" aboveAverage="0" equalAverage="0" bottom="0" percent="0" rank="0" text="" dxfId="15">
      <formula>10</formula>
    </cfRule>
    <cfRule type="cellIs" priority="44" operator="between" aboveAverage="0" equalAverage="0" bottom="0" percent="0" rank="0" text="" dxfId="18">
      <formula>11</formula>
      <formula>50</formula>
    </cfRule>
    <cfRule type="cellIs" priority="45" operator="between" aboveAverage="0" equalAverage="0" bottom="0" percent="0" rank="0" text="" dxfId="19">
      <formula>51</formula>
      <formula>100</formula>
    </cfRule>
  </conditionalFormatting>
  <conditionalFormatting sqref="Z2:Z797">
    <cfRule type="cellIs" priority="46" operator="lessThanOrEqual" aboveAverage="0" equalAverage="0" bottom="0" percent="0" rank="0" text="" dxfId="15">
      <formula>10</formula>
    </cfRule>
    <cfRule type="cellIs" priority="47" operator="between" aboveAverage="0" equalAverage="0" bottom="0" percent="0" rank="0" text="" dxfId="18">
      <formula>11</formula>
      <formula>50</formula>
    </cfRule>
    <cfRule type="cellIs" priority="48" operator="between" aboveAverage="0" equalAverage="0" bottom="0" percent="0" rank="0" text="" dxfId="19">
      <formula>51</formula>
      <formula>100</formula>
    </cfRule>
  </conditionalFormatting>
  <conditionalFormatting sqref="AA2:AA797">
    <cfRule type="cellIs" priority="49" operator="lessThanOrEqual" aboveAverage="0" equalAverage="0" bottom="0" percent="0" rank="0" text="" dxfId="15">
      <formula>10</formula>
    </cfRule>
    <cfRule type="cellIs" priority="50" operator="between" aboveAverage="0" equalAverage="0" bottom="0" percent="0" rank="0" text="" dxfId="18">
      <formula>11</formula>
      <formula>50</formula>
    </cfRule>
    <cfRule type="cellIs" priority="51" operator="between" aboveAverage="0" equalAverage="0" bottom="0" percent="0" rank="0" text="" dxfId="19">
      <formula>51</formula>
      <formula>100</formula>
    </cfRule>
    <cfRule type="cellIs" priority="52" operator="equal" aboveAverage="0" equalAverage="0" bottom="0" percent="0" rank="0" text="" dxfId="15">
      <formula>"All Valid"</formula>
    </cfRule>
    <cfRule type="cellIs" priority="53" operator="equal" aboveAverage="0" equalAverage="0" bottom="0" percent="0" rank="0" text="" dxfId="17">
      <formula>"Mixed"</formula>
    </cfRule>
    <cfRule type="cellIs" priority="54" operator="equal" aboveAverage="0" equalAverage="0" bottom="0" percent="0" rank="0" text="" dxfId="16">
      <formula>"All Expired"</formula>
    </cfRule>
  </conditionalFormatting>
  <conditionalFormatting sqref="AB2:AB797">
    <cfRule type="cellIs" priority="55" operator="lessThanOrEqual" aboveAverage="0" equalAverage="0" bottom="0" percent="0" rank="0" text="" dxfId="15">
      <formula>10</formula>
    </cfRule>
    <cfRule type="cellIs" priority="56" operator="between" aboveAverage="0" equalAverage="0" bottom="0" percent="0" rank="0" text="" dxfId="18">
      <formula>11</formula>
      <formula>50</formula>
    </cfRule>
    <cfRule type="cellIs" priority="57" operator="between" aboveAverage="0" equalAverage="0" bottom="0" percent="0" rank="0" text="" dxfId="19">
      <formula>51</formula>
      <formula>100</formula>
    </cfRule>
  </conditionalFormatting>
  <conditionalFormatting sqref="AC2:AC797">
    <cfRule type="cellIs" priority="58" operator="lessThanOrEqual" aboveAverage="0" equalAverage="0" bottom="0" percent="0" rank="0" text="" dxfId="15">
      <formula>10</formula>
    </cfRule>
    <cfRule type="cellIs" priority="59" operator="between" aboveAverage="0" equalAverage="0" bottom="0" percent="0" rank="0" text="" dxfId="18">
      <formula>11</formula>
      <formula>50</formula>
    </cfRule>
    <cfRule type="cellIs" priority="60" operator="between" aboveAverage="0" equalAverage="0" bottom="0" percent="0" rank="0" text="" dxfId="19">
      <formula>51</formula>
      <formula>100</formula>
    </cfRule>
  </conditionalFormatting>
  <conditionalFormatting sqref="AD2:AD797">
    <cfRule type="cellIs" priority="61" operator="lessThanOrEqual" aboveAverage="0" equalAverage="0" bottom="0" percent="0" rank="0" text="" dxfId="15">
      <formula>10</formula>
    </cfRule>
    <cfRule type="cellIs" priority="62" operator="between" aboveAverage="0" equalAverage="0" bottom="0" percent="0" rank="0" text="" dxfId="18">
      <formula>11</formula>
      <formula>50</formula>
    </cfRule>
    <cfRule type="cellIs" priority="63" operator="between" aboveAverage="0" equalAverage="0" bottom="0" percent="0" rank="0" text="" dxfId="19">
      <formula>51</formula>
      <formula>100</formula>
    </cfRule>
  </conditionalFormatting>
  <conditionalFormatting sqref="AE2:AE797">
    <cfRule type="cellIs" priority="64" operator="lessThanOrEqual" aboveAverage="0" equalAverage="0" bottom="0" percent="0" rank="0" text="" dxfId="15">
      <formula>10</formula>
    </cfRule>
    <cfRule type="cellIs" priority="65" operator="between" aboveAverage="0" equalAverage="0" bottom="0" percent="0" rank="0" text="" dxfId="18">
      <formula>11</formula>
      <formula>50</formula>
    </cfRule>
    <cfRule type="cellIs" priority="66" operator="between" aboveAverage="0" equalAverage="0" bottom="0" percent="0" rank="0" text="" dxfId="19">
      <formula>51</formula>
      <formula>100</formula>
    </cfRule>
  </conditionalFormatting>
  <conditionalFormatting sqref="AF2:AF797">
    <cfRule type="cellIs" priority="67" operator="lessThanOrEqual" aboveAverage="0" equalAverage="0" bottom="0" percent="0" rank="0" text="" dxfId="15">
      <formula>10</formula>
    </cfRule>
    <cfRule type="cellIs" priority="68" operator="between" aboveAverage="0" equalAverage="0" bottom="0" percent="0" rank="0" text="" dxfId="18">
      <formula>11</formula>
      <formula>50</formula>
    </cfRule>
    <cfRule type="cellIs" priority="69" operator="between" aboveAverage="0" equalAverage="0" bottom="0" percent="0" rank="0" text="" dxfId="19">
      <formula>51</formula>
      <formula>100</formula>
    </cfRule>
  </conditionalFormatting>
  <conditionalFormatting sqref="AG2:AG797">
    <cfRule type="cellIs" priority="70" operator="lessThanOrEqual" aboveAverage="0" equalAverage="0" bottom="0" percent="0" rank="0" text="" dxfId="15">
      <formula>10</formula>
    </cfRule>
    <cfRule type="cellIs" priority="71" operator="between" aboveAverage="0" equalAverage="0" bottom="0" percent="0" rank="0" text="" dxfId="18">
      <formula>11</formula>
      <formula>50</formula>
    </cfRule>
    <cfRule type="cellIs" priority="72" operator="between" aboveAverage="0" equalAverage="0" bottom="0" percent="0" rank="0" text="" dxfId="19">
      <formula>51</formula>
      <formula>100</formula>
    </cfRule>
  </conditionalFormatting>
  <conditionalFormatting sqref="AH2:AH797">
    <cfRule type="cellIs" priority="73" operator="lessThanOrEqual" aboveAverage="0" equalAverage="0" bottom="0" percent="0" rank="0" text="" dxfId="15">
      <formula>10</formula>
    </cfRule>
    <cfRule type="cellIs" priority="74" operator="between" aboveAverage="0" equalAverage="0" bottom="0" percent="0" rank="0" text="" dxfId="18">
      <formula>11</formula>
      <formula>50</formula>
    </cfRule>
    <cfRule type="cellIs" priority="75" operator="between" aboveAverage="0" equalAverage="0" bottom="0" percent="0" rank="0" text="" dxfId="19">
      <formula>51</formula>
      <formula>100</formula>
    </cfRule>
  </conditionalFormatting>
  <conditionalFormatting sqref="P2:P797">
    <cfRule type="cellIs" priority="76" operator="equal" aboveAverage="0" equalAverage="0" bottom="0" percent="0" rank="0" text="" dxfId="20">
      <formula>"A++"</formula>
    </cfRule>
    <cfRule type="cellIs" priority="77" operator="equal" aboveAverage="0" equalAverage="0" bottom="0" percent="0" rank="0" text="" dxfId="21">
      <formula>"A+"</formula>
    </cfRule>
    <cfRule type="cellIs" priority="78" operator="equal" aboveAverage="0" equalAverage="0" bottom="0" percent="0" rank="0" text="" dxfId="15">
      <formula>"A"</formula>
    </cfRule>
    <cfRule type="cellIs" priority="79" operator="equal" aboveAverage="0" equalAverage="0" bottom="0" percent="0" rank="0" text="" dxfId="17">
      <formula>"B++"</formula>
    </cfRule>
    <cfRule type="cellIs" priority="80" operator="equal" aboveAverage="0" equalAverage="0" bottom="0" percent="0" rank="0" text="" dxfId="17">
      <formula>"B+"</formula>
    </cfRule>
    <cfRule type="cellIs" priority="81" operator="equal" aboveAverage="0" equalAverage="0" bottom="0" percent="0" rank="0" text="" dxfId="17">
      <formula>"B"</formula>
    </cfRule>
    <cfRule type="cellIs" priority="82" operator="equal" aboveAverage="0" equalAverage="0" bottom="0" percent="0" rank="0" text="" dxfId="16">
      <formula>"C"</formula>
    </cfRule>
  </conditionalFormatting>
  <hyperlinks>
    <hyperlink ref="X86" r:id="rId1" display="https://www.aacsb.edu/accredited/i/indian-institute-of-foreign-trade"/>
    <hyperlink ref="X207" r:id="rId2" display="https://www.aacsb.edu/accredited/t/t-a-pai-management-institute"/>
    <hyperlink ref="X211" r:id="rId3" display="https://www.aacsb.edu/accredited/t/t-a-pai-management-institute"/>
    <hyperlink ref="X212" r:id="rId4" display="https://www.aacsb.edu/accredited/t/t-a-pai-management-institute"/>
    <hyperlink ref="X319" r:id="rId5" display="https://www.aacsb.edu/accredited/s/symbiosis-international-university-symbiosis-centre-for-management-and-human-resource-development"/>
    <hyperlink ref="X320" r:id="rId6" display="https://www.aacsb.edu/accredited/s/symbiosis-international-university-symbiosis-centre-for-management-and-human-resource-development"/>
    <hyperlink ref="X337" r:id="rId7" display="https://www.aacsb.edu/accredited/s/school-of-business-management-svkms-nmims-university"/>
    <hyperlink ref="X339" r:id="rId8" display="https://www.aacsb.edu/accredited/s/school-of-business-management-svkms-nmims-university"/>
    <hyperlink ref="X340" r:id="rId9" display="https://www.aacsb.edu/accredited/s/school-of-business-management-svkms-nmims-university"/>
    <hyperlink ref="X572" r:id="rId10" display="https://www.aacsb.edu/accredited/a/amrita-school-of-business-coimbatore-amrita-vishwa-vidyapeetham"/>
    <hyperlink ref="X595" r:id="rId11" display="https://www.aacsb.edu/accredited/v/vit-business-school-vellore-institute-of-technology"/>
    <hyperlink ref="X622" r:id="rId12" display="https://www.aacsb.edu/accredited/i/icfai-business-school-hyderabad"/>
    <hyperlink ref="X623" r:id="rId13" display="https://www.aacsb.edu/accredited/i/icfai-business-school-hyderab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4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1" min="10" style="1" width="16"/>
    <col collapsed="false" customWidth="true" hidden="false" outlineLevel="0" max="12" min="12" style="1" width="11"/>
    <col collapsed="false" customWidth="true" hidden="false" outlineLevel="0" max="13" min="13" style="1" width="32"/>
    <col collapsed="false" customWidth="true" hidden="false" outlineLevel="0" max="14" min="14" style="1" width="14"/>
    <col collapsed="false" customWidth="true" hidden="false" outlineLevel="0" max="15" min="15" style="1" width="11"/>
    <col collapsed="false" customWidth="true" hidden="false" outlineLevel="0" max="16" min="16" style="1" width="13"/>
  </cols>
  <sheetData>
    <row r="1" customFormat="false" ht="39" hidden="false" customHeight="true" outlineLevel="0" collapsed="false">
      <c r="A1" s="6" t="s">
        <v>238</v>
      </c>
      <c r="B1" s="6" t="s">
        <v>239</v>
      </c>
      <c r="C1" s="6" t="s">
        <v>240</v>
      </c>
      <c r="D1" s="6" t="s">
        <v>241</v>
      </c>
      <c r="E1" s="6" t="s">
        <v>242</v>
      </c>
      <c r="F1" s="6" t="s">
        <v>685</v>
      </c>
      <c r="G1" s="6" t="s">
        <v>686</v>
      </c>
      <c r="H1" s="6" t="s">
        <v>253</v>
      </c>
      <c r="I1" s="6" t="s">
        <v>254</v>
      </c>
      <c r="J1" s="6" t="s">
        <v>687</v>
      </c>
      <c r="K1" s="6" t="s">
        <v>688</v>
      </c>
      <c r="L1" s="6" t="s">
        <v>689</v>
      </c>
      <c r="M1" s="6" t="s">
        <v>690</v>
      </c>
      <c r="N1" s="7" t="s">
        <v>691</v>
      </c>
      <c r="O1" s="7" t="s">
        <v>692</v>
      </c>
      <c r="P1" s="7" t="s">
        <v>264</v>
      </c>
      <c r="Q1" s="6" t="s">
        <v>284</v>
      </c>
    </row>
    <row r="2" customFormat="false" ht="15" hidden="false" customHeight="true" outlineLevel="0" collapsed="false">
      <c r="A2" s="8" t="n">
        <v>1</v>
      </c>
      <c r="B2" s="8" t="n">
        <v>1</v>
      </c>
      <c r="C2" s="8" t="s">
        <v>285</v>
      </c>
      <c r="D2" s="8" t="s">
        <v>286</v>
      </c>
      <c r="E2" s="9" t="s">
        <v>287</v>
      </c>
      <c r="F2" s="8" t="n">
        <f aca="false">COUNTIF(Master_Online!E:E,E2)</f>
        <v>12</v>
      </c>
      <c r="G2" s="8" t="s">
        <v>693</v>
      </c>
      <c r="H2" s="8" t="s">
        <v>296</v>
      </c>
      <c r="I2" s="8" t="n">
        <v>3.74</v>
      </c>
      <c r="J2" s="8" t="n">
        <v>23</v>
      </c>
      <c r="K2" s="8"/>
      <c r="L2" s="8" t="n">
        <v>2025</v>
      </c>
      <c r="M2" s="9"/>
      <c r="Q2" s="9"/>
    </row>
    <row r="3" customFormat="false" ht="15" hidden="false" customHeight="true" outlineLevel="0" collapsed="false">
      <c r="A3" s="8" t="n">
        <v>2</v>
      </c>
      <c r="B3" s="8" t="n">
        <v>2</v>
      </c>
      <c r="C3" s="8" t="s">
        <v>285</v>
      </c>
      <c r="D3" s="8" t="s">
        <v>315</v>
      </c>
      <c r="E3" s="9" t="s">
        <v>316</v>
      </c>
      <c r="F3" s="8" t="n">
        <f aca="false">COUNTIF(Master_Online!E:E,E3)</f>
        <v>8</v>
      </c>
      <c r="G3" s="8" t="s">
        <v>693</v>
      </c>
      <c r="H3" s="8"/>
      <c r="I3" s="8"/>
      <c r="J3" s="8" t="n">
        <v>26</v>
      </c>
      <c r="K3" s="8" t="n">
        <v>70</v>
      </c>
      <c r="L3" s="8" t="n">
        <v>2025</v>
      </c>
      <c r="M3" s="9"/>
      <c r="Q3" s="9"/>
    </row>
    <row r="4" customFormat="false" ht="23.25" hidden="false" customHeight="true" outlineLevel="0" collapsed="false">
      <c r="A4" s="8" t="n">
        <v>3</v>
      </c>
      <c r="B4" s="8" t="n">
        <v>3</v>
      </c>
      <c r="C4" s="8" t="s">
        <v>285</v>
      </c>
      <c r="D4" s="8" t="s">
        <v>315</v>
      </c>
      <c r="E4" s="9" t="s">
        <v>325</v>
      </c>
      <c r="F4" s="8" t="n">
        <f aca="false">COUNTIF(Master_Online!E:E,E4)</f>
        <v>6</v>
      </c>
      <c r="G4" s="8" t="s">
        <v>693</v>
      </c>
      <c r="H4" s="8" t="s">
        <v>327</v>
      </c>
      <c r="I4" s="8" t="n">
        <v>3.49</v>
      </c>
      <c r="J4" s="8" t="n">
        <v>70</v>
      </c>
      <c r="K4" s="8"/>
      <c r="L4" s="8" t="n">
        <v>2025</v>
      </c>
      <c r="M4" s="9"/>
      <c r="O4" s="8" t="n">
        <v>4</v>
      </c>
      <c r="P4" s="8" t="s">
        <v>328</v>
      </c>
      <c r="Q4" s="9"/>
    </row>
    <row r="5" customFormat="false" ht="15" hidden="false" customHeight="true" outlineLevel="0" collapsed="false">
      <c r="A5" s="8" t="n">
        <v>4</v>
      </c>
      <c r="B5" s="8" t="n">
        <v>4</v>
      </c>
      <c r="C5" s="8" t="s">
        <v>285</v>
      </c>
      <c r="D5" s="8" t="s">
        <v>333</v>
      </c>
      <c r="E5" s="9" t="s">
        <v>334</v>
      </c>
      <c r="F5" s="8" t="n">
        <f aca="false">COUNTIF(Master_Online!E:E,E5)</f>
        <v>5</v>
      </c>
      <c r="G5" s="8" t="s">
        <v>693</v>
      </c>
      <c r="H5" s="8"/>
      <c r="I5" s="8"/>
      <c r="J5" s="8"/>
      <c r="K5" s="8"/>
      <c r="L5" s="8"/>
      <c r="M5" s="9"/>
      <c r="Q5" s="9"/>
    </row>
    <row r="6" customFormat="false" ht="15" hidden="false" customHeight="true" outlineLevel="0" collapsed="false">
      <c r="A6" s="8" t="n">
        <v>5</v>
      </c>
      <c r="B6" s="8" t="n">
        <v>5</v>
      </c>
      <c r="C6" s="8" t="s">
        <v>335</v>
      </c>
      <c r="D6" s="8" t="s">
        <v>333</v>
      </c>
      <c r="E6" s="9" t="s">
        <v>336</v>
      </c>
      <c r="F6" s="8" t="n">
        <f aca="false">COUNTIF(Master_Online!E:E,E6)</f>
        <v>4</v>
      </c>
      <c r="G6" s="8" t="s">
        <v>693</v>
      </c>
      <c r="H6" s="8" t="s">
        <v>327</v>
      </c>
      <c r="I6" s="8" t="n">
        <v>3.34</v>
      </c>
      <c r="J6" s="8"/>
      <c r="K6" s="8"/>
      <c r="L6" s="8"/>
      <c r="M6" s="9"/>
      <c r="Q6" s="9"/>
    </row>
    <row r="7" customFormat="false" ht="15" hidden="false" customHeight="true" outlineLevel="0" collapsed="false">
      <c r="A7" s="8" t="n">
        <v>6</v>
      </c>
      <c r="B7" s="8" t="n">
        <v>6</v>
      </c>
      <c r="C7" s="8" t="s">
        <v>337</v>
      </c>
      <c r="D7" s="8" t="s">
        <v>338</v>
      </c>
      <c r="E7" s="9" t="s">
        <v>339</v>
      </c>
      <c r="F7" s="8" t="n">
        <f aca="false">COUNTIF(Master_Online!E:E,E7)</f>
        <v>13</v>
      </c>
      <c r="G7" s="8" t="s">
        <v>693</v>
      </c>
      <c r="H7" s="8" t="s">
        <v>296</v>
      </c>
      <c r="I7" s="8" t="n">
        <v>3.62</v>
      </c>
      <c r="J7" s="8"/>
      <c r="K7" s="8"/>
      <c r="L7" s="8" t="n">
        <v>2025</v>
      </c>
      <c r="M7" s="9"/>
      <c r="Q7" s="9"/>
    </row>
    <row r="8" customFormat="false" ht="15" hidden="false" customHeight="true" outlineLevel="0" collapsed="false">
      <c r="A8" s="8" t="n">
        <v>7</v>
      </c>
      <c r="B8" s="8" t="n">
        <v>7</v>
      </c>
      <c r="C8" s="8" t="s">
        <v>337</v>
      </c>
      <c r="D8" s="8" t="s">
        <v>333</v>
      </c>
      <c r="E8" s="9" t="s">
        <v>349</v>
      </c>
      <c r="F8" s="8" t="n">
        <f aca="false">COUNTIF(Master_Online!E:E,E8)</f>
        <v>5</v>
      </c>
      <c r="G8" s="8" t="s">
        <v>693</v>
      </c>
      <c r="H8" s="8" t="s">
        <v>327</v>
      </c>
      <c r="I8" s="8" t="n">
        <v>3.3</v>
      </c>
      <c r="J8" s="8"/>
      <c r="K8" s="8"/>
      <c r="L8" s="8"/>
      <c r="M8" s="9"/>
      <c r="Q8" s="9"/>
    </row>
    <row r="9" customFormat="false" ht="15" hidden="false" customHeight="true" outlineLevel="0" collapsed="false">
      <c r="A9" s="8" t="n">
        <v>8</v>
      </c>
      <c r="B9" s="8" t="n">
        <v>8</v>
      </c>
      <c r="C9" s="8" t="s">
        <v>350</v>
      </c>
      <c r="D9" s="8" t="s">
        <v>315</v>
      </c>
      <c r="E9" s="9" t="s">
        <v>351</v>
      </c>
      <c r="F9" s="8" t="n">
        <f aca="false">COUNTIF(Master_Online!E:E,E9)</f>
        <v>8</v>
      </c>
      <c r="G9" s="8" t="s">
        <v>693</v>
      </c>
      <c r="H9" s="8" t="s">
        <v>327</v>
      </c>
      <c r="I9" s="8" t="n">
        <v>3.41</v>
      </c>
      <c r="J9" s="8" t="n">
        <v>47</v>
      </c>
      <c r="K9" s="8" t="n">
        <v>87</v>
      </c>
      <c r="L9" s="8" t="n">
        <v>2025</v>
      </c>
      <c r="M9" s="9"/>
      <c r="Q9" s="9"/>
    </row>
    <row r="10" customFormat="false" ht="15" hidden="false" customHeight="true" outlineLevel="0" collapsed="false">
      <c r="A10" s="8" t="n">
        <v>9</v>
      </c>
      <c r="B10" s="8" t="n">
        <v>9</v>
      </c>
      <c r="C10" s="8" t="s">
        <v>350</v>
      </c>
      <c r="D10" s="8" t="s">
        <v>338</v>
      </c>
      <c r="E10" s="9" t="s">
        <v>355</v>
      </c>
      <c r="F10" s="8" t="n">
        <f aca="false">COUNTIF(Master_Online!E:E,E10)</f>
        <v>12</v>
      </c>
      <c r="G10" s="8" t="s">
        <v>693</v>
      </c>
      <c r="H10" s="8" t="s">
        <v>296</v>
      </c>
      <c r="I10" s="8" t="n">
        <v>3.61</v>
      </c>
      <c r="J10" s="8" t="n">
        <v>4</v>
      </c>
      <c r="K10" s="8" t="n">
        <v>28</v>
      </c>
      <c r="L10" s="8" t="n">
        <v>2025</v>
      </c>
      <c r="M10" s="9"/>
      <c r="O10" s="8" t="n">
        <v>7</v>
      </c>
      <c r="P10" s="8" t="s">
        <v>357</v>
      </c>
      <c r="Q10" s="9"/>
    </row>
    <row r="11" customFormat="false" ht="15" hidden="false" customHeight="true" outlineLevel="0" collapsed="false">
      <c r="A11" s="8" t="n">
        <v>10</v>
      </c>
      <c r="B11" s="8" t="n">
        <v>10</v>
      </c>
      <c r="C11" s="8" t="s">
        <v>350</v>
      </c>
      <c r="D11" s="8" t="s">
        <v>338</v>
      </c>
      <c r="E11" s="9" t="s">
        <v>365</v>
      </c>
      <c r="F11" s="8" t="n">
        <f aca="false">COUNTIF(Master_Online!E:E,E11)</f>
        <v>1</v>
      </c>
      <c r="G11" s="8" t="s">
        <v>693</v>
      </c>
      <c r="H11" s="8" t="s">
        <v>296</v>
      </c>
      <c r="I11" s="8" t="n">
        <v>3.62</v>
      </c>
      <c r="J11" s="8" t="n">
        <v>2</v>
      </c>
      <c r="K11" s="8"/>
      <c r="L11" s="8" t="n">
        <v>2025</v>
      </c>
      <c r="M11" s="9"/>
      <c r="Q11" s="9"/>
    </row>
    <row r="12" customFormat="false" ht="15" hidden="false" customHeight="true" outlineLevel="0" collapsed="false">
      <c r="A12" s="8" t="n">
        <v>11</v>
      </c>
      <c r="B12" s="8" t="n">
        <v>11</v>
      </c>
      <c r="C12" s="8" t="s">
        <v>350</v>
      </c>
      <c r="D12" s="8" t="s">
        <v>338</v>
      </c>
      <c r="E12" s="9" t="s">
        <v>367</v>
      </c>
      <c r="F12" s="8" t="n">
        <f aca="false">COUNTIF(Master_Online!E:E,E12)</f>
        <v>6</v>
      </c>
      <c r="G12" s="8" t="s">
        <v>693</v>
      </c>
      <c r="H12" s="8" t="s">
        <v>296</v>
      </c>
      <c r="I12" s="8" t="n">
        <v>3.6</v>
      </c>
      <c r="J12" s="8"/>
      <c r="K12" s="8"/>
      <c r="L12" s="8"/>
      <c r="M12" s="9"/>
      <c r="Q12" s="9"/>
    </row>
    <row r="13" customFormat="false" ht="15" hidden="false" customHeight="true" outlineLevel="0" collapsed="false">
      <c r="A13" s="8" t="n">
        <v>12</v>
      </c>
      <c r="B13" s="8" t="n">
        <v>12</v>
      </c>
      <c r="C13" s="8" t="s">
        <v>350</v>
      </c>
      <c r="D13" s="8" t="s">
        <v>286</v>
      </c>
      <c r="E13" s="9" t="s">
        <v>376</v>
      </c>
      <c r="F13" s="8" t="n">
        <f aca="false">COUNTIF(Master_Online!E:E,E13)</f>
        <v>4</v>
      </c>
      <c r="G13" s="8" t="s">
        <v>693</v>
      </c>
      <c r="H13" s="8" t="s">
        <v>296</v>
      </c>
      <c r="I13" s="8" t="n">
        <v>3.56</v>
      </c>
      <c r="J13" s="8" t="n">
        <v>93</v>
      </c>
      <c r="K13" s="8" t="n">
        <v>76</v>
      </c>
      <c r="L13" s="8" t="n">
        <v>2025</v>
      </c>
      <c r="M13" s="9"/>
      <c r="Q13" s="9"/>
    </row>
    <row r="14" customFormat="false" ht="15" hidden="false" customHeight="true" outlineLevel="0" collapsed="false">
      <c r="A14" s="8" t="n">
        <v>13</v>
      </c>
      <c r="B14" s="8" t="n">
        <v>13</v>
      </c>
      <c r="C14" s="8" t="s">
        <v>350</v>
      </c>
      <c r="D14" s="8" t="s">
        <v>315</v>
      </c>
      <c r="E14" s="9" t="s">
        <v>378</v>
      </c>
      <c r="F14" s="8" t="n">
        <f aca="false">COUNTIF(Master_Online!E:E,E14)</f>
        <v>1</v>
      </c>
      <c r="G14" s="8" t="s">
        <v>693</v>
      </c>
      <c r="H14" s="8" t="s">
        <v>327</v>
      </c>
      <c r="I14" s="8" t="n">
        <v>3.27</v>
      </c>
      <c r="J14" s="8"/>
      <c r="K14" s="8" t="n">
        <v>17</v>
      </c>
      <c r="L14" s="8" t="n">
        <v>2025</v>
      </c>
      <c r="M14" s="9"/>
      <c r="N14" s="8" t="s">
        <v>380</v>
      </c>
      <c r="Q14" s="9"/>
    </row>
    <row r="15" customFormat="false" ht="15" hidden="false" customHeight="true" outlineLevel="0" collapsed="false">
      <c r="A15" s="8" t="n">
        <v>14</v>
      </c>
      <c r="B15" s="8" t="n">
        <v>14</v>
      </c>
      <c r="C15" s="8" t="s">
        <v>382</v>
      </c>
      <c r="D15" s="8" t="s">
        <v>286</v>
      </c>
      <c r="E15" s="9" t="s">
        <v>383</v>
      </c>
      <c r="F15" s="8" t="n">
        <f aca="false">COUNTIF(Master_Online!E:E,E15)</f>
        <v>6</v>
      </c>
      <c r="G15" s="8" t="s">
        <v>693</v>
      </c>
      <c r="H15" s="8" t="s">
        <v>327</v>
      </c>
      <c r="I15" s="8" t="n">
        <v>3.3</v>
      </c>
      <c r="J15" s="8" t="n">
        <v>74</v>
      </c>
      <c r="K15" s="8"/>
      <c r="L15" s="8" t="n">
        <v>2025</v>
      </c>
      <c r="M15" s="9"/>
      <c r="Q15" s="9"/>
    </row>
    <row r="16" customFormat="false" ht="15" hidden="false" customHeight="true" outlineLevel="0" collapsed="false">
      <c r="A16" s="8" t="n">
        <v>15</v>
      </c>
      <c r="B16" s="8" t="n">
        <v>15</v>
      </c>
      <c r="C16" s="8" t="s">
        <v>382</v>
      </c>
      <c r="D16" s="8" t="s">
        <v>333</v>
      </c>
      <c r="E16" s="9" t="s">
        <v>387</v>
      </c>
      <c r="F16" s="8" t="n">
        <f aca="false">COUNTIF(Master_Online!E:E,E16)</f>
        <v>4</v>
      </c>
      <c r="G16" s="8" t="s">
        <v>693</v>
      </c>
      <c r="H16" s="8" t="s">
        <v>327</v>
      </c>
      <c r="I16" s="8" t="n">
        <v>3.26</v>
      </c>
      <c r="J16" s="8"/>
      <c r="K16" s="8"/>
      <c r="L16" s="8"/>
      <c r="M16" s="9"/>
      <c r="Q16" s="9"/>
    </row>
    <row r="17" customFormat="false" ht="15" hidden="false" customHeight="true" outlineLevel="0" collapsed="false">
      <c r="A17" s="8" t="n">
        <v>16</v>
      </c>
      <c r="B17" s="8" t="n">
        <v>16</v>
      </c>
      <c r="C17" s="8" t="s">
        <v>382</v>
      </c>
      <c r="D17" s="8" t="s">
        <v>388</v>
      </c>
      <c r="E17" s="9" t="s">
        <v>389</v>
      </c>
      <c r="F17" s="8" t="n">
        <f aca="false">COUNTIF(Master_Online!E:E,E17)</f>
        <v>10</v>
      </c>
      <c r="G17" s="8" t="s">
        <v>693</v>
      </c>
      <c r="H17" s="8" t="s">
        <v>296</v>
      </c>
      <c r="I17" s="8" t="n">
        <v>3.55</v>
      </c>
      <c r="J17" s="8"/>
      <c r="K17" s="8"/>
      <c r="L17" s="8"/>
      <c r="M17" s="9"/>
      <c r="Q17" s="9"/>
    </row>
    <row r="18" customFormat="false" ht="15" hidden="false" customHeight="true" outlineLevel="0" collapsed="false">
      <c r="A18" s="8" t="n">
        <v>17</v>
      </c>
      <c r="B18" s="8" t="n">
        <v>17</v>
      </c>
      <c r="C18" s="8" t="s">
        <v>382</v>
      </c>
      <c r="D18" s="8" t="s">
        <v>333</v>
      </c>
      <c r="E18" s="9" t="s">
        <v>391</v>
      </c>
      <c r="F18" s="8" t="n">
        <f aca="false">COUNTIF(Master_Online!E:E,E18)</f>
        <v>10</v>
      </c>
      <c r="G18" s="8" t="s">
        <v>693</v>
      </c>
      <c r="H18" s="8" t="s">
        <v>296</v>
      </c>
      <c r="I18" s="8" t="n">
        <v>3.55</v>
      </c>
      <c r="J18" s="8"/>
      <c r="K18" s="8"/>
      <c r="L18" s="8" t="n">
        <v>2025</v>
      </c>
      <c r="M18" s="9"/>
      <c r="Q18" s="9"/>
    </row>
    <row r="19" customFormat="false" ht="15" hidden="false" customHeight="true" outlineLevel="0" collapsed="false">
      <c r="A19" s="8" t="n">
        <v>18</v>
      </c>
      <c r="B19" s="8" t="n">
        <v>18</v>
      </c>
      <c r="C19" s="8" t="s">
        <v>382</v>
      </c>
      <c r="D19" s="8" t="s">
        <v>333</v>
      </c>
      <c r="E19" s="9" t="s">
        <v>394</v>
      </c>
      <c r="F19" s="8" t="n">
        <f aca="false">COUNTIF(Master_Online!E:E,E19)</f>
        <v>7</v>
      </c>
      <c r="G19" s="8" t="s">
        <v>693</v>
      </c>
      <c r="H19" s="8" t="s">
        <v>327</v>
      </c>
      <c r="I19" s="8" t="n">
        <v>3.31</v>
      </c>
      <c r="J19" s="8"/>
      <c r="K19" s="8"/>
      <c r="L19" s="8"/>
      <c r="M19" s="9"/>
      <c r="Q19" s="9"/>
    </row>
    <row r="20" customFormat="false" ht="15" hidden="false" customHeight="true" outlineLevel="0" collapsed="false">
      <c r="A20" s="8" t="n">
        <v>19</v>
      </c>
      <c r="B20" s="8" t="n">
        <v>19</v>
      </c>
      <c r="C20" s="8" t="s">
        <v>382</v>
      </c>
      <c r="D20" s="8" t="s">
        <v>286</v>
      </c>
      <c r="E20" s="9" t="s">
        <v>395</v>
      </c>
      <c r="F20" s="8" t="n">
        <f aca="false">COUNTIF(Master_Online!E:E,E20)</f>
        <v>1</v>
      </c>
      <c r="G20" s="8" t="s">
        <v>693</v>
      </c>
      <c r="H20" s="8" t="s">
        <v>327</v>
      </c>
      <c r="I20" s="8" t="n">
        <v>3.26</v>
      </c>
      <c r="J20" s="8"/>
      <c r="K20" s="8"/>
      <c r="L20" s="8" t="n">
        <v>2025</v>
      </c>
      <c r="M20" s="9"/>
      <c r="Q20" s="9"/>
    </row>
    <row r="21" customFormat="false" ht="15" hidden="false" customHeight="true" outlineLevel="0" collapsed="false">
      <c r="A21" s="8" t="n">
        <v>20</v>
      </c>
      <c r="B21" s="8" t="n">
        <v>20</v>
      </c>
      <c r="C21" s="8" t="s">
        <v>382</v>
      </c>
      <c r="D21" s="8" t="s">
        <v>333</v>
      </c>
      <c r="E21" s="9" t="s">
        <v>396</v>
      </c>
      <c r="F21" s="8" t="n">
        <f aca="false">COUNTIF(Master_Online!E:E,E21)</f>
        <v>6</v>
      </c>
      <c r="G21" s="8" t="s">
        <v>693</v>
      </c>
      <c r="H21" s="8" t="s">
        <v>327</v>
      </c>
      <c r="I21" s="8" t="n">
        <v>3.44</v>
      </c>
      <c r="J21" s="8"/>
      <c r="K21" s="8"/>
      <c r="L21" s="8"/>
      <c r="M21" s="9"/>
      <c r="Q21" s="9"/>
    </row>
    <row r="22" customFormat="false" ht="15" hidden="false" customHeight="true" outlineLevel="0" collapsed="false">
      <c r="A22" s="8" t="n">
        <v>21</v>
      </c>
      <c r="B22" s="8" t="n">
        <v>21</v>
      </c>
      <c r="C22" s="8" t="s">
        <v>382</v>
      </c>
      <c r="D22" s="8" t="s">
        <v>333</v>
      </c>
      <c r="E22" s="9" t="s">
        <v>399</v>
      </c>
      <c r="F22" s="8" t="n">
        <f aca="false">COUNTIF(Master_Online!E:E,E22)</f>
        <v>5</v>
      </c>
      <c r="G22" s="8" t="s">
        <v>693</v>
      </c>
      <c r="H22" s="8" t="s">
        <v>327</v>
      </c>
      <c r="I22" s="8" t="n">
        <v>3.38</v>
      </c>
      <c r="J22" s="8"/>
      <c r="K22" s="8"/>
      <c r="L22" s="8"/>
      <c r="M22" s="9"/>
      <c r="Q22" s="9"/>
    </row>
    <row r="23" customFormat="false" ht="23.25" hidden="false" customHeight="true" outlineLevel="0" collapsed="false">
      <c r="A23" s="8" t="n">
        <v>22</v>
      </c>
      <c r="B23" s="8" t="n">
        <v>22</v>
      </c>
      <c r="C23" s="8" t="s">
        <v>402</v>
      </c>
      <c r="D23" s="8" t="s">
        <v>286</v>
      </c>
      <c r="E23" s="9" t="s">
        <v>403</v>
      </c>
      <c r="F23" s="8" t="n">
        <f aca="false">COUNTIF(Master_Online!E:E,E23)</f>
        <v>8</v>
      </c>
      <c r="G23" s="8" t="s">
        <v>693</v>
      </c>
      <c r="H23" s="8" t="s">
        <v>327</v>
      </c>
      <c r="I23" s="8" t="n">
        <v>3.38</v>
      </c>
      <c r="J23" s="8"/>
      <c r="K23" s="8"/>
      <c r="L23" s="8" t="n">
        <v>2025</v>
      </c>
      <c r="M23" s="9"/>
      <c r="O23" s="8" t="n">
        <v>6</v>
      </c>
      <c r="P23" s="8" t="s">
        <v>404</v>
      </c>
      <c r="Q23" s="9"/>
    </row>
    <row r="24" customFormat="false" ht="15" hidden="false" customHeight="true" outlineLevel="0" collapsed="false">
      <c r="A24" s="8" t="n">
        <v>23</v>
      </c>
      <c r="B24" s="8" t="n">
        <v>23</v>
      </c>
      <c r="C24" s="8" t="s">
        <v>402</v>
      </c>
      <c r="D24" s="8" t="s">
        <v>286</v>
      </c>
      <c r="E24" s="9" t="s">
        <v>406</v>
      </c>
      <c r="F24" s="8" t="n">
        <f aca="false">COUNTIF(Master_Online!E:E,E24)</f>
        <v>9</v>
      </c>
      <c r="G24" s="8" t="s">
        <v>693</v>
      </c>
      <c r="H24" s="8" t="s">
        <v>296</v>
      </c>
      <c r="I24" s="8" t="n">
        <v>3.56</v>
      </c>
      <c r="J24" s="8"/>
      <c r="K24" s="8"/>
      <c r="L24" s="8" t="n">
        <v>2025</v>
      </c>
      <c r="M24" s="9"/>
      <c r="Q24" s="9"/>
    </row>
    <row r="25" customFormat="false" ht="15" hidden="false" customHeight="true" outlineLevel="0" collapsed="false">
      <c r="A25" s="8" t="n">
        <v>24</v>
      </c>
      <c r="B25" s="8" t="n">
        <v>24</v>
      </c>
      <c r="C25" s="8" t="s">
        <v>402</v>
      </c>
      <c r="D25" s="8" t="s">
        <v>286</v>
      </c>
      <c r="E25" s="9" t="s">
        <v>409</v>
      </c>
      <c r="F25" s="8" t="n">
        <f aca="false">COUNTIF(Master_Online!E:E,E25)</f>
        <v>8</v>
      </c>
      <c r="G25" s="8" t="s">
        <v>693</v>
      </c>
      <c r="H25" s="8"/>
      <c r="I25" s="8"/>
      <c r="J25" s="8"/>
      <c r="K25" s="8"/>
      <c r="L25" s="8" t="n">
        <v>2025</v>
      </c>
      <c r="M25" s="9"/>
      <c r="Q25" s="9"/>
    </row>
    <row r="26" customFormat="false" ht="15" hidden="false" customHeight="true" outlineLevel="0" collapsed="false">
      <c r="A26" s="8" t="n">
        <v>25</v>
      </c>
      <c r="B26" s="8" t="n">
        <v>25</v>
      </c>
      <c r="C26" s="8" t="s">
        <v>402</v>
      </c>
      <c r="D26" s="8" t="s">
        <v>315</v>
      </c>
      <c r="E26" s="9" t="s">
        <v>411</v>
      </c>
      <c r="F26" s="8" t="n">
        <f aca="false">COUNTIF(Master_Online!E:E,E26)</f>
        <v>6</v>
      </c>
      <c r="G26" s="8" t="s">
        <v>693</v>
      </c>
      <c r="H26" s="8" t="s">
        <v>296</v>
      </c>
      <c r="I26" s="8" t="n">
        <v>3.53</v>
      </c>
      <c r="J26" s="8" t="n">
        <v>85</v>
      </c>
      <c r="K26" s="8"/>
      <c r="L26" s="8" t="n">
        <v>2025</v>
      </c>
      <c r="M26" s="9"/>
      <c r="O26" s="8" t="n">
        <v>2</v>
      </c>
      <c r="P26" s="8" t="s">
        <v>328</v>
      </c>
      <c r="Q26" s="9"/>
    </row>
    <row r="27" customFormat="false" ht="23.25" hidden="false" customHeight="true" outlineLevel="0" collapsed="false">
      <c r="A27" s="8" t="n">
        <v>26</v>
      </c>
      <c r="B27" s="8" t="n">
        <v>26</v>
      </c>
      <c r="C27" s="8" t="s">
        <v>402</v>
      </c>
      <c r="D27" s="8" t="s">
        <v>315</v>
      </c>
      <c r="E27" s="9" t="s">
        <v>412</v>
      </c>
      <c r="F27" s="8" t="n">
        <f aca="false">COUNTIF(Master_Online!E:E,E27)</f>
        <v>10</v>
      </c>
      <c r="G27" s="8" t="s">
        <v>693</v>
      </c>
      <c r="H27" s="8" t="s">
        <v>296</v>
      </c>
      <c r="I27" s="8" t="n">
        <v>3.53</v>
      </c>
      <c r="J27" s="8" t="n">
        <v>96</v>
      </c>
      <c r="K27" s="8"/>
      <c r="L27" s="8" t="n">
        <v>2025</v>
      </c>
      <c r="M27" s="9"/>
      <c r="O27" s="8" t="n">
        <v>2</v>
      </c>
      <c r="P27" s="8" t="s">
        <v>404</v>
      </c>
      <c r="Q27" s="9"/>
    </row>
    <row r="28" customFormat="false" ht="15" hidden="false" customHeight="true" outlineLevel="0" collapsed="false">
      <c r="A28" s="8" t="n">
        <v>27</v>
      </c>
      <c r="B28" s="8" t="n">
        <v>27</v>
      </c>
      <c r="C28" s="8" t="s">
        <v>402</v>
      </c>
      <c r="D28" s="8" t="s">
        <v>333</v>
      </c>
      <c r="E28" s="9" t="s">
        <v>414</v>
      </c>
      <c r="F28" s="8" t="n">
        <f aca="false">COUNTIF(Master_Online!E:E,E28)</f>
        <v>5</v>
      </c>
      <c r="G28" s="8" t="s">
        <v>693</v>
      </c>
      <c r="H28" s="8" t="s">
        <v>327</v>
      </c>
      <c r="I28" s="8" t="n">
        <v>3.33</v>
      </c>
      <c r="J28" s="8"/>
      <c r="K28" s="8"/>
      <c r="L28" s="8" t="n">
        <v>2025</v>
      </c>
      <c r="M28" s="9"/>
      <c r="Q28" s="9"/>
    </row>
    <row r="29" customFormat="false" ht="23.25" hidden="false" customHeight="true" outlineLevel="0" collapsed="false">
      <c r="A29" s="8" t="n">
        <v>28</v>
      </c>
      <c r="B29" s="8" t="n">
        <v>28</v>
      </c>
      <c r="C29" s="8" t="s">
        <v>415</v>
      </c>
      <c r="D29" s="8" t="s">
        <v>333</v>
      </c>
      <c r="E29" s="9" t="s">
        <v>416</v>
      </c>
      <c r="F29" s="8" t="n">
        <f aca="false">COUNTIF(Master_Online!E:E,E29)</f>
        <v>8</v>
      </c>
      <c r="G29" s="8" t="s">
        <v>693</v>
      </c>
      <c r="H29" s="8" t="s">
        <v>327</v>
      </c>
      <c r="I29" s="8" t="n">
        <v>3.3</v>
      </c>
      <c r="J29" s="8" t="n">
        <v>69</v>
      </c>
      <c r="K29" s="8"/>
      <c r="L29" s="8" t="n">
        <v>2025</v>
      </c>
      <c r="M29" s="9"/>
      <c r="Q29" s="9"/>
    </row>
    <row r="30" customFormat="false" ht="15" hidden="false" customHeight="true" outlineLevel="0" collapsed="false">
      <c r="A30" s="8" t="n">
        <v>29</v>
      </c>
      <c r="B30" s="8" t="n">
        <v>29</v>
      </c>
      <c r="C30" s="8" t="s">
        <v>415</v>
      </c>
      <c r="D30" s="8" t="s">
        <v>338</v>
      </c>
      <c r="E30" s="9" t="s">
        <v>419</v>
      </c>
      <c r="F30" s="8" t="n">
        <f aca="false">COUNTIF(Master_Online!E:E,E30)</f>
        <v>5</v>
      </c>
      <c r="G30" s="8" t="s">
        <v>693</v>
      </c>
      <c r="H30" s="8" t="s">
        <v>327</v>
      </c>
      <c r="I30" s="8" t="n">
        <v>3.42</v>
      </c>
      <c r="J30" s="8"/>
      <c r="K30" s="8"/>
      <c r="L30" s="8"/>
      <c r="M30" s="9"/>
      <c r="Q30" s="9"/>
    </row>
    <row r="31" customFormat="false" ht="15" hidden="false" customHeight="true" outlineLevel="0" collapsed="false">
      <c r="A31" s="8" t="n">
        <v>30</v>
      </c>
      <c r="B31" s="8" t="n">
        <v>30</v>
      </c>
      <c r="C31" s="8" t="s">
        <v>420</v>
      </c>
      <c r="D31" s="8" t="s">
        <v>286</v>
      </c>
      <c r="E31" s="9" t="s">
        <v>421</v>
      </c>
      <c r="F31" s="8" t="n">
        <f aca="false">COUNTIF(Master_Online!E:E,E31)</f>
        <v>2</v>
      </c>
      <c r="G31" s="8" t="s">
        <v>693</v>
      </c>
      <c r="H31" s="8" t="s">
        <v>296</v>
      </c>
      <c r="I31" s="8" t="n">
        <v>3.72</v>
      </c>
      <c r="J31" s="8" t="n">
        <v>51</v>
      </c>
      <c r="K31" s="8"/>
      <c r="L31" s="8" t="n">
        <v>2025</v>
      </c>
      <c r="M31" s="9"/>
      <c r="Q31" s="9"/>
    </row>
    <row r="32" customFormat="false" ht="15" hidden="false" customHeight="true" outlineLevel="0" collapsed="false">
      <c r="A32" s="8" t="n">
        <v>31</v>
      </c>
      <c r="B32" s="8" t="n">
        <v>31</v>
      </c>
      <c r="C32" s="8" t="s">
        <v>422</v>
      </c>
      <c r="D32" s="8" t="s">
        <v>315</v>
      </c>
      <c r="E32" s="9" t="s">
        <v>423</v>
      </c>
      <c r="F32" s="8" t="n">
        <f aca="false">COUNTIF(Master_Online!E:E,E32)</f>
        <v>1</v>
      </c>
      <c r="G32" s="8" t="s">
        <v>693</v>
      </c>
      <c r="H32" s="8" t="s">
        <v>424</v>
      </c>
      <c r="I32" s="8" t="n">
        <v>3.17</v>
      </c>
      <c r="J32" s="8" t="n">
        <v>92</v>
      </c>
      <c r="K32" s="8" t="n">
        <v>97</v>
      </c>
      <c r="L32" s="8" t="n">
        <v>2025</v>
      </c>
      <c r="M32" s="9"/>
      <c r="O32" s="8" t="n">
        <v>8</v>
      </c>
      <c r="P32" s="8" t="s">
        <v>357</v>
      </c>
      <c r="Q32" s="9"/>
    </row>
    <row r="33" customFormat="false" ht="15" hidden="false" customHeight="true" outlineLevel="0" collapsed="false">
      <c r="A33" s="8" t="n">
        <v>32</v>
      </c>
      <c r="B33" s="8" t="n">
        <v>32</v>
      </c>
      <c r="C33" s="8" t="s">
        <v>425</v>
      </c>
      <c r="D33" s="8" t="s">
        <v>315</v>
      </c>
      <c r="E33" s="9" t="s">
        <v>426</v>
      </c>
      <c r="F33" s="8" t="n">
        <f aca="false">COUNTIF(Master_Online!E:E,E33)</f>
        <v>11</v>
      </c>
      <c r="G33" s="8" t="s">
        <v>693</v>
      </c>
      <c r="H33" s="8" t="s">
        <v>424</v>
      </c>
      <c r="I33" s="8" t="n">
        <v>3.15</v>
      </c>
      <c r="J33" s="8" t="n">
        <v>62</v>
      </c>
      <c r="K33" s="8" t="n">
        <v>73</v>
      </c>
      <c r="L33" s="8" t="n">
        <v>2025</v>
      </c>
      <c r="M33" s="9"/>
      <c r="Q33" s="9"/>
    </row>
    <row r="34" customFormat="false" ht="15" hidden="false" customHeight="true" outlineLevel="0" collapsed="false">
      <c r="A34" s="8" t="n">
        <v>33</v>
      </c>
      <c r="B34" s="8" t="n">
        <v>33</v>
      </c>
      <c r="C34" s="8" t="s">
        <v>425</v>
      </c>
      <c r="D34" s="8" t="s">
        <v>315</v>
      </c>
      <c r="E34" s="9" t="s">
        <v>429</v>
      </c>
      <c r="F34" s="8" t="n">
        <f aca="false">COUNTIF(Master_Online!E:E,E34)</f>
        <v>3</v>
      </c>
      <c r="G34" s="8" t="s">
        <v>693</v>
      </c>
      <c r="H34" s="8" t="s">
        <v>296</v>
      </c>
      <c r="I34" s="8" t="n">
        <v>3.61</v>
      </c>
      <c r="J34" s="8" t="n">
        <v>21</v>
      </c>
      <c r="K34" s="8"/>
      <c r="L34" s="8" t="n">
        <v>2025</v>
      </c>
      <c r="M34" s="9"/>
      <c r="Q34" s="9"/>
    </row>
    <row r="35" customFormat="false" ht="15" hidden="false" customHeight="true" outlineLevel="0" collapsed="false">
      <c r="A35" s="8" t="n">
        <v>34</v>
      </c>
      <c r="B35" s="8" t="n">
        <v>34</v>
      </c>
      <c r="C35" s="8" t="s">
        <v>425</v>
      </c>
      <c r="D35" s="8" t="s">
        <v>315</v>
      </c>
      <c r="E35" s="9" t="s">
        <v>434</v>
      </c>
      <c r="F35" s="8" t="n">
        <f aca="false">COUNTIF(Master_Online!E:E,E35)</f>
        <v>7</v>
      </c>
      <c r="G35" s="8" t="s">
        <v>693</v>
      </c>
      <c r="H35" s="8" t="s">
        <v>296</v>
      </c>
      <c r="I35" s="8" t="n">
        <v>3.65</v>
      </c>
      <c r="J35" s="8" t="n">
        <v>3</v>
      </c>
      <c r="K35" s="8"/>
      <c r="L35" s="8" t="n">
        <v>2025</v>
      </c>
      <c r="M35" s="9"/>
      <c r="N35" s="8" t="s">
        <v>380</v>
      </c>
      <c r="Q35" s="9"/>
    </row>
    <row r="36" customFormat="false" ht="15" hidden="false" customHeight="true" outlineLevel="0" collapsed="false">
      <c r="A36" s="8" t="n">
        <v>35</v>
      </c>
      <c r="B36" s="8" t="n">
        <v>35</v>
      </c>
      <c r="C36" s="8" t="s">
        <v>425</v>
      </c>
      <c r="D36" s="8" t="s">
        <v>286</v>
      </c>
      <c r="E36" s="9" t="s">
        <v>443</v>
      </c>
      <c r="F36" s="8" t="n">
        <f aca="false">COUNTIF(Master_Online!E:E,E36)</f>
        <v>10</v>
      </c>
      <c r="G36" s="8" t="s">
        <v>693</v>
      </c>
      <c r="H36" s="8" t="s">
        <v>296</v>
      </c>
      <c r="I36" s="8" t="n">
        <v>3.75</v>
      </c>
      <c r="J36" s="8" t="n">
        <v>65</v>
      </c>
      <c r="K36" s="8"/>
      <c r="L36" s="8" t="n">
        <v>2025</v>
      </c>
      <c r="M36" s="9"/>
      <c r="Q36" s="9"/>
    </row>
    <row r="37" customFormat="false" ht="15" hidden="false" customHeight="true" outlineLevel="0" collapsed="false">
      <c r="A37" s="8" t="n">
        <v>36</v>
      </c>
      <c r="B37" s="8" t="n">
        <v>36</v>
      </c>
      <c r="C37" s="8" t="s">
        <v>425</v>
      </c>
      <c r="D37" s="8" t="s">
        <v>286</v>
      </c>
      <c r="E37" s="9" t="s">
        <v>445</v>
      </c>
      <c r="F37" s="8" t="n">
        <f aca="false">COUNTIF(Master_Online!E:E,E37)</f>
        <v>12</v>
      </c>
      <c r="G37" s="8" t="s">
        <v>693</v>
      </c>
      <c r="H37" s="8" t="s">
        <v>424</v>
      </c>
      <c r="I37" s="8" t="n">
        <v>3.01</v>
      </c>
      <c r="J37" s="8" t="n">
        <v>71</v>
      </c>
      <c r="K37" s="8"/>
      <c r="L37" s="8" t="n">
        <v>2025</v>
      </c>
      <c r="M37" s="9"/>
      <c r="Q37" s="9"/>
    </row>
    <row r="38" customFormat="false" ht="15" hidden="false" customHeight="true" outlineLevel="0" collapsed="false">
      <c r="A38" s="8" t="n">
        <v>37</v>
      </c>
      <c r="B38" s="8" t="n">
        <v>37</v>
      </c>
      <c r="C38" s="8" t="s">
        <v>425</v>
      </c>
      <c r="D38" s="8" t="s">
        <v>315</v>
      </c>
      <c r="E38" s="9" t="s">
        <v>451</v>
      </c>
      <c r="F38" s="8" t="n">
        <f aca="false">COUNTIF(Master_Online!E:E,E38)</f>
        <v>6</v>
      </c>
      <c r="G38" s="8" t="s">
        <v>693</v>
      </c>
      <c r="H38" s="8" t="s">
        <v>327</v>
      </c>
      <c r="I38" s="8" t="n">
        <v>3.47</v>
      </c>
      <c r="J38" s="8"/>
      <c r="K38" s="8"/>
      <c r="L38" s="8"/>
      <c r="M38" s="9"/>
      <c r="Q38" s="9"/>
    </row>
    <row r="39" customFormat="false" ht="15" hidden="false" customHeight="true" outlineLevel="0" collapsed="false">
      <c r="A39" s="8" t="n">
        <v>38</v>
      </c>
      <c r="B39" s="8" t="n">
        <v>38</v>
      </c>
      <c r="C39" s="8" t="s">
        <v>425</v>
      </c>
      <c r="D39" s="8" t="s">
        <v>286</v>
      </c>
      <c r="E39" s="9" t="s">
        <v>452</v>
      </c>
      <c r="F39" s="8" t="n">
        <f aca="false">COUNTIF(Master_Online!E:E,E39)</f>
        <v>13</v>
      </c>
      <c r="G39" s="8" t="s">
        <v>693</v>
      </c>
      <c r="H39" s="8" t="s">
        <v>454</v>
      </c>
      <c r="I39" s="8" t="n">
        <v>2.73</v>
      </c>
      <c r="J39" s="8"/>
      <c r="K39" s="8"/>
      <c r="L39" s="8" t="n">
        <v>2025</v>
      </c>
      <c r="M39" s="9"/>
      <c r="Q39" s="9"/>
    </row>
    <row r="40" customFormat="false" ht="15" hidden="false" customHeight="true" outlineLevel="0" collapsed="false">
      <c r="A40" s="8" t="n">
        <v>39</v>
      </c>
      <c r="B40" s="8" t="n">
        <v>39</v>
      </c>
      <c r="C40" s="8" t="s">
        <v>425</v>
      </c>
      <c r="D40" s="8" t="s">
        <v>388</v>
      </c>
      <c r="E40" s="9" t="s">
        <v>466</v>
      </c>
      <c r="F40" s="8" t="n">
        <f aca="false">COUNTIF(Master_Online!E:E,E40)</f>
        <v>10</v>
      </c>
      <c r="G40" s="8" t="s">
        <v>693</v>
      </c>
      <c r="H40" s="8" t="s">
        <v>327</v>
      </c>
      <c r="I40" s="8" t="n">
        <v>3.31</v>
      </c>
      <c r="J40" s="8"/>
      <c r="K40" s="8"/>
      <c r="L40" s="8" t="n">
        <v>2025</v>
      </c>
      <c r="M40" s="9"/>
      <c r="Q40" s="9"/>
    </row>
    <row r="41" customFormat="false" ht="15" hidden="false" customHeight="true" outlineLevel="0" collapsed="false">
      <c r="A41" s="8" t="n">
        <v>40</v>
      </c>
      <c r="B41" s="8" t="n">
        <v>40</v>
      </c>
      <c r="C41" s="8" t="s">
        <v>425</v>
      </c>
      <c r="D41" s="8" t="s">
        <v>315</v>
      </c>
      <c r="E41" s="9" t="s">
        <v>468</v>
      </c>
      <c r="F41" s="8" t="n">
        <f aca="false">COUNTIF(Master_Online!E:E,E41)</f>
        <v>7</v>
      </c>
      <c r="G41" s="8" t="s">
        <v>693</v>
      </c>
      <c r="H41" s="8" t="s">
        <v>454</v>
      </c>
      <c r="I41" s="8" t="n">
        <v>2.61</v>
      </c>
      <c r="J41" s="8" t="n">
        <v>63</v>
      </c>
      <c r="K41" s="8" t="n">
        <v>57</v>
      </c>
      <c r="L41" s="8" t="n">
        <v>2025</v>
      </c>
      <c r="M41" s="9"/>
      <c r="O41" s="8" t="n">
        <v>8</v>
      </c>
      <c r="P41" s="8" t="s">
        <v>328</v>
      </c>
      <c r="Q41" s="9"/>
    </row>
    <row r="42" customFormat="false" ht="15" hidden="false" customHeight="true" outlineLevel="0" collapsed="false">
      <c r="A42" s="8" t="n">
        <v>41</v>
      </c>
      <c r="B42" s="8" t="n">
        <v>41</v>
      </c>
      <c r="C42" s="8" t="s">
        <v>425</v>
      </c>
      <c r="D42" s="8" t="s">
        <v>333</v>
      </c>
      <c r="E42" s="9" t="s">
        <v>472</v>
      </c>
      <c r="F42" s="8" t="n">
        <f aca="false">COUNTIF(Master_Online!E:E,E42)</f>
        <v>5</v>
      </c>
      <c r="G42" s="8" t="s">
        <v>693</v>
      </c>
      <c r="H42" s="8" t="s">
        <v>327</v>
      </c>
      <c r="I42" s="8" t="n">
        <v>3.31</v>
      </c>
      <c r="J42" s="8"/>
      <c r="K42" s="8"/>
      <c r="L42" s="8"/>
      <c r="M42" s="9"/>
      <c r="Q42" s="9"/>
    </row>
    <row r="43" customFormat="false" ht="15" hidden="false" customHeight="true" outlineLevel="0" collapsed="false">
      <c r="A43" s="8" t="n">
        <v>42</v>
      </c>
      <c r="B43" s="8" t="n">
        <v>42</v>
      </c>
      <c r="C43" s="8" t="s">
        <v>425</v>
      </c>
      <c r="D43" s="8" t="s">
        <v>333</v>
      </c>
      <c r="E43" s="9" t="s">
        <v>473</v>
      </c>
      <c r="F43" s="8" t="n">
        <f aca="false">COUNTIF(Master_Online!E:E,E43)</f>
        <v>3</v>
      </c>
      <c r="G43" s="8" t="s">
        <v>693</v>
      </c>
      <c r="H43" s="8" t="s">
        <v>327</v>
      </c>
      <c r="I43" s="8" t="n">
        <v>3.26</v>
      </c>
      <c r="J43" s="8"/>
      <c r="K43" s="8" t="n">
        <v>71</v>
      </c>
      <c r="L43" s="8" t="n">
        <v>2025</v>
      </c>
      <c r="M43" s="9"/>
      <c r="Q43" s="9"/>
    </row>
    <row r="44" customFormat="false" ht="15" hidden="false" customHeight="true" outlineLevel="0" collapsed="false">
      <c r="A44" s="8" t="n">
        <v>43</v>
      </c>
      <c r="B44" s="8" t="n">
        <v>43</v>
      </c>
      <c r="C44" s="8" t="s">
        <v>425</v>
      </c>
      <c r="D44" s="8" t="s">
        <v>333</v>
      </c>
      <c r="E44" s="9" t="s">
        <v>475</v>
      </c>
      <c r="F44" s="8" t="n">
        <f aca="false">COUNTIF(Master_Online!E:E,E44)</f>
        <v>1</v>
      </c>
      <c r="G44" s="8" t="s">
        <v>693</v>
      </c>
      <c r="H44" s="8" t="s">
        <v>327</v>
      </c>
      <c r="I44" s="8" t="n">
        <v>3.39</v>
      </c>
      <c r="J44" s="8"/>
      <c r="K44" s="8"/>
      <c r="L44" s="8"/>
      <c r="M44" s="9"/>
      <c r="Q44" s="9"/>
    </row>
    <row r="45" customFormat="false" ht="15" hidden="false" customHeight="true" outlineLevel="0" collapsed="false">
      <c r="A45" s="8" t="n">
        <v>44</v>
      </c>
      <c r="B45" s="8" t="n">
        <v>44</v>
      </c>
      <c r="C45" s="8" t="s">
        <v>476</v>
      </c>
      <c r="D45" s="8" t="s">
        <v>286</v>
      </c>
      <c r="E45" s="9" t="s">
        <v>477</v>
      </c>
      <c r="F45" s="8" t="n">
        <f aca="false">COUNTIF(Master_Online!E:E,E45)</f>
        <v>13</v>
      </c>
      <c r="G45" s="8" t="s">
        <v>693</v>
      </c>
      <c r="H45" s="8" t="s">
        <v>296</v>
      </c>
      <c r="I45" s="8" t="n">
        <v>3.61</v>
      </c>
      <c r="J45" s="8" t="n">
        <v>43</v>
      </c>
      <c r="K45" s="8"/>
      <c r="L45" s="8" t="n">
        <v>2025</v>
      </c>
      <c r="M45" s="9"/>
      <c r="Q45" s="9"/>
    </row>
    <row r="46" customFormat="false" ht="15" hidden="false" customHeight="true" outlineLevel="0" collapsed="false">
      <c r="A46" s="8" t="n">
        <v>45</v>
      </c>
      <c r="B46" s="8" t="n">
        <v>45</v>
      </c>
      <c r="C46" s="8" t="s">
        <v>476</v>
      </c>
      <c r="D46" s="8" t="s">
        <v>286</v>
      </c>
      <c r="E46" s="9" t="s">
        <v>486</v>
      </c>
      <c r="F46" s="8" t="n">
        <f aca="false">COUNTIF(Master_Online!E:E,E46)</f>
        <v>4</v>
      </c>
      <c r="G46" s="8" t="s">
        <v>693</v>
      </c>
      <c r="H46" s="8" t="s">
        <v>296</v>
      </c>
      <c r="I46" s="8" t="n">
        <v>3.67</v>
      </c>
      <c r="J46" s="8" t="n">
        <v>25</v>
      </c>
      <c r="K46" s="8"/>
      <c r="L46" s="8" t="n">
        <v>2025</v>
      </c>
      <c r="M46" s="9"/>
      <c r="Q46" s="9"/>
    </row>
    <row r="47" customFormat="false" ht="15" hidden="false" customHeight="true" outlineLevel="0" collapsed="false">
      <c r="A47" s="8" t="n">
        <v>46</v>
      </c>
      <c r="B47" s="8" t="n">
        <v>46</v>
      </c>
      <c r="C47" s="8" t="s">
        <v>488</v>
      </c>
      <c r="D47" s="8" t="s">
        <v>286</v>
      </c>
      <c r="E47" s="9" t="s">
        <v>489</v>
      </c>
      <c r="F47" s="8" t="n">
        <f aca="false">COUNTIF(Master_Online!E:E,E47)</f>
        <v>3</v>
      </c>
      <c r="G47" s="8" t="s">
        <v>693</v>
      </c>
      <c r="H47" s="8" t="s">
        <v>327</v>
      </c>
      <c r="I47" s="8" t="n">
        <v>3.3</v>
      </c>
      <c r="J47" s="8"/>
      <c r="K47" s="8"/>
      <c r="L47" s="8" t="n">
        <v>2025</v>
      </c>
      <c r="M47" s="9"/>
      <c r="Q47" s="9"/>
    </row>
    <row r="48" customFormat="false" ht="15" hidden="false" customHeight="true" outlineLevel="0" collapsed="false">
      <c r="A48" s="8" t="n">
        <v>47</v>
      </c>
      <c r="B48" s="8" t="n">
        <v>47</v>
      </c>
      <c r="C48" s="8" t="s">
        <v>488</v>
      </c>
      <c r="D48" s="8" t="s">
        <v>333</v>
      </c>
      <c r="E48" s="9" t="s">
        <v>490</v>
      </c>
      <c r="F48" s="8" t="n">
        <f aca="false">COUNTIF(Master_Online!E:E,E48)</f>
        <v>9</v>
      </c>
      <c r="G48" s="8" t="s">
        <v>693</v>
      </c>
      <c r="H48" s="8" t="s">
        <v>327</v>
      </c>
      <c r="I48" s="8" t="n">
        <v>3.41</v>
      </c>
      <c r="J48" s="8"/>
      <c r="K48" s="8"/>
      <c r="L48" s="8"/>
      <c r="M48" s="9"/>
      <c r="Q48" s="9"/>
    </row>
    <row r="49" customFormat="false" ht="15" hidden="false" customHeight="true" outlineLevel="0" collapsed="false">
      <c r="A49" s="8" t="n">
        <v>48</v>
      </c>
      <c r="B49" s="8" t="n">
        <v>48</v>
      </c>
      <c r="C49" s="8" t="s">
        <v>494</v>
      </c>
      <c r="D49" s="8" t="s">
        <v>315</v>
      </c>
      <c r="E49" s="9" t="s">
        <v>495</v>
      </c>
      <c r="F49" s="8" t="n">
        <f aca="false">COUNTIF(Master_Online!E:E,E49)</f>
        <v>3</v>
      </c>
      <c r="G49" s="8" t="s">
        <v>693</v>
      </c>
      <c r="H49" s="8" t="s">
        <v>296</v>
      </c>
      <c r="I49" s="8" t="n">
        <v>3.64</v>
      </c>
      <c r="J49" s="8" t="n">
        <v>41</v>
      </c>
      <c r="K49" s="8"/>
      <c r="L49" s="8" t="n">
        <v>2025</v>
      </c>
      <c r="M49" s="9"/>
      <c r="Q49" s="9"/>
    </row>
    <row r="50" customFormat="false" ht="15" hidden="false" customHeight="true" outlineLevel="0" collapsed="false">
      <c r="A50" s="8" t="n">
        <v>49</v>
      </c>
      <c r="B50" s="8" t="n">
        <v>49</v>
      </c>
      <c r="C50" s="8" t="s">
        <v>494</v>
      </c>
      <c r="D50" s="8" t="s">
        <v>315</v>
      </c>
      <c r="E50" s="9" t="s">
        <v>496</v>
      </c>
      <c r="F50" s="8" t="n">
        <f aca="false">COUNTIF(Master_Online!E:E,E50)</f>
        <v>4</v>
      </c>
      <c r="G50" s="8" t="s">
        <v>693</v>
      </c>
      <c r="H50" s="8" t="s">
        <v>296</v>
      </c>
      <c r="I50" s="8" t="n">
        <v>3.59</v>
      </c>
      <c r="J50" s="8" t="n">
        <v>91</v>
      </c>
      <c r="K50" s="8"/>
      <c r="L50" s="8" t="n">
        <v>2025</v>
      </c>
      <c r="M50" s="9"/>
      <c r="Q50" s="9"/>
    </row>
    <row r="51" customFormat="false" ht="15" hidden="false" customHeight="true" outlineLevel="0" collapsed="false">
      <c r="A51" s="8" t="n">
        <v>50</v>
      </c>
      <c r="B51" s="8" t="n">
        <v>50</v>
      </c>
      <c r="C51" s="8" t="s">
        <v>494</v>
      </c>
      <c r="D51" s="8" t="s">
        <v>315</v>
      </c>
      <c r="E51" s="9" t="s">
        <v>497</v>
      </c>
      <c r="F51" s="8" t="n">
        <f aca="false">COUNTIF(Master_Online!E:E,E51)</f>
        <v>10</v>
      </c>
      <c r="G51" s="8" t="s">
        <v>693</v>
      </c>
      <c r="H51" s="8" t="s">
        <v>296</v>
      </c>
      <c r="I51" s="8" t="n">
        <v>3.56</v>
      </c>
      <c r="J51" s="8" t="n">
        <v>24</v>
      </c>
      <c r="K51" s="8"/>
      <c r="L51" s="8" t="n">
        <v>2025</v>
      </c>
      <c r="M51" s="9"/>
      <c r="N51" s="8" t="s">
        <v>380</v>
      </c>
      <c r="Q51" s="9"/>
    </row>
    <row r="52" customFormat="false" ht="15" hidden="false" customHeight="true" outlineLevel="0" collapsed="false">
      <c r="A52" s="8" t="n">
        <v>51</v>
      </c>
      <c r="B52" s="8" t="n">
        <v>51</v>
      </c>
      <c r="C52" s="8" t="s">
        <v>494</v>
      </c>
      <c r="D52" s="8" t="s">
        <v>315</v>
      </c>
      <c r="E52" s="9" t="s">
        <v>507</v>
      </c>
      <c r="F52" s="8" t="n">
        <f aca="false">COUNTIF(Master_Online!E:E,E52)</f>
        <v>4</v>
      </c>
      <c r="G52" s="8" t="s">
        <v>693</v>
      </c>
      <c r="H52" s="8" t="s">
        <v>296</v>
      </c>
      <c r="I52" s="8" t="n">
        <v>3.6</v>
      </c>
      <c r="J52" s="8" t="n">
        <v>59</v>
      </c>
      <c r="K52" s="8"/>
      <c r="L52" s="8" t="n">
        <v>2025</v>
      </c>
      <c r="M52" s="9"/>
      <c r="O52" s="8" t="n">
        <v>3</v>
      </c>
      <c r="P52" s="8" t="s">
        <v>357</v>
      </c>
      <c r="Q52" s="9"/>
    </row>
    <row r="53" customFormat="false" ht="23.25" hidden="false" customHeight="true" outlineLevel="0" collapsed="false">
      <c r="A53" s="8" t="n">
        <v>52</v>
      </c>
      <c r="B53" s="8" t="n">
        <v>52</v>
      </c>
      <c r="C53" s="8" t="s">
        <v>494</v>
      </c>
      <c r="D53" s="8" t="s">
        <v>315</v>
      </c>
      <c r="E53" s="9" t="s">
        <v>508</v>
      </c>
      <c r="F53" s="8" t="n">
        <f aca="false">COUNTIF(Master_Online!E:E,E53)</f>
        <v>5</v>
      </c>
      <c r="G53" s="8" t="s">
        <v>693</v>
      </c>
      <c r="H53" s="8" t="s">
        <v>296</v>
      </c>
      <c r="I53" s="8" t="n">
        <v>3.78</v>
      </c>
      <c r="J53" s="8" t="n">
        <v>49</v>
      </c>
      <c r="K53" s="8"/>
      <c r="L53" s="8" t="n">
        <v>2025</v>
      </c>
      <c r="M53" s="9"/>
      <c r="Q53" s="9"/>
    </row>
    <row r="54" customFormat="false" ht="15" hidden="false" customHeight="true" outlineLevel="0" collapsed="false">
      <c r="A54" s="8" t="n">
        <v>53</v>
      </c>
      <c r="B54" s="8" t="n">
        <v>53</v>
      </c>
      <c r="C54" s="8" t="s">
        <v>494</v>
      </c>
      <c r="D54" s="8" t="s">
        <v>286</v>
      </c>
      <c r="E54" s="9" t="s">
        <v>509</v>
      </c>
      <c r="F54" s="8" t="n">
        <f aca="false">COUNTIF(Master_Online!E:E,E54)</f>
        <v>1</v>
      </c>
      <c r="G54" s="8" t="s">
        <v>693</v>
      </c>
      <c r="H54" s="8" t="s">
        <v>296</v>
      </c>
      <c r="I54" s="8" t="n">
        <v>3.65</v>
      </c>
      <c r="J54" s="8" t="n">
        <v>54</v>
      </c>
      <c r="K54" s="8"/>
      <c r="L54" s="8" t="n">
        <v>2025</v>
      </c>
      <c r="M54" s="9"/>
      <c r="Q54" s="9"/>
    </row>
    <row r="55" customFormat="false" ht="23.25" hidden="false" customHeight="true" outlineLevel="0" collapsed="false">
      <c r="A55" s="8" t="n">
        <v>54</v>
      </c>
      <c r="B55" s="8" t="n">
        <v>54</v>
      </c>
      <c r="C55" s="8" t="s">
        <v>494</v>
      </c>
      <c r="D55" s="8" t="s">
        <v>315</v>
      </c>
      <c r="E55" s="9" t="s">
        <v>510</v>
      </c>
      <c r="F55" s="8" t="n">
        <f aca="false">COUNTIF(Master_Online!E:E,E55)</f>
        <v>4</v>
      </c>
      <c r="G55" s="8" t="s">
        <v>693</v>
      </c>
      <c r="H55" s="8" t="s">
        <v>296</v>
      </c>
      <c r="I55" s="8" t="n">
        <v>3.67</v>
      </c>
      <c r="J55" s="8" t="n">
        <v>52</v>
      </c>
      <c r="K55" s="8" t="n">
        <v>24</v>
      </c>
      <c r="L55" s="8" t="n">
        <v>2025</v>
      </c>
      <c r="M55" s="9"/>
      <c r="N55" s="8" t="s">
        <v>380</v>
      </c>
      <c r="O55" s="8" t="n">
        <v>4</v>
      </c>
      <c r="P55" s="8" t="s">
        <v>328</v>
      </c>
      <c r="Q55" s="9"/>
    </row>
    <row r="56" customFormat="false" ht="15" hidden="false" customHeight="true" outlineLevel="0" collapsed="false">
      <c r="A56" s="8" t="n">
        <v>55</v>
      </c>
      <c r="B56" s="8" t="n">
        <v>55</v>
      </c>
      <c r="C56" s="8" t="s">
        <v>494</v>
      </c>
      <c r="D56" s="8" t="s">
        <v>286</v>
      </c>
      <c r="E56" s="9" t="s">
        <v>514</v>
      </c>
      <c r="F56" s="8" t="n">
        <f aca="false">COUNTIF(Master_Online!E:E,E56)</f>
        <v>3</v>
      </c>
      <c r="G56" s="8" t="s">
        <v>693</v>
      </c>
      <c r="H56" s="8" t="s">
        <v>296</v>
      </c>
      <c r="I56" s="8" t="n">
        <v>3.52</v>
      </c>
      <c r="J56" s="8"/>
      <c r="K56" s="8"/>
      <c r="L56" s="8" t="n">
        <v>2025</v>
      </c>
      <c r="M56" s="9"/>
      <c r="Q56" s="9"/>
    </row>
    <row r="57" customFormat="false" ht="15" hidden="false" customHeight="true" outlineLevel="0" collapsed="false">
      <c r="A57" s="8" t="n">
        <v>56</v>
      </c>
      <c r="B57" s="8" t="n">
        <v>56</v>
      </c>
      <c r="C57" s="8" t="s">
        <v>494</v>
      </c>
      <c r="D57" s="8" t="s">
        <v>286</v>
      </c>
      <c r="E57" s="9" t="s">
        <v>515</v>
      </c>
      <c r="F57" s="8" t="n">
        <f aca="false">COUNTIF(Master_Online!E:E,E57)</f>
        <v>5</v>
      </c>
      <c r="G57" s="8" t="s">
        <v>693</v>
      </c>
      <c r="H57" s="8"/>
      <c r="I57" s="8"/>
      <c r="J57" s="8" t="n">
        <v>56</v>
      </c>
      <c r="K57" s="8"/>
      <c r="L57" s="8" t="n">
        <v>2025</v>
      </c>
      <c r="M57" s="9"/>
      <c r="Q57" s="9"/>
    </row>
    <row r="58" customFormat="false" ht="15" hidden="false" customHeight="true" outlineLevel="0" collapsed="false">
      <c r="A58" s="8" t="n">
        <v>57</v>
      </c>
      <c r="B58" s="8" t="n">
        <v>57</v>
      </c>
      <c r="C58" s="8" t="s">
        <v>516</v>
      </c>
      <c r="D58" s="8" t="s">
        <v>338</v>
      </c>
      <c r="E58" s="9" t="s">
        <v>517</v>
      </c>
      <c r="F58" s="8" t="n">
        <f aca="false">COUNTIF(Master_Online!E:E,E58)</f>
        <v>6</v>
      </c>
      <c r="G58" s="8" t="s">
        <v>693</v>
      </c>
      <c r="H58" s="8" t="s">
        <v>327</v>
      </c>
      <c r="I58" s="8" t="n">
        <v>3.3</v>
      </c>
      <c r="J58" s="8" t="n">
        <v>82</v>
      </c>
      <c r="K58" s="8"/>
      <c r="L58" s="8" t="n">
        <v>2025</v>
      </c>
      <c r="M58" s="9"/>
      <c r="Q58" s="9"/>
    </row>
    <row r="59" customFormat="false" ht="15" hidden="false" customHeight="true" outlineLevel="0" collapsed="false">
      <c r="A59" s="8" t="n">
        <v>58</v>
      </c>
      <c r="B59" s="8" t="n">
        <v>58</v>
      </c>
      <c r="C59" s="8" t="s">
        <v>522</v>
      </c>
      <c r="D59" s="8" t="s">
        <v>315</v>
      </c>
      <c r="E59" s="9" t="s">
        <v>523</v>
      </c>
      <c r="F59" s="8" t="n">
        <f aca="false">COUNTIF(Master_Online!E:E,E59)</f>
        <v>8</v>
      </c>
      <c r="G59" s="8" t="s">
        <v>693</v>
      </c>
      <c r="H59" s="8" t="s">
        <v>296</v>
      </c>
      <c r="I59" s="8" t="n">
        <v>3.52</v>
      </c>
      <c r="J59" s="8" t="n">
        <v>17</v>
      </c>
      <c r="K59" s="8" t="n">
        <v>68</v>
      </c>
      <c r="L59" s="8" t="n">
        <v>2025</v>
      </c>
      <c r="M59" s="9"/>
      <c r="O59" s="8" t="n">
        <v>7</v>
      </c>
      <c r="P59" s="8" t="s">
        <v>357</v>
      </c>
      <c r="Q59" s="9"/>
    </row>
    <row r="60" customFormat="false" ht="23.25" hidden="false" customHeight="true" outlineLevel="0" collapsed="false">
      <c r="A60" s="8" t="n">
        <v>59</v>
      </c>
      <c r="B60" s="8" t="n">
        <v>59</v>
      </c>
      <c r="C60" s="8" t="s">
        <v>522</v>
      </c>
      <c r="D60" s="8" t="s">
        <v>333</v>
      </c>
      <c r="E60" s="9" t="s">
        <v>528</v>
      </c>
      <c r="F60" s="8" t="n">
        <f aca="false">COUNTIF(Master_Online!E:E,E60)</f>
        <v>6</v>
      </c>
      <c r="G60" s="8" t="s">
        <v>693</v>
      </c>
      <c r="H60" s="8" t="s">
        <v>327</v>
      </c>
      <c r="I60" s="8" t="n">
        <v>3.37</v>
      </c>
      <c r="J60" s="8"/>
      <c r="K60" s="8"/>
      <c r="L60" s="8"/>
      <c r="M60" s="9"/>
      <c r="Q60" s="9"/>
    </row>
    <row r="61" customFormat="false" ht="15" hidden="false" customHeight="true" outlineLevel="0" collapsed="false">
      <c r="A61" s="8" t="n">
        <v>60</v>
      </c>
      <c r="B61" s="8" t="n">
        <v>60</v>
      </c>
      <c r="C61" s="8" t="s">
        <v>530</v>
      </c>
      <c r="D61" s="8" t="s">
        <v>333</v>
      </c>
      <c r="E61" s="9" t="s">
        <v>531</v>
      </c>
      <c r="F61" s="8" t="n">
        <f aca="false">COUNTIF(Master_Online!E:E,E61)</f>
        <v>10</v>
      </c>
      <c r="G61" s="8" t="s">
        <v>693</v>
      </c>
      <c r="H61" s="8" t="s">
        <v>327</v>
      </c>
      <c r="I61" s="8" t="n">
        <v>3.28</v>
      </c>
      <c r="J61" s="8" t="n">
        <v>19</v>
      </c>
      <c r="K61" s="8" t="n">
        <v>32</v>
      </c>
      <c r="L61" s="8" t="n">
        <v>2025</v>
      </c>
      <c r="M61" s="9"/>
      <c r="Q61" s="9"/>
    </row>
    <row r="62" customFormat="false" ht="15" hidden="false" customHeight="true" outlineLevel="0" collapsed="false">
      <c r="A62" s="8" t="n">
        <v>61</v>
      </c>
      <c r="B62" s="8" t="n">
        <v>61</v>
      </c>
      <c r="C62" s="8" t="s">
        <v>530</v>
      </c>
      <c r="D62" s="8" t="s">
        <v>333</v>
      </c>
      <c r="E62" s="9" t="s">
        <v>532</v>
      </c>
      <c r="F62" s="8" t="n">
        <f aca="false">COUNTIF(Master_Online!E:E,E62)</f>
        <v>2</v>
      </c>
      <c r="G62" s="8" t="s">
        <v>693</v>
      </c>
      <c r="H62" s="8" t="s">
        <v>327</v>
      </c>
      <c r="I62" s="8" t="n">
        <v>3.26</v>
      </c>
      <c r="J62" s="8" t="n">
        <v>78</v>
      </c>
      <c r="K62" s="8" t="n">
        <v>78</v>
      </c>
      <c r="L62" s="8" t="n">
        <v>2025</v>
      </c>
      <c r="M62" s="9"/>
      <c r="Q62" s="9"/>
    </row>
    <row r="63" customFormat="false" ht="15" hidden="false" customHeight="true" outlineLevel="0" collapsed="false">
      <c r="A63" s="8" t="n">
        <v>62</v>
      </c>
      <c r="B63" s="8" t="n">
        <v>62</v>
      </c>
      <c r="C63" s="8" t="s">
        <v>530</v>
      </c>
      <c r="D63" s="8" t="s">
        <v>333</v>
      </c>
      <c r="E63" s="9" t="s">
        <v>533</v>
      </c>
      <c r="F63" s="8" t="n">
        <f aca="false">COUNTIF(Master_Online!E:E,E63)</f>
        <v>12</v>
      </c>
      <c r="G63" s="8" t="s">
        <v>693</v>
      </c>
      <c r="H63" s="8" t="s">
        <v>296</v>
      </c>
      <c r="I63" s="8" t="n">
        <v>3.68</v>
      </c>
      <c r="J63" s="8" t="n">
        <v>31</v>
      </c>
      <c r="K63" s="8" t="n">
        <v>44</v>
      </c>
      <c r="L63" s="8" t="n">
        <v>2025</v>
      </c>
      <c r="M63" s="9"/>
      <c r="Q63" s="9"/>
    </row>
    <row r="64" customFormat="false" ht="15" hidden="false" customHeight="true" outlineLevel="0" collapsed="false">
      <c r="A64" s="8" t="n">
        <v>63</v>
      </c>
      <c r="B64" s="8" t="n">
        <v>63</v>
      </c>
      <c r="C64" s="8" t="s">
        <v>530</v>
      </c>
      <c r="D64" s="8" t="s">
        <v>286</v>
      </c>
      <c r="E64" s="9" t="s">
        <v>535</v>
      </c>
      <c r="F64" s="8" t="n">
        <f aca="false">COUNTIF(Master_Online!E:E,E64)</f>
        <v>11</v>
      </c>
      <c r="G64" s="8" t="s">
        <v>693</v>
      </c>
      <c r="H64" s="8" t="s">
        <v>296</v>
      </c>
      <c r="I64" s="8" t="n">
        <v>3.85</v>
      </c>
      <c r="J64" s="8"/>
      <c r="K64" s="8"/>
      <c r="L64" s="8"/>
      <c r="M64" s="9"/>
      <c r="Q64" s="9"/>
    </row>
    <row r="65" customFormat="false" ht="15" hidden="false" customHeight="true" outlineLevel="0" collapsed="false">
      <c r="A65" s="8" t="n">
        <v>64</v>
      </c>
      <c r="B65" s="8" t="n">
        <v>64</v>
      </c>
      <c r="C65" s="8" t="s">
        <v>530</v>
      </c>
      <c r="D65" s="8" t="s">
        <v>333</v>
      </c>
      <c r="E65" s="9" t="s">
        <v>537</v>
      </c>
      <c r="F65" s="8" t="n">
        <f aca="false">COUNTIF(Master_Online!E:E,E65)</f>
        <v>13</v>
      </c>
      <c r="G65" s="8" t="s">
        <v>693</v>
      </c>
      <c r="H65" s="8" t="s">
        <v>296</v>
      </c>
      <c r="I65" s="8" t="n">
        <v>3.57</v>
      </c>
      <c r="J65" s="8"/>
      <c r="K65" s="8"/>
      <c r="L65" s="8"/>
      <c r="M65" s="9"/>
      <c r="Q65" s="9"/>
    </row>
    <row r="66" customFormat="false" ht="15" hidden="false" customHeight="true" outlineLevel="0" collapsed="false">
      <c r="A66" s="8" t="n">
        <v>65</v>
      </c>
      <c r="B66" s="8" t="n">
        <v>65</v>
      </c>
      <c r="C66" s="8" t="s">
        <v>530</v>
      </c>
      <c r="D66" s="8" t="s">
        <v>333</v>
      </c>
      <c r="E66" s="9" t="s">
        <v>541</v>
      </c>
      <c r="F66" s="8" t="n">
        <f aca="false">COUNTIF(Master_Online!E:E,E66)</f>
        <v>13</v>
      </c>
      <c r="G66" s="8" t="s">
        <v>693</v>
      </c>
      <c r="H66" s="8" t="s">
        <v>327</v>
      </c>
      <c r="I66" s="8" t="n">
        <v>3.27</v>
      </c>
      <c r="J66" s="8"/>
      <c r="K66" s="8"/>
      <c r="L66" s="8"/>
      <c r="M66" s="9"/>
      <c r="Q66" s="9"/>
    </row>
    <row r="67" customFormat="false" ht="15" hidden="false" customHeight="true" outlineLevel="0" collapsed="false">
      <c r="A67" s="8" t="n">
        <v>66</v>
      </c>
      <c r="B67" s="8" t="n">
        <v>66</v>
      </c>
      <c r="C67" s="8" t="s">
        <v>543</v>
      </c>
      <c r="D67" s="8" t="s">
        <v>333</v>
      </c>
      <c r="E67" s="9" t="s">
        <v>544</v>
      </c>
      <c r="F67" s="8" t="n">
        <f aca="false">COUNTIF(Master_Online!E:E,E67)</f>
        <v>8</v>
      </c>
      <c r="G67" s="8" t="s">
        <v>693</v>
      </c>
      <c r="H67" s="8" t="s">
        <v>327</v>
      </c>
      <c r="I67" s="8" t="n">
        <v>3.28</v>
      </c>
      <c r="J67" s="8" t="n">
        <v>58</v>
      </c>
      <c r="K67" s="8" t="n">
        <v>81</v>
      </c>
      <c r="L67" s="8" t="n">
        <v>2025</v>
      </c>
      <c r="M67" s="9"/>
      <c r="O67" s="8" t="n">
        <v>1</v>
      </c>
      <c r="P67" s="8" t="s">
        <v>328</v>
      </c>
      <c r="Q67" s="9"/>
    </row>
    <row r="68" customFormat="false" ht="15" hidden="false" customHeight="true" outlineLevel="0" collapsed="false">
      <c r="A68" s="8" t="n">
        <v>67</v>
      </c>
      <c r="B68" s="8" t="n">
        <v>67</v>
      </c>
      <c r="C68" s="8" t="s">
        <v>543</v>
      </c>
      <c r="D68" s="8" t="s">
        <v>333</v>
      </c>
      <c r="E68" s="9" t="s">
        <v>545</v>
      </c>
      <c r="F68" s="8" t="n">
        <f aca="false">COUNTIF(Master_Online!E:E,E68)</f>
        <v>9</v>
      </c>
      <c r="G68" s="8" t="s">
        <v>693</v>
      </c>
      <c r="H68" s="8" t="s">
        <v>327</v>
      </c>
      <c r="I68" s="8" t="n">
        <v>3.29</v>
      </c>
      <c r="J68" s="8"/>
      <c r="K68" s="8"/>
      <c r="L68" s="8"/>
      <c r="M68" s="9"/>
      <c r="Q68" s="9"/>
    </row>
    <row r="69" customFormat="false" ht="15" hidden="false" customHeight="true" outlineLevel="0" collapsed="false">
      <c r="A69" s="8" t="n">
        <v>68</v>
      </c>
      <c r="B69" s="8" t="n">
        <v>68</v>
      </c>
      <c r="C69" s="8" t="s">
        <v>543</v>
      </c>
      <c r="D69" s="8" t="s">
        <v>315</v>
      </c>
      <c r="E69" s="9" t="s">
        <v>548</v>
      </c>
      <c r="F69" s="8" t="n">
        <f aca="false">COUNTIF(Master_Online!E:E,E69)</f>
        <v>11</v>
      </c>
      <c r="G69" s="8" t="s">
        <v>693</v>
      </c>
      <c r="H69" s="8" t="s">
        <v>296</v>
      </c>
      <c r="I69" s="8" t="n">
        <v>3.63</v>
      </c>
      <c r="J69" s="8" t="n">
        <v>66</v>
      </c>
      <c r="K69" s="8"/>
      <c r="L69" s="8" t="n">
        <v>2025</v>
      </c>
      <c r="M69" s="9"/>
      <c r="Q69" s="9"/>
    </row>
    <row r="70" customFormat="false" ht="15" hidden="false" customHeight="true" outlineLevel="0" collapsed="false">
      <c r="A70" s="8" t="n">
        <v>69</v>
      </c>
      <c r="B70" s="8" t="n">
        <v>69</v>
      </c>
      <c r="C70" s="8" t="s">
        <v>543</v>
      </c>
      <c r="D70" s="8" t="s">
        <v>333</v>
      </c>
      <c r="E70" s="9" t="s">
        <v>549</v>
      </c>
      <c r="F70" s="8" t="n">
        <f aca="false">COUNTIF(Master_Online!E:E,E70)</f>
        <v>7</v>
      </c>
      <c r="G70" s="8" t="s">
        <v>693</v>
      </c>
      <c r="H70" s="8" t="s">
        <v>327</v>
      </c>
      <c r="I70" s="8" t="n">
        <v>3.43</v>
      </c>
      <c r="J70" s="8"/>
      <c r="K70" s="8"/>
      <c r="L70" s="8"/>
      <c r="M70" s="9"/>
      <c r="Q70" s="9"/>
    </row>
    <row r="71" customFormat="false" ht="15" hidden="false" customHeight="true" outlineLevel="0" collapsed="false">
      <c r="A71" s="8" t="n">
        <v>70</v>
      </c>
      <c r="B71" s="8" t="n">
        <v>70</v>
      </c>
      <c r="C71" s="8" t="s">
        <v>543</v>
      </c>
      <c r="D71" s="8" t="s">
        <v>333</v>
      </c>
      <c r="E71" s="9" t="s">
        <v>551</v>
      </c>
      <c r="F71" s="8" t="n">
        <f aca="false">COUNTIF(Master_Online!E:E,E71)</f>
        <v>9</v>
      </c>
      <c r="G71" s="8" t="s">
        <v>693</v>
      </c>
      <c r="H71" s="8" t="s">
        <v>327</v>
      </c>
      <c r="I71" s="8" t="n">
        <v>3.31</v>
      </c>
      <c r="J71" s="8"/>
      <c r="K71" s="8"/>
      <c r="L71" s="8"/>
      <c r="M71" s="9"/>
      <c r="Q71" s="9"/>
    </row>
    <row r="72" customFormat="false" ht="15" hidden="false" customHeight="true" outlineLevel="0" collapsed="false">
      <c r="A72" s="8" t="n">
        <v>71</v>
      </c>
      <c r="B72" s="8" t="n">
        <v>71</v>
      </c>
      <c r="C72" s="8" t="s">
        <v>543</v>
      </c>
      <c r="D72" s="8" t="s">
        <v>333</v>
      </c>
      <c r="E72" s="9" t="s">
        <v>552</v>
      </c>
      <c r="F72" s="8" t="n">
        <f aca="false">COUNTIF(Master_Online!E:E,E72)</f>
        <v>8</v>
      </c>
      <c r="G72" s="8" t="s">
        <v>693</v>
      </c>
      <c r="H72" s="8" t="s">
        <v>327</v>
      </c>
      <c r="I72" s="8" t="n">
        <v>3.3</v>
      </c>
      <c r="J72" s="8"/>
      <c r="K72" s="8"/>
      <c r="L72" s="8"/>
      <c r="M72" s="9"/>
      <c r="Q72" s="9"/>
    </row>
    <row r="73" customFormat="false" ht="15" hidden="false" customHeight="true" outlineLevel="0" collapsed="false">
      <c r="A73" s="8" t="n">
        <v>72</v>
      </c>
      <c r="B73" s="8" t="n">
        <v>72</v>
      </c>
      <c r="C73" s="8" t="s">
        <v>553</v>
      </c>
      <c r="D73" s="8" t="s">
        <v>333</v>
      </c>
      <c r="E73" s="9" t="s">
        <v>554</v>
      </c>
      <c r="F73" s="8" t="n">
        <f aca="false">COUNTIF(Master_Online!E:E,E73)</f>
        <v>9</v>
      </c>
      <c r="G73" s="8" t="s">
        <v>693</v>
      </c>
      <c r="H73" s="8" t="s">
        <v>327</v>
      </c>
      <c r="I73" s="8" t="n">
        <v>3.28</v>
      </c>
      <c r="J73" s="8"/>
      <c r="K73" s="8"/>
      <c r="L73" s="8"/>
      <c r="M73" s="9"/>
      <c r="O73" s="8" t="n">
        <v>2</v>
      </c>
      <c r="P73" s="8" t="s">
        <v>404</v>
      </c>
      <c r="Q73" s="9"/>
    </row>
    <row r="74" customFormat="false" ht="15" hidden="false" customHeight="true" outlineLevel="0" collapsed="false">
      <c r="A74" s="8" t="n">
        <v>73</v>
      </c>
      <c r="B74" s="8" t="n">
        <v>73</v>
      </c>
      <c r="C74" s="8" t="s">
        <v>553</v>
      </c>
      <c r="D74" s="8" t="s">
        <v>333</v>
      </c>
      <c r="E74" s="9" t="s">
        <v>556</v>
      </c>
      <c r="F74" s="8" t="n">
        <f aca="false">COUNTIF(Master_Online!E:E,E74)</f>
        <v>6</v>
      </c>
      <c r="G74" s="8" t="s">
        <v>693</v>
      </c>
      <c r="H74" s="8" t="s">
        <v>327</v>
      </c>
      <c r="I74" s="8" t="n">
        <v>3.4</v>
      </c>
      <c r="J74" s="8"/>
      <c r="K74" s="8"/>
      <c r="L74" s="8"/>
      <c r="M74" s="9"/>
      <c r="Q74" s="9"/>
    </row>
    <row r="75" customFormat="false" ht="15" hidden="false" customHeight="true" outlineLevel="0" collapsed="false">
      <c r="A75" s="8" t="n">
        <v>74</v>
      </c>
      <c r="B75" s="8" t="n">
        <v>74</v>
      </c>
      <c r="C75" s="8" t="s">
        <v>557</v>
      </c>
      <c r="D75" s="8" t="s">
        <v>286</v>
      </c>
      <c r="E75" s="9" t="s">
        <v>558</v>
      </c>
      <c r="F75" s="8" t="n">
        <f aca="false">COUNTIF(Master_Online!E:E,E75)</f>
        <v>10</v>
      </c>
      <c r="G75" s="8" t="s">
        <v>693</v>
      </c>
      <c r="H75" s="8"/>
      <c r="I75" s="8"/>
      <c r="J75" s="8" t="n">
        <v>36</v>
      </c>
      <c r="K75" s="8"/>
      <c r="L75" s="8" t="n">
        <v>2025</v>
      </c>
      <c r="M75" s="9"/>
      <c r="Q75" s="9"/>
    </row>
    <row r="76" customFormat="false" ht="15" hidden="false" customHeight="true" outlineLevel="0" collapsed="false">
      <c r="A76" s="8" t="n">
        <v>75</v>
      </c>
      <c r="B76" s="8" t="n">
        <v>75</v>
      </c>
      <c r="C76" s="8" t="s">
        <v>557</v>
      </c>
      <c r="D76" s="8" t="s">
        <v>315</v>
      </c>
      <c r="E76" s="9" t="s">
        <v>561</v>
      </c>
      <c r="F76" s="8" t="n">
        <f aca="false">COUNTIF(Master_Online!E:E,E76)</f>
        <v>3</v>
      </c>
      <c r="G76" s="8" t="s">
        <v>693</v>
      </c>
      <c r="H76" s="8"/>
      <c r="I76" s="8"/>
      <c r="J76" s="8" t="n">
        <v>76</v>
      </c>
      <c r="K76" s="8"/>
      <c r="L76" s="8" t="n">
        <v>2025</v>
      </c>
      <c r="M76" s="9"/>
      <c r="Q76" s="9"/>
    </row>
    <row r="77" customFormat="false" ht="23.25" hidden="false" customHeight="true" outlineLevel="0" collapsed="false">
      <c r="A77" s="8" t="n">
        <v>76</v>
      </c>
      <c r="B77" s="8" t="n">
        <v>76</v>
      </c>
      <c r="C77" s="8" t="s">
        <v>557</v>
      </c>
      <c r="D77" s="8" t="s">
        <v>315</v>
      </c>
      <c r="E77" s="9" t="s">
        <v>562</v>
      </c>
      <c r="F77" s="8" t="n">
        <f aca="false">COUNTIF(Master_Online!E:E,E77)</f>
        <v>3</v>
      </c>
      <c r="G77" s="8" t="s">
        <v>693</v>
      </c>
      <c r="H77" s="8" t="s">
        <v>327</v>
      </c>
      <c r="I77" s="8" t="n">
        <v>3.33</v>
      </c>
      <c r="J77" s="8"/>
      <c r="K77" s="8"/>
      <c r="L77" s="8"/>
      <c r="M77" s="9"/>
      <c r="Q77" s="9"/>
    </row>
    <row r="78" customFormat="false" ht="15" hidden="false" customHeight="true" outlineLevel="0" collapsed="false">
      <c r="A78" s="8" t="n">
        <v>77</v>
      </c>
      <c r="B78" s="8" t="n">
        <v>77</v>
      </c>
      <c r="C78" s="8" t="s">
        <v>557</v>
      </c>
      <c r="D78" s="8" t="s">
        <v>286</v>
      </c>
      <c r="E78" s="9" t="s">
        <v>564</v>
      </c>
      <c r="F78" s="8" t="n">
        <f aca="false">COUNTIF(Master_Online!E:E,E78)</f>
        <v>9</v>
      </c>
      <c r="G78" s="8" t="s">
        <v>693</v>
      </c>
      <c r="H78" s="8" t="s">
        <v>296</v>
      </c>
      <c r="I78" s="8" t="n">
        <v>3.54</v>
      </c>
      <c r="J78" s="8" t="n">
        <v>85</v>
      </c>
      <c r="K78" s="8"/>
      <c r="L78" s="8" t="n">
        <v>2025</v>
      </c>
      <c r="M78" s="9"/>
      <c r="Q78" s="9"/>
    </row>
    <row r="79" customFormat="false" ht="15" hidden="false" customHeight="true" outlineLevel="0" collapsed="false">
      <c r="A79" s="8" t="n">
        <v>78</v>
      </c>
      <c r="B79" s="8" t="n">
        <v>78</v>
      </c>
      <c r="C79" s="8" t="s">
        <v>557</v>
      </c>
      <c r="D79" s="8" t="s">
        <v>315</v>
      </c>
      <c r="E79" s="9" t="s">
        <v>567</v>
      </c>
      <c r="F79" s="8" t="n">
        <f aca="false">COUNTIF(Master_Online!E:E,E79)</f>
        <v>7</v>
      </c>
      <c r="G79" s="8" t="s">
        <v>693</v>
      </c>
      <c r="H79" s="8" t="s">
        <v>327</v>
      </c>
      <c r="I79" s="8" t="n">
        <v>3.48</v>
      </c>
      <c r="J79" s="8"/>
      <c r="K79" s="8"/>
      <c r="L79" s="8" t="n">
        <v>2025</v>
      </c>
      <c r="M79" s="9"/>
      <c r="O79" s="8" t="n">
        <v>4</v>
      </c>
      <c r="P79" s="8" t="s">
        <v>357</v>
      </c>
      <c r="Q79" s="9"/>
    </row>
    <row r="80" customFormat="false" ht="23.25" hidden="false" customHeight="true" outlineLevel="0" collapsed="false">
      <c r="A80" s="8" t="n">
        <v>79</v>
      </c>
      <c r="B80" s="8" t="n">
        <v>79</v>
      </c>
      <c r="C80" s="8" t="s">
        <v>557</v>
      </c>
      <c r="D80" s="8" t="s">
        <v>315</v>
      </c>
      <c r="E80" s="9" t="s">
        <v>569</v>
      </c>
      <c r="F80" s="8" t="n">
        <f aca="false">COUNTIF(Master_Online!E:E,E80)</f>
        <v>10</v>
      </c>
      <c r="G80" s="8" t="s">
        <v>693</v>
      </c>
      <c r="H80" s="8" t="s">
        <v>296</v>
      </c>
      <c r="I80" s="8" t="n">
        <v>3.76</v>
      </c>
      <c r="J80" s="8" t="n">
        <v>29</v>
      </c>
      <c r="K80" s="8"/>
      <c r="L80" s="8" t="n">
        <v>2025</v>
      </c>
      <c r="M80" s="9"/>
      <c r="Q80" s="9"/>
    </row>
    <row r="81" customFormat="false" ht="15" hidden="false" customHeight="true" outlineLevel="0" collapsed="false">
      <c r="A81" s="8" t="n">
        <v>80</v>
      </c>
      <c r="B81" s="8" t="n">
        <v>80</v>
      </c>
      <c r="C81" s="8" t="s">
        <v>557</v>
      </c>
      <c r="D81" s="8" t="s">
        <v>315</v>
      </c>
      <c r="E81" s="9" t="s">
        <v>571</v>
      </c>
      <c r="F81" s="8" t="n">
        <f aca="false">COUNTIF(Master_Online!E:E,E81)</f>
        <v>6</v>
      </c>
      <c r="G81" s="8" t="s">
        <v>693</v>
      </c>
      <c r="H81" s="8" t="s">
        <v>296</v>
      </c>
      <c r="I81" s="8" t="n">
        <v>3.73</v>
      </c>
      <c r="J81" s="8" t="n">
        <v>53</v>
      </c>
      <c r="K81" s="8"/>
      <c r="L81" s="8" t="n">
        <v>2025</v>
      </c>
      <c r="M81" s="9"/>
      <c r="O81" s="8" t="n">
        <v>10</v>
      </c>
      <c r="P81" s="8" t="s">
        <v>328</v>
      </c>
      <c r="Q81" s="9"/>
    </row>
    <row r="82" customFormat="false" ht="15" hidden="false" customHeight="true" outlineLevel="0" collapsed="false">
      <c r="A82" s="8" t="n">
        <v>81</v>
      </c>
      <c r="B82" s="8" t="n">
        <v>81</v>
      </c>
      <c r="C82" s="8" t="s">
        <v>557</v>
      </c>
      <c r="D82" s="8" t="s">
        <v>315</v>
      </c>
      <c r="E82" s="9" t="s">
        <v>572</v>
      </c>
      <c r="F82" s="8" t="n">
        <f aca="false">COUNTIF(Master_Online!E:E,E82)</f>
        <v>5</v>
      </c>
      <c r="G82" s="8" t="s">
        <v>693</v>
      </c>
      <c r="H82" s="8" t="s">
        <v>296</v>
      </c>
      <c r="I82" s="8" t="n">
        <v>3.58</v>
      </c>
      <c r="J82" s="8" t="n">
        <v>11</v>
      </c>
      <c r="K82" s="8" t="n">
        <v>56</v>
      </c>
      <c r="L82" s="8" t="n">
        <v>2025</v>
      </c>
      <c r="M82" s="9"/>
      <c r="O82" s="8" t="n">
        <v>6</v>
      </c>
      <c r="P82" s="8" t="s">
        <v>328</v>
      </c>
      <c r="Q82" s="9"/>
    </row>
    <row r="83" customFormat="false" ht="15" hidden="false" customHeight="true" outlineLevel="0" collapsed="false">
      <c r="A83" s="8" t="n">
        <v>82</v>
      </c>
      <c r="B83" s="8" t="n">
        <v>82</v>
      </c>
      <c r="C83" s="8" t="s">
        <v>557</v>
      </c>
      <c r="D83" s="8" t="s">
        <v>286</v>
      </c>
      <c r="E83" s="9" t="s">
        <v>574</v>
      </c>
      <c r="F83" s="8" t="n">
        <f aca="false">COUNTIF(Master_Online!E:E,E83)</f>
        <v>9</v>
      </c>
      <c r="G83" s="8" t="s">
        <v>693</v>
      </c>
      <c r="H83" s="8" t="s">
        <v>296</v>
      </c>
      <c r="I83" s="8" t="n">
        <v>3.59</v>
      </c>
      <c r="J83" s="8" t="n">
        <v>38</v>
      </c>
      <c r="K83" s="8"/>
      <c r="L83" s="8" t="n">
        <v>2025</v>
      </c>
      <c r="M83" s="9"/>
      <c r="Q83" s="9"/>
    </row>
    <row r="84" customFormat="false" ht="23.25" hidden="false" customHeight="true" outlineLevel="0" collapsed="false">
      <c r="A84" s="8" t="n">
        <v>83</v>
      </c>
      <c r="B84" s="8" t="n">
        <v>83</v>
      </c>
      <c r="C84" s="8" t="s">
        <v>557</v>
      </c>
      <c r="D84" s="8" t="s">
        <v>315</v>
      </c>
      <c r="E84" s="9" t="s">
        <v>577</v>
      </c>
      <c r="F84" s="8" t="n">
        <f aca="false">COUNTIF(Master_Online!E:E,E84)</f>
        <v>7</v>
      </c>
      <c r="G84" s="8" t="s">
        <v>693</v>
      </c>
      <c r="H84" s="8" t="s">
        <v>296</v>
      </c>
      <c r="I84" s="8" t="n">
        <v>3.51</v>
      </c>
      <c r="J84" s="8" t="n">
        <v>28</v>
      </c>
      <c r="K84" s="8"/>
      <c r="L84" s="8" t="n">
        <v>2025</v>
      </c>
      <c r="M84" s="9"/>
      <c r="O84" s="8" t="n">
        <v>8</v>
      </c>
      <c r="P84" s="8" t="s">
        <v>357</v>
      </c>
      <c r="Q84" s="9"/>
    </row>
    <row r="85" customFormat="false" ht="15" hidden="false" customHeight="true" outlineLevel="0" collapsed="false">
      <c r="A85" s="8" t="n">
        <v>84</v>
      </c>
      <c r="B85" s="8" t="n">
        <v>84</v>
      </c>
      <c r="C85" s="8" t="s">
        <v>557</v>
      </c>
      <c r="D85" s="8" t="s">
        <v>315</v>
      </c>
      <c r="E85" s="9" t="s">
        <v>578</v>
      </c>
      <c r="F85" s="8" t="n">
        <f aca="false">COUNTIF(Master_Online!E:E,E85)</f>
        <v>8</v>
      </c>
      <c r="G85" s="8" t="s">
        <v>693</v>
      </c>
      <c r="H85" s="8" t="s">
        <v>296</v>
      </c>
      <c r="I85" s="8" t="n">
        <v>3.7</v>
      </c>
      <c r="J85" s="8" t="n">
        <v>8</v>
      </c>
      <c r="K85" s="8" t="n">
        <v>26</v>
      </c>
      <c r="L85" s="8" t="n">
        <v>2025</v>
      </c>
      <c r="M85" s="9"/>
      <c r="N85" s="8" t="s">
        <v>380</v>
      </c>
      <c r="O85" s="8" t="n">
        <v>12</v>
      </c>
      <c r="P85" s="8" t="s">
        <v>357</v>
      </c>
      <c r="Q85" s="9"/>
    </row>
    <row r="86" customFormat="false" ht="15" hidden="false" customHeight="true" outlineLevel="0" collapsed="false">
      <c r="A86" s="8" t="n">
        <v>85</v>
      </c>
      <c r="B86" s="8" t="n">
        <v>85</v>
      </c>
      <c r="C86" s="8" t="s">
        <v>557</v>
      </c>
      <c r="D86" s="8" t="s">
        <v>286</v>
      </c>
      <c r="E86" s="9" t="s">
        <v>583</v>
      </c>
      <c r="F86" s="8" t="n">
        <f aca="false">COUNTIF(Master_Online!E:E,E86)</f>
        <v>8</v>
      </c>
      <c r="G86" s="8" t="s">
        <v>693</v>
      </c>
      <c r="H86" s="8" t="s">
        <v>296</v>
      </c>
      <c r="I86" s="8" t="n">
        <v>3.59</v>
      </c>
      <c r="J86" s="8" t="n">
        <v>44</v>
      </c>
      <c r="K86" s="8"/>
      <c r="L86" s="8" t="n">
        <v>2025</v>
      </c>
      <c r="M86" s="9"/>
      <c r="Q86" s="9"/>
    </row>
    <row r="87" customFormat="false" ht="15" hidden="false" customHeight="true" outlineLevel="0" collapsed="false">
      <c r="A87" s="8" t="n">
        <v>86</v>
      </c>
      <c r="B87" s="8" t="n">
        <v>86</v>
      </c>
      <c r="C87" s="8" t="s">
        <v>557</v>
      </c>
      <c r="D87" s="8" t="s">
        <v>286</v>
      </c>
      <c r="E87" s="9" t="s">
        <v>584</v>
      </c>
      <c r="F87" s="8" t="n">
        <f aca="false">COUNTIF(Master_Online!E:E,E87)</f>
        <v>11</v>
      </c>
      <c r="G87" s="8" t="s">
        <v>693</v>
      </c>
      <c r="H87" s="8" t="s">
        <v>296</v>
      </c>
      <c r="I87" s="8" t="n">
        <v>3.63</v>
      </c>
      <c r="J87" s="8" t="n">
        <v>46</v>
      </c>
      <c r="K87" s="8"/>
      <c r="L87" s="8" t="n">
        <v>2025</v>
      </c>
      <c r="M87" s="9"/>
      <c r="Q87" s="9"/>
    </row>
    <row r="88" customFormat="false" ht="15" hidden="false" customHeight="true" outlineLevel="0" collapsed="false">
      <c r="A88" s="8" t="n">
        <v>87</v>
      </c>
      <c r="B88" s="8" t="n">
        <v>87</v>
      </c>
      <c r="C88" s="8" t="s">
        <v>557</v>
      </c>
      <c r="D88" s="8" t="s">
        <v>315</v>
      </c>
      <c r="E88" s="9" t="s">
        <v>589</v>
      </c>
      <c r="F88" s="8" t="n">
        <f aca="false">COUNTIF(Master_Online!E:E,E88)</f>
        <v>4</v>
      </c>
      <c r="G88" s="8" t="s">
        <v>693</v>
      </c>
      <c r="H88" s="8" t="s">
        <v>296</v>
      </c>
      <c r="I88" s="8" t="n">
        <v>3.66</v>
      </c>
      <c r="J88" s="8" t="n">
        <v>14</v>
      </c>
      <c r="K88" s="8"/>
      <c r="L88" s="8" t="n">
        <v>2025</v>
      </c>
      <c r="M88" s="9"/>
      <c r="N88" s="8" t="s">
        <v>380</v>
      </c>
      <c r="Q88" s="9"/>
    </row>
    <row r="89" customFormat="false" ht="15" hidden="false" customHeight="true" outlineLevel="0" collapsed="false">
      <c r="A89" s="8" t="n">
        <v>88</v>
      </c>
      <c r="B89" s="8" t="n">
        <v>88</v>
      </c>
      <c r="C89" s="8" t="s">
        <v>557</v>
      </c>
      <c r="D89" s="8" t="s">
        <v>286</v>
      </c>
      <c r="E89" s="9" t="s">
        <v>592</v>
      </c>
      <c r="F89" s="8" t="n">
        <f aca="false">COUNTIF(Master_Online!E:E,E89)</f>
        <v>10</v>
      </c>
      <c r="G89" s="8" t="s">
        <v>693</v>
      </c>
      <c r="H89" s="8" t="s">
        <v>327</v>
      </c>
      <c r="I89" s="8" t="n">
        <v>3.46</v>
      </c>
      <c r="J89" s="8"/>
      <c r="K89" s="8"/>
      <c r="L89" s="8" t="n">
        <v>2025</v>
      </c>
      <c r="M89" s="9"/>
      <c r="Q89" s="9"/>
    </row>
    <row r="90" customFormat="false" ht="23.25" hidden="false" customHeight="true" outlineLevel="0" collapsed="false">
      <c r="A90" s="8" t="n">
        <v>89</v>
      </c>
      <c r="B90" s="8" t="n">
        <v>89</v>
      </c>
      <c r="C90" s="8" t="s">
        <v>557</v>
      </c>
      <c r="D90" s="8" t="s">
        <v>315</v>
      </c>
      <c r="E90" s="9" t="s">
        <v>593</v>
      </c>
      <c r="F90" s="8" t="n">
        <f aca="false">COUNTIF(Master_Online!E:E,E90)</f>
        <v>5</v>
      </c>
      <c r="G90" s="8" t="s">
        <v>693</v>
      </c>
      <c r="H90" s="8" t="s">
        <v>327</v>
      </c>
      <c r="I90" s="8" t="n">
        <v>3.48</v>
      </c>
      <c r="J90" s="8"/>
      <c r="K90" s="8"/>
      <c r="L90" s="8"/>
      <c r="M90" s="9"/>
      <c r="O90" s="8" t="n">
        <v>7</v>
      </c>
      <c r="P90" s="8" t="s">
        <v>404</v>
      </c>
      <c r="Q90" s="9"/>
    </row>
    <row r="91" customFormat="false" ht="15" hidden="false" customHeight="true" outlineLevel="0" collapsed="false">
      <c r="A91" s="8" t="n">
        <v>90</v>
      </c>
      <c r="B91" s="8" t="n">
        <v>90</v>
      </c>
      <c r="C91" s="8" t="s">
        <v>557</v>
      </c>
      <c r="D91" s="8" t="s">
        <v>315</v>
      </c>
      <c r="E91" s="9" t="s">
        <v>594</v>
      </c>
      <c r="F91" s="8" t="n">
        <f aca="false">COUNTIF(Master_Online!E:E,E91)</f>
        <v>2</v>
      </c>
      <c r="G91" s="8" t="s">
        <v>693</v>
      </c>
      <c r="H91" s="8" t="s">
        <v>296</v>
      </c>
      <c r="I91" s="8" t="n">
        <v>3.53</v>
      </c>
      <c r="J91" s="8"/>
      <c r="K91" s="8"/>
      <c r="L91" s="8"/>
      <c r="M91" s="9"/>
      <c r="O91" s="8" t="n">
        <v>6</v>
      </c>
      <c r="P91" s="8" t="s">
        <v>357</v>
      </c>
      <c r="Q91" s="9"/>
    </row>
    <row r="92" customFormat="false" ht="23.25" hidden="false" customHeight="true" outlineLevel="0" collapsed="false">
      <c r="A92" s="8" t="n">
        <v>91</v>
      </c>
      <c r="B92" s="8" t="n">
        <v>91</v>
      </c>
      <c r="C92" s="8" t="s">
        <v>557</v>
      </c>
      <c r="D92" s="8" t="s">
        <v>315</v>
      </c>
      <c r="E92" s="9" t="s">
        <v>595</v>
      </c>
      <c r="F92" s="8" t="n">
        <f aca="false">COUNTIF(Master_Online!E:E,E92)</f>
        <v>3</v>
      </c>
      <c r="G92" s="8" t="s">
        <v>693</v>
      </c>
      <c r="H92" s="8" t="s">
        <v>327</v>
      </c>
      <c r="I92" s="8" t="n">
        <v>3.5</v>
      </c>
      <c r="J92" s="8"/>
      <c r="K92" s="8"/>
      <c r="L92" s="8" t="n">
        <v>2025</v>
      </c>
      <c r="M92" s="9"/>
      <c r="Q92" s="9"/>
    </row>
    <row r="93" customFormat="false" ht="15" hidden="false" customHeight="true" outlineLevel="0" collapsed="false">
      <c r="A93" s="8" t="n">
        <v>92</v>
      </c>
      <c r="B93" s="8" t="n">
        <v>92</v>
      </c>
      <c r="C93" s="8" t="s">
        <v>557</v>
      </c>
      <c r="D93" s="8" t="s">
        <v>286</v>
      </c>
      <c r="E93" s="9" t="s">
        <v>596</v>
      </c>
      <c r="F93" s="8" t="n">
        <f aca="false">COUNTIF(Master_Online!E:E,E93)</f>
        <v>2</v>
      </c>
      <c r="G93" s="8" t="s">
        <v>693</v>
      </c>
      <c r="H93" s="8" t="s">
        <v>296</v>
      </c>
      <c r="I93" s="8" t="n">
        <v>3.54</v>
      </c>
      <c r="J93" s="8" t="n">
        <v>20</v>
      </c>
      <c r="K93" s="8" t="n">
        <v>88</v>
      </c>
      <c r="L93" s="8" t="n">
        <v>2025</v>
      </c>
      <c r="M93" s="9"/>
      <c r="O93" s="8" t="n">
        <v>8</v>
      </c>
      <c r="P93" s="8" t="s">
        <v>357</v>
      </c>
      <c r="Q93" s="9"/>
    </row>
    <row r="94" customFormat="false" ht="23.25" hidden="false" customHeight="true" outlineLevel="0" collapsed="false">
      <c r="A94" s="8" t="n">
        <v>93</v>
      </c>
      <c r="B94" s="8" t="n">
        <v>93</v>
      </c>
      <c r="C94" s="8" t="s">
        <v>557</v>
      </c>
      <c r="D94" s="8" t="s">
        <v>315</v>
      </c>
      <c r="E94" s="9" t="s">
        <v>598</v>
      </c>
      <c r="F94" s="8" t="n">
        <f aca="false">COUNTIF(Master_Online!E:E,E94)</f>
        <v>2</v>
      </c>
      <c r="G94" s="8" t="s">
        <v>693</v>
      </c>
      <c r="H94" s="8" t="s">
        <v>296</v>
      </c>
      <c r="I94" s="8" t="n">
        <v>3.52</v>
      </c>
      <c r="J94" s="8"/>
      <c r="K94" s="8"/>
      <c r="L94" s="8" t="n">
        <v>2025</v>
      </c>
      <c r="M94" s="9"/>
      <c r="O94" s="8" t="n">
        <v>6</v>
      </c>
      <c r="P94" s="8" t="s">
        <v>328</v>
      </c>
      <c r="Q94" s="9"/>
    </row>
    <row r="95" customFormat="false" ht="23.25" hidden="false" customHeight="true" outlineLevel="0" collapsed="false">
      <c r="A95" s="8" t="n">
        <v>94</v>
      </c>
      <c r="B95" s="8" t="n">
        <v>94</v>
      </c>
      <c r="C95" s="8" t="s">
        <v>557</v>
      </c>
      <c r="D95" s="8" t="s">
        <v>315</v>
      </c>
      <c r="E95" s="9" t="s">
        <v>599</v>
      </c>
      <c r="F95" s="8" t="n">
        <f aca="false">COUNTIF(Master_Online!E:E,E95)</f>
        <v>1</v>
      </c>
      <c r="G95" s="8" t="s">
        <v>693</v>
      </c>
      <c r="H95" s="8" t="s">
        <v>296</v>
      </c>
      <c r="I95" s="8" t="n">
        <v>3.53</v>
      </c>
      <c r="J95" s="8" t="n">
        <v>60</v>
      </c>
      <c r="K95" s="8"/>
      <c r="L95" s="8" t="n">
        <v>2025</v>
      </c>
      <c r="M95" s="9"/>
      <c r="Q95" s="9"/>
    </row>
    <row r="96" customFormat="false" ht="15" hidden="false" customHeight="true" outlineLevel="0" collapsed="false">
      <c r="A96" s="8" t="n">
        <v>95</v>
      </c>
      <c r="B96" s="8" t="n">
        <v>95</v>
      </c>
      <c r="C96" s="8" t="s">
        <v>601</v>
      </c>
      <c r="D96" s="8" t="s">
        <v>315</v>
      </c>
      <c r="E96" s="9" t="s">
        <v>602</v>
      </c>
      <c r="F96" s="8" t="n">
        <f aca="false">COUNTIF(Master_Online!E:E,E96)</f>
        <v>2</v>
      </c>
      <c r="G96" s="8" t="s">
        <v>693</v>
      </c>
      <c r="H96" s="8" t="s">
        <v>296</v>
      </c>
      <c r="I96" s="8" t="n">
        <v>3.59</v>
      </c>
      <c r="J96" s="8"/>
      <c r="K96" s="8" t="n">
        <v>46</v>
      </c>
      <c r="L96" s="8" t="n">
        <v>2025</v>
      </c>
      <c r="M96" s="9"/>
      <c r="N96" s="8" t="s">
        <v>380</v>
      </c>
      <c r="Q96" s="9"/>
    </row>
    <row r="97" customFormat="false" ht="15" hidden="false" customHeight="true" outlineLevel="0" collapsed="false">
      <c r="A97" s="8" t="n">
        <v>96</v>
      </c>
      <c r="B97" s="8" t="n">
        <v>96</v>
      </c>
      <c r="C97" s="8" t="s">
        <v>601</v>
      </c>
      <c r="D97" s="8" t="s">
        <v>315</v>
      </c>
      <c r="E97" s="9" t="s">
        <v>605</v>
      </c>
      <c r="F97" s="8" t="n">
        <f aca="false">COUNTIF(Master_Online!E:E,E97)</f>
        <v>1</v>
      </c>
      <c r="G97" s="8" t="s">
        <v>693</v>
      </c>
      <c r="H97" s="8" t="s">
        <v>327</v>
      </c>
      <c r="I97" s="8" t="n">
        <v>3.37</v>
      </c>
      <c r="J97" s="8"/>
      <c r="K97" s="8"/>
      <c r="L97" s="8"/>
      <c r="M97" s="9"/>
      <c r="Q97" s="9"/>
    </row>
    <row r="98" customFormat="false" ht="15" hidden="false" customHeight="true" outlineLevel="0" collapsed="false">
      <c r="A98" s="8" t="n">
        <v>97</v>
      </c>
      <c r="B98" s="8" t="n">
        <v>97</v>
      </c>
      <c r="C98" s="8" t="s">
        <v>606</v>
      </c>
      <c r="D98" s="8" t="s">
        <v>338</v>
      </c>
      <c r="E98" s="9" t="s">
        <v>607</v>
      </c>
      <c r="F98" s="8" t="n">
        <f aca="false">COUNTIF(Master_Online!E:E,E98)</f>
        <v>11</v>
      </c>
      <c r="G98" s="8" t="s">
        <v>693</v>
      </c>
      <c r="H98" s="8" t="s">
        <v>327</v>
      </c>
      <c r="I98" s="8" t="n">
        <v>3.35</v>
      </c>
      <c r="J98" s="8" t="n">
        <v>10</v>
      </c>
      <c r="K98" s="8" t="n">
        <v>69</v>
      </c>
      <c r="L98" s="8" t="n">
        <v>2025</v>
      </c>
      <c r="M98" s="9"/>
      <c r="Q98" s="9"/>
    </row>
    <row r="99" customFormat="false" ht="15" hidden="false" customHeight="true" outlineLevel="0" collapsed="false">
      <c r="A99" s="8" t="n">
        <v>98</v>
      </c>
      <c r="B99" s="8" t="n">
        <v>98</v>
      </c>
      <c r="C99" s="8" t="s">
        <v>606</v>
      </c>
      <c r="D99" s="8" t="s">
        <v>333</v>
      </c>
      <c r="E99" s="9" t="s">
        <v>609</v>
      </c>
      <c r="F99" s="8" t="n">
        <f aca="false">COUNTIF(Master_Online!E:E,E99)</f>
        <v>18</v>
      </c>
      <c r="G99" s="8" t="s">
        <v>693</v>
      </c>
      <c r="H99" s="8"/>
      <c r="I99" s="8"/>
      <c r="J99" s="8" t="n">
        <v>22</v>
      </c>
      <c r="K99" s="8" t="n">
        <v>49</v>
      </c>
      <c r="L99" s="8" t="n">
        <v>2025</v>
      </c>
      <c r="M99" s="9"/>
      <c r="Q99" s="9"/>
    </row>
    <row r="100" customFormat="false" ht="15" hidden="false" customHeight="true" outlineLevel="0" collapsed="false">
      <c r="A100" s="8" t="n">
        <v>99</v>
      </c>
      <c r="B100" s="8" t="n">
        <v>99</v>
      </c>
      <c r="C100" s="8" t="s">
        <v>606</v>
      </c>
      <c r="D100" s="8" t="s">
        <v>333</v>
      </c>
      <c r="E100" s="9" t="s">
        <v>616</v>
      </c>
      <c r="F100" s="8" t="n">
        <f aca="false">COUNTIF(Master_Online!E:E,E100)</f>
        <v>7</v>
      </c>
      <c r="G100" s="8" t="s">
        <v>693</v>
      </c>
      <c r="H100" s="8" t="s">
        <v>424</v>
      </c>
      <c r="I100" s="8" t="n">
        <v>3.27</v>
      </c>
      <c r="J100" s="8" t="n">
        <v>87</v>
      </c>
      <c r="K100" s="8"/>
      <c r="L100" s="8" t="n">
        <v>2025</v>
      </c>
      <c r="M100" s="9"/>
      <c r="Q100" s="9"/>
    </row>
    <row r="101" customFormat="false" ht="15" hidden="false" customHeight="true" outlineLevel="0" collapsed="false">
      <c r="A101" s="8" t="n">
        <v>100</v>
      </c>
      <c r="B101" s="8" t="n">
        <v>100</v>
      </c>
      <c r="C101" s="8" t="s">
        <v>606</v>
      </c>
      <c r="D101" s="8" t="s">
        <v>333</v>
      </c>
      <c r="E101" s="9" t="s">
        <v>618</v>
      </c>
      <c r="F101" s="8" t="n">
        <f aca="false">COUNTIF(Master_Online!E:E,E101)</f>
        <v>12</v>
      </c>
      <c r="G101" s="8" t="s">
        <v>693</v>
      </c>
      <c r="H101" s="8" t="s">
        <v>327</v>
      </c>
      <c r="I101" s="8" t="n">
        <v>3.34</v>
      </c>
      <c r="J101" s="8"/>
      <c r="K101" s="8"/>
      <c r="L101" s="8"/>
      <c r="M101" s="9"/>
      <c r="Q101" s="9"/>
    </row>
    <row r="102" customFormat="false" ht="15" hidden="false" customHeight="true" outlineLevel="0" collapsed="false">
      <c r="A102" s="8" t="n">
        <v>101</v>
      </c>
      <c r="B102" s="8" t="n">
        <v>101</v>
      </c>
      <c r="C102" s="8" t="s">
        <v>606</v>
      </c>
      <c r="D102" s="8" t="s">
        <v>315</v>
      </c>
      <c r="E102" s="9" t="s">
        <v>620</v>
      </c>
      <c r="F102" s="8" t="n">
        <f aca="false">COUNTIF(Master_Online!E:E,E102)</f>
        <v>1</v>
      </c>
      <c r="G102" s="8" t="s">
        <v>693</v>
      </c>
      <c r="H102" s="8" t="s">
        <v>424</v>
      </c>
      <c r="I102" s="8" t="n">
        <v>3.06</v>
      </c>
      <c r="J102" s="8" t="n">
        <v>57</v>
      </c>
      <c r="K102" s="8"/>
      <c r="L102" s="8" t="n">
        <v>2025</v>
      </c>
      <c r="M102" s="9"/>
      <c r="Q102" s="9"/>
    </row>
    <row r="103" customFormat="false" ht="15" hidden="false" customHeight="true" outlineLevel="0" collapsed="false">
      <c r="A103" s="8" t="n">
        <v>102</v>
      </c>
      <c r="B103" s="8" t="n">
        <v>102</v>
      </c>
      <c r="C103" s="8" t="s">
        <v>606</v>
      </c>
      <c r="D103" s="8" t="s">
        <v>333</v>
      </c>
      <c r="E103" s="9" t="s">
        <v>621</v>
      </c>
      <c r="F103" s="8" t="n">
        <f aca="false">COUNTIF(Master_Online!E:E,E103)</f>
        <v>13</v>
      </c>
      <c r="G103" s="8" t="s">
        <v>693</v>
      </c>
      <c r="H103" s="8" t="s">
        <v>327</v>
      </c>
      <c r="I103" s="8" t="n">
        <v>3.4</v>
      </c>
      <c r="J103" s="8"/>
      <c r="K103" s="8"/>
      <c r="L103" s="8" t="n">
        <v>2025</v>
      </c>
      <c r="M103" s="9"/>
      <c r="Q103" s="9"/>
    </row>
    <row r="104" customFormat="false" ht="15" hidden="false" customHeight="true" outlineLevel="0" collapsed="false">
      <c r="A104" s="8" t="n">
        <v>103</v>
      </c>
      <c r="B104" s="8" t="n">
        <v>103</v>
      </c>
      <c r="C104" s="8" t="s">
        <v>606</v>
      </c>
      <c r="D104" s="8" t="s">
        <v>333</v>
      </c>
      <c r="E104" s="9" t="s">
        <v>623</v>
      </c>
      <c r="F104" s="8" t="n">
        <f aca="false">COUNTIF(Master_Online!E:E,E104)</f>
        <v>5</v>
      </c>
      <c r="G104" s="8" t="s">
        <v>693</v>
      </c>
      <c r="H104" s="8" t="s">
        <v>327</v>
      </c>
      <c r="I104" s="8" t="n">
        <v>3.46</v>
      </c>
      <c r="J104" s="8"/>
      <c r="K104" s="8"/>
      <c r="L104" s="8"/>
      <c r="M104" s="9"/>
      <c r="Q104" s="9"/>
    </row>
    <row r="105" customFormat="false" ht="15" hidden="false" customHeight="true" outlineLevel="0" collapsed="false">
      <c r="A105" s="8" t="n">
        <v>104</v>
      </c>
      <c r="B105" s="8" t="n">
        <v>104</v>
      </c>
      <c r="C105" s="8" t="s">
        <v>606</v>
      </c>
      <c r="D105" s="8" t="s">
        <v>315</v>
      </c>
      <c r="E105" s="9" t="s">
        <v>624</v>
      </c>
      <c r="F105" s="8" t="n">
        <f aca="false">COUNTIF(Master_Online!E:E,E105)</f>
        <v>5</v>
      </c>
      <c r="G105" s="8" t="s">
        <v>693</v>
      </c>
      <c r="H105" s="8" t="s">
        <v>327</v>
      </c>
      <c r="I105" s="8" t="n">
        <v>3.4</v>
      </c>
      <c r="J105" s="8"/>
      <c r="K105" s="8"/>
      <c r="L105" s="8" t="n">
        <v>2025</v>
      </c>
      <c r="M105" s="9"/>
      <c r="O105" s="8" t="n">
        <v>2</v>
      </c>
      <c r="P105" s="8" t="s">
        <v>404</v>
      </c>
      <c r="Q105" s="9"/>
    </row>
    <row r="106" customFormat="false" ht="15" hidden="false" customHeight="true" outlineLevel="0" collapsed="false">
      <c r="A106" s="8" t="n">
        <v>105</v>
      </c>
      <c r="B106" s="8" t="n">
        <v>105</v>
      </c>
      <c r="C106" s="8" t="s">
        <v>606</v>
      </c>
      <c r="D106" s="8" t="s">
        <v>286</v>
      </c>
      <c r="E106" s="9" t="s">
        <v>627</v>
      </c>
      <c r="F106" s="8" t="n">
        <f aca="false">COUNTIF(Master_Online!E:E,E106)</f>
        <v>9</v>
      </c>
      <c r="G106" s="8" t="s">
        <v>693</v>
      </c>
      <c r="H106" s="8" t="s">
        <v>296</v>
      </c>
      <c r="I106" s="8" t="n">
        <v>3.55</v>
      </c>
      <c r="J106" s="8" t="n">
        <v>98</v>
      </c>
      <c r="K106" s="8" t="n">
        <v>100</v>
      </c>
      <c r="L106" s="8" t="n">
        <v>2025</v>
      </c>
      <c r="M106" s="9"/>
      <c r="Q106" s="9"/>
    </row>
    <row r="107" customFormat="false" ht="15" hidden="false" customHeight="true" outlineLevel="0" collapsed="false">
      <c r="A107" s="8" t="n">
        <v>106</v>
      </c>
      <c r="B107" s="8" t="n">
        <v>106</v>
      </c>
      <c r="C107" s="8" t="s">
        <v>606</v>
      </c>
      <c r="D107" s="8" t="s">
        <v>333</v>
      </c>
      <c r="E107" s="9" t="s">
        <v>628</v>
      </c>
      <c r="F107" s="8" t="n">
        <f aca="false">COUNTIF(Master_Online!E:E,E107)</f>
        <v>9</v>
      </c>
      <c r="G107" s="8" t="s">
        <v>693</v>
      </c>
      <c r="H107" s="8" t="s">
        <v>327</v>
      </c>
      <c r="I107" s="8" t="n">
        <v>3.44</v>
      </c>
      <c r="J107" s="8"/>
      <c r="K107" s="8"/>
      <c r="L107" s="8"/>
      <c r="M107" s="9"/>
      <c r="Q107" s="9"/>
    </row>
    <row r="108" customFormat="false" ht="15" hidden="false" customHeight="true" outlineLevel="0" collapsed="false">
      <c r="A108" s="8" t="n">
        <v>107</v>
      </c>
      <c r="B108" s="8" t="n">
        <v>107</v>
      </c>
      <c r="C108" s="8" t="s">
        <v>606</v>
      </c>
      <c r="D108" s="8" t="s">
        <v>286</v>
      </c>
      <c r="E108" s="9" t="s">
        <v>630</v>
      </c>
      <c r="F108" s="8" t="n">
        <f aca="false">COUNTIF(Master_Online!E:E,E108)</f>
        <v>6</v>
      </c>
      <c r="G108" s="8" t="s">
        <v>693</v>
      </c>
      <c r="H108" s="8" t="s">
        <v>296</v>
      </c>
      <c r="I108" s="8" t="n">
        <v>3.57</v>
      </c>
      <c r="J108" s="8"/>
      <c r="K108" s="8"/>
      <c r="L108" s="8"/>
      <c r="M108" s="9"/>
      <c r="Q108" s="9"/>
    </row>
    <row r="109" customFormat="false" ht="15" hidden="false" customHeight="true" outlineLevel="0" collapsed="false">
      <c r="A109" s="8" t="n">
        <v>108</v>
      </c>
      <c r="B109" s="8" t="n">
        <v>108</v>
      </c>
      <c r="C109" s="8" t="s">
        <v>606</v>
      </c>
      <c r="D109" s="8" t="s">
        <v>333</v>
      </c>
      <c r="E109" s="9" t="s">
        <v>631</v>
      </c>
      <c r="F109" s="8" t="n">
        <f aca="false">COUNTIF(Master_Online!E:E,E109)</f>
        <v>8</v>
      </c>
      <c r="G109" s="8" t="s">
        <v>693</v>
      </c>
      <c r="H109" s="8" t="s">
        <v>327</v>
      </c>
      <c r="I109" s="8" t="n">
        <v>3.37</v>
      </c>
      <c r="J109" s="8"/>
      <c r="K109" s="8"/>
      <c r="L109" s="8" t="n">
        <v>2025</v>
      </c>
      <c r="M109" s="9"/>
      <c r="Q109" s="9"/>
    </row>
    <row r="110" customFormat="false" ht="15" hidden="false" customHeight="true" outlineLevel="0" collapsed="false">
      <c r="A110" s="8" t="n">
        <v>109</v>
      </c>
      <c r="B110" s="8" t="n">
        <v>109</v>
      </c>
      <c r="C110" s="8" t="s">
        <v>606</v>
      </c>
      <c r="D110" s="8" t="s">
        <v>286</v>
      </c>
      <c r="E110" s="9" t="s">
        <v>632</v>
      </c>
      <c r="F110" s="8" t="n">
        <f aca="false">COUNTIF(Master_Online!E:E,E110)</f>
        <v>8</v>
      </c>
      <c r="G110" s="8" t="s">
        <v>693</v>
      </c>
      <c r="H110" s="8" t="s">
        <v>296</v>
      </c>
      <c r="I110" s="8" t="n">
        <v>3.6</v>
      </c>
      <c r="J110" s="8"/>
      <c r="K110" s="8"/>
      <c r="L110" s="8"/>
      <c r="M110" s="9"/>
      <c r="Q110" s="9"/>
    </row>
    <row r="111" customFormat="false" ht="15" hidden="false" customHeight="true" outlineLevel="0" collapsed="false">
      <c r="A111" s="8" t="n">
        <v>110</v>
      </c>
      <c r="B111" s="8" t="n">
        <v>110</v>
      </c>
      <c r="C111" s="8" t="s">
        <v>606</v>
      </c>
      <c r="D111" s="8" t="s">
        <v>286</v>
      </c>
      <c r="E111" s="9" t="s">
        <v>634</v>
      </c>
      <c r="F111" s="8" t="n">
        <f aca="false">COUNTIF(Master_Online!E:E,E111)</f>
        <v>5</v>
      </c>
      <c r="G111" s="8" t="s">
        <v>693</v>
      </c>
      <c r="H111" s="8" t="s">
        <v>296</v>
      </c>
      <c r="I111" s="8" t="n">
        <v>3.78</v>
      </c>
      <c r="J111" s="8"/>
      <c r="K111" s="8"/>
      <c r="L111" s="8" t="n">
        <v>2025</v>
      </c>
      <c r="M111" s="9"/>
      <c r="Q111" s="9"/>
    </row>
    <row r="112" customFormat="false" ht="15" hidden="false" customHeight="true" outlineLevel="0" collapsed="false">
      <c r="A112" s="8" t="n">
        <v>111</v>
      </c>
      <c r="B112" s="8" t="n">
        <v>111</v>
      </c>
      <c r="C112" s="8" t="s">
        <v>636</v>
      </c>
      <c r="D112" s="8" t="s">
        <v>315</v>
      </c>
      <c r="E112" s="9" t="s">
        <v>637</v>
      </c>
      <c r="F112" s="8" t="n">
        <f aca="false">COUNTIF(Master_Online!E:E,E112)</f>
        <v>5</v>
      </c>
      <c r="G112" s="8" t="s">
        <v>693</v>
      </c>
      <c r="H112" s="8" t="s">
        <v>327</v>
      </c>
      <c r="I112" s="8" t="n">
        <v>3.29</v>
      </c>
      <c r="J112" s="8" t="n">
        <v>48</v>
      </c>
      <c r="K112" s="8" t="n">
        <v>52</v>
      </c>
      <c r="L112" s="8" t="n">
        <v>2025</v>
      </c>
      <c r="M112" s="9"/>
      <c r="O112" s="8" t="n">
        <v>6</v>
      </c>
      <c r="P112" s="8" t="s">
        <v>404</v>
      </c>
      <c r="Q112" s="9"/>
    </row>
    <row r="113" customFormat="false" ht="15" hidden="false" customHeight="true" outlineLevel="0" collapsed="false">
      <c r="A113" s="8" t="n">
        <v>112</v>
      </c>
      <c r="B113" s="8" t="n">
        <v>112</v>
      </c>
      <c r="C113" s="8" t="s">
        <v>636</v>
      </c>
      <c r="D113" s="8" t="s">
        <v>333</v>
      </c>
      <c r="E113" s="9" t="s">
        <v>638</v>
      </c>
      <c r="F113" s="8" t="n">
        <f aca="false">COUNTIF(Master_Online!E:E,E113)</f>
        <v>8</v>
      </c>
      <c r="G113" s="8" t="s">
        <v>693</v>
      </c>
      <c r="H113" s="8" t="s">
        <v>424</v>
      </c>
      <c r="I113" s="8" t="n">
        <v>3.02</v>
      </c>
      <c r="J113" s="8" t="n">
        <v>45</v>
      </c>
      <c r="K113" s="8" t="n">
        <v>36</v>
      </c>
      <c r="L113" s="8" t="n">
        <v>2025</v>
      </c>
      <c r="M113" s="9"/>
      <c r="Q113" s="9"/>
    </row>
    <row r="114" customFormat="false" ht="15" hidden="false" customHeight="true" outlineLevel="0" collapsed="false">
      <c r="A114" s="8" t="n">
        <v>113</v>
      </c>
      <c r="B114" s="8" t="n">
        <v>113</v>
      </c>
      <c r="C114" s="8" t="s">
        <v>636</v>
      </c>
      <c r="D114" s="8" t="s">
        <v>333</v>
      </c>
      <c r="E114" s="9" t="s">
        <v>642</v>
      </c>
      <c r="F114" s="8" t="n">
        <f aca="false">COUNTIF(Master_Online!E:E,E114)</f>
        <v>5</v>
      </c>
      <c r="G114" s="8" t="s">
        <v>693</v>
      </c>
      <c r="H114" s="8" t="s">
        <v>327</v>
      </c>
      <c r="I114" s="8" t="n">
        <v>3.3</v>
      </c>
      <c r="J114" s="8"/>
      <c r="K114" s="8"/>
      <c r="L114" s="8" t="n">
        <v>2025</v>
      </c>
      <c r="M114" s="9"/>
      <c r="Q114" s="9"/>
    </row>
    <row r="115" customFormat="false" ht="15" hidden="false" customHeight="true" outlineLevel="0" collapsed="false">
      <c r="A115" s="8" t="n">
        <v>114</v>
      </c>
      <c r="B115" s="8" t="s">
        <v>643</v>
      </c>
      <c r="C115" s="8" t="s">
        <v>335</v>
      </c>
      <c r="D115" s="8" t="s">
        <v>333</v>
      </c>
      <c r="E115" s="9" t="s">
        <v>644</v>
      </c>
      <c r="F115" s="8" t="n">
        <f aca="false">COUNTIF(Master_Online!E:E,E115)</f>
        <v>2</v>
      </c>
      <c r="G115" s="8" t="s">
        <v>693</v>
      </c>
      <c r="H115" s="8" t="s">
        <v>424</v>
      </c>
      <c r="I115" s="8" t="n">
        <v>3.08</v>
      </c>
      <c r="J115" s="8"/>
      <c r="K115" s="8"/>
      <c r="L115" s="8"/>
      <c r="M115" s="9"/>
      <c r="Q115" s="9"/>
    </row>
    <row r="116" customFormat="false" ht="15" hidden="false" customHeight="true" outlineLevel="0" collapsed="false">
      <c r="A116" s="8" t="n">
        <v>115</v>
      </c>
      <c r="B116" s="8" t="s">
        <v>647</v>
      </c>
      <c r="C116" s="8" t="s">
        <v>382</v>
      </c>
      <c r="D116" s="8" t="s">
        <v>333</v>
      </c>
      <c r="E116" s="9" t="s">
        <v>648</v>
      </c>
      <c r="F116" s="8" t="n">
        <f aca="false">COUNTIF(Master_Online!E:E,E116)</f>
        <v>3</v>
      </c>
      <c r="G116" s="8" t="s">
        <v>693</v>
      </c>
      <c r="H116" s="8" t="s">
        <v>424</v>
      </c>
      <c r="I116" s="8" t="n">
        <v>3.11</v>
      </c>
      <c r="J116" s="8"/>
      <c r="K116" s="8"/>
      <c r="L116" s="8"/>
      <c r="M116" s="9"/>
      <c r="Q116" s="9"/>
    </row>
    <row r="117" customFormat="false" ht="15" hidden="false" customHeight="true" outlineLevel="0" collapsed="false">
      <c r="A117" s="8" t="n">
        <v>116</v>
      </c>
      <c r="B117" s="8" t="s">
        <v>653</v>
      </c>
      <c r="C117" s="8" t="s">
        <v>402</v>
      </c>
      <c r="D117" s="8" t="s">
        <v>333</v>
      </c>
      <c r="E117" s="9" t="s">
        <v>654</v>
      </c>
      <c r="F117" s="8" t="n">
        <f aca="false">COUNTIF(Master_Online!E:E,E117)</f>
        <v>2</v>
      </c>
      <c r="G117" s="8" t="s">
        <v>693</v>
      </c>
      <c r="H117" s="8" t="s">
        <v>424</v>
      </c>
      <c r="I117" s="8" t="n">
        <v>3.02</v>
      </c>
      <c r="J117" s="8"/>
      <c r="K117" s="8"/>
      <c r="L117" s="8"/>
      <c r="M117" s="9"/>
      <c r="Q117" s="9"/>
    </row>
    <row r="118" customFormat="false" ht="15" hidden="false" customHeight="true" outlineLevel="0" collapsed="false">
      <c r="A118" s="8" t="n">
        <v>117</v>
      </c>
      <c r="B118" s="8" t="s">
        <v>656</v>
      </c>
      <c r="C118" s="8" t="s">
        <v>422</v>
      </c>
      <c r="D118" s="8" t="s">
        <v>333</v>
      </c>
      <c r="E118" s="9" t="s">
        <v>657</v>
      </c>
      <c r="F118" s="8" t="n">
        <f aca="false">COUNTIF(Master_Online!E:E,E118)</f>
        <v>5</v>
      </c>
      <c r="G118" s="8" t="s">
        <v>693</v>
      </c>
      <c r="H118" s="8" t="s">
        <v>424</v>
      </c>
      <c r="I118" s="8" t="n">
        <v>3.15</v>
      </c>
      <c r="J118" s="8"/>
      <c r="K118" s="8"/>
      <c r="L118" s="8"/>
      <c r="M118" s="9"/>
      <c r="Q118" s="9"/>
    </row>
    <row r="119" customFormat="false" ht="15" hidden="false" customHeight="true" outlineLevel="0" collapsed="false">
      <c r="A119" s="8" t="n">
        <v>118</v>
      </c>
      <c r="B119" s="8" t="s">
        <v>659</v>
      </c>
      <c r="C119" s="8" t="s">
        <v>543</v>
      </c>
      <c r="D119" s="8" t="s">
        <v>333</v>
      </c>
      <c r="E119" s="9" t="s">
        <v>660</v>
      </c>
      <c r="F119" s="8" t="n">
        <f aca="false">COUNTIF(Master_Online!E:E,E119)</f>
        <v>5</v>
      </c>
      <c r="G119" s="8" t="s">
        <v>693</v>
      </c>
      <c r="H119" s="8" t="s">
        <v>424</v>
      </c>
      <c r="I119" s="8" t="n">
        <v>3.01</v>
      </c>
      <c r="J119" s="8"/>
      <c r="K119" s="8"/>
      <c r="L119" s="8"/>
      <c r="M119" s="9"/>
      <c r="Q119" s="9"/>
    </row>
    <row r="120" customFormat="false" ht="15" hidden="false" customHeight="true" outlineLevel="0" collapsed="false">
      <c r="A120" s="8" t="n">
        <v>119</v>
      </c>
      <c r="B120" s="8" t="s">
        <v>663</v>
      </c>
      <c r="C120" s="8" t="s">
        <v>557</v>
      </c>
      <c r="D120" s="8" t="s">
        <v>315</v>
      </c>
      <c r="E120" s="9" t="s">
        <v>664</v>
      </c>
      <c r="F120" s="8" t="n">
        <f aca="false">COUNTIF(Master_Online!E:E,E120)</f>
        <v>3</v>
      </c>
      <c r="G120" s="8" t="s">
        <v>693</v>
      </c>
      <c r="H120" s="8" t="s">
        <v>424</v>
      </c>
      <c r="I120" s="8" t="n">
        <v>3.13</v>
      </c>
      <c r="J120" s="8"/>
      <c r="K120" s="8"/>
      <c r="L120" s="8"/>
      <c r="M120" s="9"/>
      <c r="Q120" s="9"/>
    </row>
    <row r="121" customFormat="false" ht="15" hidden="false" customHeight="true" outlineLevel="0" collapsed="false">
      <c r="A121" s="8" t="n">
        <v>120</v>
      </c>
      <c r="B121" s="8" t="s">
        <v>674</v>
      </c>
      <c r="C121" s="8" t="s">
        <v>606</v>
      </c>
      <c r="D121" s="8" t="s">
        <v>315</v>
      </c>
      <c r="E121" s="9" t="s">
        <v>675</v>
      </c>
      <c r="F121" s="8" t="n">
        <f aca="false">COUNTIF(Master_Online!E:E,E121)</f>
        <v>4</v>
      </c>
      <c r="G121" s="8" t="s">
        <v>693</v>
      </c>
      <c r="H121" s="8" t="s">
        <v>424</v>
      </c>
      <c r="I121" s="8" t="n">
        <v>3.12</v>
      </c>
      <c r="J121" s="8"/>
      <c r="K121" s="8"/>
      <c r="L121" s="8"/>
      <c r="M121" s="9"/>
      <c r="Q121" s="9"/>
    </row>
    <row r="122" customFormat="false" ht="15" hidden="false" customHeight="true" outlineLevel="0" collapsed="false">
      <c r="A122" s="8" t="n">
        <v>121</v>
      </c>
      <c r="B122" s="8" t="s">
        <v>676</v>
      </c>
      <c r="C122" s="8" t="s">
        <v>606</v>
      </c>
      <c r="D122" s="8" t="s">
        <v>333</v>
      </c>
      <c r="E122" s="9" t="s">
        <v>677</v>
      </c>
      <c r="F122" s="8" t="n">
        <f aca="false">COUNTIF(Master_Online!E:E,E122)</f>
        <v>5</v>
      </c>
      <c r="G122" s="8" t="s">
        <v>693</v>
      </c>
      <c r="H122" s="8" t="s">
        <v>424</v>
      </c>
      <c r="I122" s="8" t="n">
        <v>3.15</v>
      </c>
      <c r="J122" s="8"/>
      <c r="K122" s="8"/>
      <c r="L122" s="8"/>
      <c r="M122" s="9"/>
      <c r="Q122" s="9"/>
    </row>
    <row r="123" customFormat="false" ht="15" hidden="false" customHeight="true" outlineLevel="0" collapsed="false">
      <c r="A123" s="8" t="n">
        <v>122</v>
      </c>
      <c r="B123" s="8" t="s">
        <v>680</v>
      </c>
      <c r="C123" s="8" t="s">
        <v>606</v>
      </c>
      <c r="D123" s="8" t="s">
        <v>333</v>
      </c>
      <c r="E123" s="9" t="s">
        <v>681</v>
      </c>
      <c r="F123" s="8" t="n">
        <f aca="false">COUNTIF(Master_Online!E:E,E123)</f>
        <v>2</v>
      </c>
      <c r="G123" s="8" t="s">
        <v>693</v>
      </c>
      <c r="H123" s="8" t="s">
        <v>424</v>
      </c>
      <c r="I123" s="8" t="n">
        <v>3.22</v>
      </c>
      <c r="J123" s="8"/>
      <c r="K123" s="8"/>
      <c r="L123" s="8"/>
      <c r="M123" s="9"/>
      <c r="Q123" s="9"/>
    </row>
    <row r="124" customFormat="false" ht="15" hidden="false" customHeight="true" outlineLevel="0" collapsed="false">
      <c r="A124" s="8" t="n">
        <v>123</v>
      </c>
      <c r="B124" s="8" t="s">
        <v>683</v>
      </c>
      <c r="C124" s="8" t="s">
        <v>606</v>
      </c>
      <c r="D124" s="8" t="s">
        <v>315</v>
      </c>
      <c r="E124" s="9" t="s">
        <v>684</v>
      </c>
      <c r="F124" s="8" t="n">
        <f aca="false">COUNTIF(Master_Online!E:E,E124)</f>
        <v>2</v>
      </c>
      <c r="G124" s="8" t="s">
        <v>693</v>
      </c>
      <c r="H124" s="8" t="s">
        <v>424</v>
      </c>
      <c r="I124" s="8" t="n">
        <v>3.1</v>
      </c>
      <c r="J124" s="8"/>
      <c r="K124" s="8"/>
      <c r="L124" s="8"/>
      <c r="M124" s="9"/>
      <c r="O124" s="8" t="n">
        <v>4</v>
      </c>
      <c r="P124" s="8" t="s">
        <v>328</v>
      </c>
      <c r="Q124" s="9"/>
    </row>
  </sheetData>
  <autoFilter ref="A1:Q124"/>
  <conditionalFormatting sqref="G2:G114">
    <cfRule type="cellIs" priority="2" operator="equal" aboveAverage="0" equalAverage="0" bottom="0" percent="0" rank="0" text="" dxfId="15">
      <formula>"Approved"</formula>
    </cfRule>
    <cfRule type="cellIs" priority="3" operator="equal" aboveAverage="0" equalAverage="0" bottom="0" percent="0" rank="0" text="" dxfId="16">
      <formula>"Not Approved"</formula>
    </cfRule>
  </conditionalFormatting>
  <conditionalFormatting sqref="H2:H114">
    <cfRule type="expression" priority="4" aboveAverage="0" equalAverage="0" bottom="0" percent="0" rank="0" text="" dxfId="17">
      <formula>H2=""</formula>
    </cfRule>
  </conditionalFormatting>
  <conditionalFormatting sqref="I2:I114">
    <cfRule type="expression" priority="5" aboveAverage="0" equalAverage="0" bottom="0" percent="0" rank="0" text="" dxfId="17">
      <formula>I2=""</formula>
    </cfRule>
  </conditionalFormatting>
  <conditionalFormatting sqref="J2:J114">
    <cfRule type="expression" priority="6" aboveAverage="0" equalAverage="0" bottom="0" percent="0" rank="0" text="" dxfId="17">
      <formula>J2=""</formula>
    </cfRule>
  </conditionalFormatting>
  <conditionalFormatting sqref="K2:K114">
    <cfRule type="expression" priority="7" aboveAverage="0" equalAverage="0" bottom="0" percent="0" rank="0" text="" dxfId="17">
      <formula>K2=""</formula>
    </cfRule>
  </conditionalFormatting>
  <conditionalFormatting sqref="L2:L114">
    <cfRule type="expression" priority="8" aboveAverage="0" equalAverage="0" bottom="0" percent="0" rank="0" text="" dxfId="17">
      <formula>L2=""</formula>
    </cfRule>
  </conditionalFormatting>
  <conditionalFormatting sqref="H2:H124">
    <cfRule type="cellIs" priority="9" operator="equal" aboveAverage="0" equalAverage="0" bottom="0" percent="0" rank="0" text="" dxfId="20">
      <formula>"A++"</formula>
    </cfRule>
    <cfRule type="cellIs" priority="10" operator="equal" aboveAverage="0" equalAverage="0" bottom="0" percent="0" rank="0" text="" dxfId="21">
      <formula>"A+"</formula>
    </cfRule>
    <cfRule type="cellIs" priority="11" operator="equal" aboveAverage="0" equalAverage="0" bottom="0" percent="0" rank="0" text="" dxfId="15">
      <formula>"A"</formula>
    </cfRule>
    <cfRule type="cellIs" priority="12" operator="equal" aboveAverage="0" equalAverage="0" bottom="0" percent="0" rank="0" text="" dxfId="16">
      <formula>"C"</formula>
    </cfRule>
  </conditionalFormatting>
  <conditionalFormatting sqref="N2:N124">
    <cfRule type="cellIs" priority="13" operator="equal" aboveAverage="0" equalAverage="0" bottom="0" percent="0" rank="0" text="" dxfId="20">
      <formula>"Accredited"</formula>
    </cfRule>
    <cfRule type="cellIs" priority="14" operator="equal" aboveAverage="0" equalAverage="0" bottom="0" percent="0" rank="0" text="" dxfId="17">
      <formula>"Member-Only"</formula>
    </cfRule>
  </conditionalFormatting>
  <conditionalFormatting sqref="P2:P124">
    <cfRule type="cellIs" priority="15" operator="equal" aboveAverage="0" equalAverage="0" bottom="0" percent="0" rank="0" text="" dxfId="15">
      <formula>"All Valid"</formula>
    </cfRule>
    <cfRule type="cellIs" priority="16" operator="equal" aboveAverage="0" equalAverage="0" bottom="0" percent="0" rank="0" text="" dxfId="17">
      <formula>"Mixed"</formula>
    </cfRule>
    <cfRule type="cellIs" priority="17" operator="equal" aboveAverage="0" equalAverage="0" bottom="0" percent="0" rank="0" text="" dxfId="16">
      <formula>"All Expired"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60"/>
    <col collapsed="false" customWidth="true" hidden="false" outlineLevel="0" max="5" min="3" style="1" width="18"/>
  </cols>
  <sheetData>
    <row r="1" customFormat="false" ht="19.5" hidden="false" customHeight="true" outlineLevel="0" collapsed="false">
      <c r="A1" s="2" t="s">
        <v>694</v>
      </c>
      <c r="B1" s="2"/>
      <c r="C1" s="2"/>
      <c r="D1" s="2"/>
      <c r="E1" s="2"/>
    </row>
    <row r="2" customFormat="false" ht="15" hidden="false" customHeight="true" outlineLevel="0" collapsed="false">
      <c r="A2" s="3" t="s">
        <v>695</v>
      </c>
      <c r="B2" s="3"/>
      <c r="C2" s="3"/>
      <c r="D2" s="3"/>
      <c r="E2" s="3"/>
    </row>
    <row r="4" customFormat="false" ht="15" hidden="false" customHeight="true" outlineLevel="0" collapsed="false">
      <c r="A4" s="18" t="s">
        <v>696</v>
      </c>
      <c r="B4" s="19" t="s">
        <v>533</v>
      </c>
    </row>
    <row r="6" customFormat="false" ht="15" hidden="false" customHeight="true" outlineLevel="0" collapsed="false">
      <c r="A6" s="20" t="s">
        <v>697</v>
      </c>
      <c r="B6" s="9" t="str">
        <f aca="false">IF(COUNTIF(Master_Online!E:E,B4)&gt;0,"YES — Approved","NOT FOUND in UGC-DEB online list")</f>
        <v>YES — Approved</v>
      </c>
    </row>
    <row r="7" customFormat="false" ht="15" hidden="false" customHeight="true" outlineLevel="0" collapsed="false">
      <c r="A7" s="20" t="s">
        <v>698</v>
      </c>
      <c r="B7" s="9" t="n">
        <f aca="false">COUNTIF(Master_Online!E:E,B4)</f>
        <v>12</v>
      </c>
    </row>
    <row r="8" customFormat="false" ht="15" hidden="false" customHeight="true" outlineLevel="0" collapsed="false">
      <c r="A8" s="20" t="s">
        <v>240</v>
      </c>
      <c r="B8" s="9" t="str">
        <f aca="false">IFERROR(INDEX(Master_Online!C:C,MATCH(B4,Master_Online!E:E,0)),"-")</f>
        <v>Punjab</v>
      </c>
    </row>
    <row r="9" customFormat="false" ht="15" hidden="false" customHeight="true" outlineLevel="0" collapsed="false">
      <c r="A9" s="20" t="s">
        <v>241</v>
      </c>
      <c r="B9" s="9" t="str">
        <f aca="false">IFERROR(INDEX(Master_Online!D:D,MATCH(B4,Master_Online!E:E,0)),"-")</f>
        <v>Private University</v>
      </c>
    </row>
    <row r="10" customFormat="false" ht="15" hidden="false" customHeight="true" outlineLevel="0" collapsed="false">
      <c r="A10" s="20" t="s">
        <v>699</v>
      </c>
      <c r="B10" s="9" t="n">
        <f aca="false">IFERROR(INDEX(Master_Online!B:B,MATCH(B4,Master_Online!E:E,0)),"-")</f>
        <v>62</v>
      </c>
    </row>
    <row r="11" customFormat="false" ht="15" hidden="false" customHeight="true" outlineLevel="0" collapsed="false">
      <c r="A11" s="20" t="s">
        <v>700</v>
      </c>
      <c r="B11" s="9" t="str">
        <f aca="false">IF(COUNTIFS(Master_Online!E:E,B4,Master_Online!G:G,"MBA")&gt;0,"YES","NO")</f>
        <v>YES</v>
      </c>
    </row>
    <row r="12" customFormat="false" ht="15" hidden="false" customHeight="true" outlineLevel="0" collapsed="false">
      <c r="A12" s="20" t="s">
        <v>701</v>
      </c>
      <c r="B12" s="9" t="str">
        <f aca="false">IF(COUNTIFS(Master_Online!E:E,B4,Master_Online!G:G,"MCA")&gt;0,"YES","NO")</f>
        <v>YES</v>
      </c>
    </row>
    <row r="13" customFormat="false" ht="15" hidden="false" customHeight="true" outlineLevel="0" collapsed="false">
      <c r="A13" s="20" t="s">
        <v>702</v>
      </c>
      <c r="B13" s="9" t="str">
        <f aca="false">IF(COUNTIFS(Master_Online!E:E,B4,Master_Online!G:G,"BBA")&gt;0,"YES","NO")</f>
        <v>YES</v>
      </c>
    </row>
    <row r="14" customFormat="false" ht="15" hidden="false" customHeight="true" outlineLevel="0" collapsed="false">
      <c r="A14" s="20" t="s">
        <v>703</v>
      </c>
      <c r="B14" s="9" t="str">
        <f aca="false">IF(COUNTIFS(Master_Online!E:E,B4,Master_Online!G:G,"BCA")&gt;0,"YES","NO")</f>
        <v>YES</v>
      </c>
    </row>
    <row r="16" customFormat="false" ht="15" hidden="false" customHeight="true" outlineLevel="0" collapsed="false">
      <c r="A16" s="20" t="s">
        <v>704</v>
      </c>
      <c r="B16" s="9" t="str">
        <f aca="false">IFERROR(INDEX(Master_Online!N:N,MATCH(B4,Master_Online!E:E,0)),"-")</f>
        <v>Active (per Notice 1)</v>
      </c>
    </row>
    <row r="17" customFormat="false" ht="15" hidden="false" customHeight="true" outlineLevel="0" collapsed="false">
      <c r="A17" s="20" t="s">
        <v>705</v>
      </c>
      <c r="B17" s="9" t="str">
        <f aca="false">IFERROR(INDEX(Master_Online!K:K,MATCH(B4,Master_Online!E:E,0)),"-")</f>
        <v>Notice 1 (Jan 2026)</v>
      </c>
    </row>
    <row r="18" customFormat="false" ht="319.5" hidden="false" customHeight="true" outlineLevel="0" collapsed="false">
      <c r="A18" s="21" t="str">
        <f aca="false">IFERROR(textjoin(CHAR(10),TRUE(),IF(Master_Online!E2:E2000=B4,Master_Online!F2:F2000,"")),"No matching programmes")</f>
        <v>No matching programmes</v>
      </c>
      <c r="B18" s="21"/>
      <c r="C18" s="21"/>
      <c r="D18" s="21"/>
      <c r="E18" s="21"/>
    </row>
    <row r="19" customFormat="false" ht="15" hidden="false" customHeight="true" outlineLevel="0" collapsed="false">
      <c r="A19" s="21"/>
      <c r="B19" s="21"/>
      <c r="C19" s="21"/>
      <c r="D19" s="21"/>
      <c r="E19" s="21"/>
    </row>
    <row r="20" customFormat="false" ht="15" hidden="false" customHeight="true" outlineLevel="0" collapsed="false">
      <c r="A20" s="21"/>
      <c r="B20" s="21"/>
      <c r="C20" s="21"/>
      <c r="D20" s="21"/>
      <c r="E20" s="21"/>
    </row>
    <row r="21" customFormat="false" ht="15" hidden="false" customHeight="true" outlineLevel="0" collapsed="false">
      <c r="A21" s="21"/>
      <c r="B21" s="21"/>
      <c r="C21" s="21"/>
      <c r="D21" s="21"/>
      <c r="E21" s="21"/>
    </row>
    <row r="22" customFormat="false" ht="15" hidden="false" customHeight="true" outlineLevel="0" collapsed="false">
      <c r="A22" s="21"/>
      <c r="B22" s="21"/>
      <c r="C22" s="21"/>
      <c r="D22" s="21"/>
      <c r="E22" s="21"/>
    </row>
    <row r="23" customFormat="false" ht="15" hidden="false" customHeight="true" outlineLevel="0" collapsed="false">
      <c r="A23" s="21"/>
      <c r="B23" s="21"/>
      <c r="C23" s="21"/>
      <c r="D23" s="21"/>
      <c r="E23" s="21"/>
    </row>
    <row r="24" customFormat="false" ht="15" hidden="false" customHeight="true" outlineLevel="0" collapsed="false">
      <c r="A24" s="21"/>
      <c r="B24" s="21"/>
      <c r="C24" s="21"/>
      <c r="D24" s="21"/>
      <c r="E24" s="21"/>
    </row>
    <row r="25" customFormat="false" ht="15" hidden="false" customHeight="true" outlineLevel="0" collapsed="false">
      <c r="A25" s="21"/>
      <c r="B25" s="21"/>
      <c r="C25" s="21"/>
      <c r="D25" s="21"/>
      <c r="E25" s="21"/>
    </row>
    <row r="26" customFormat="false" ht="15" hidden="false" customHeight="true" outlineLevel="0" collapsed="false">
      <c r="A26" s="21"/>
      <c r="B26" s="21"/>
      <c r="C26" s="21"/>
      <c r="D26" s="21"/>
      <c r="E26" s="21"/>
    </row>
    <row r="27" customFormat="false" ht="15" hidden="false" customHeight="true" outlineLevel="0" collapsed="false">
      <c r="A27" s="21"/>
      <c r="B27" s="21"/>
      <c r="C27" s="21"/>
      <c r="D27" s="21"/>
      <c r="E27" s="21"/>
    </row>
    <row r="28" customFormat="false" ht="15" hidden="false" customHeight="true" outlineLevel="0" collapsed="false">
      <c r="A28" s="21"/>
      <c r="B28" s="21"/>
      <c r="C28" s="21"/>
      <c r="D28" s="21"/>
      <c r="E28" s="21"/>
    </row>
    <row r="29" customFormat="false" ht="15" hidden="false" customHeight="true" outlineLevel="0" collapsed="false">
      <c r="A29" s="21"/>
      <c r="B29" s="21"/>
      <c r="C29" s="21"/>
      <c r="D29" s="21"/>
      <c r="E29" s="21"/>
    </row>
    <row r="30" customFormat="false" ht="15" hidden="false" customHeight="true" outlineLevel="0" collapsed="false">
      <c r="A30" s="21"/>
      <c r="B30" s="21"/>
      <c r="C30" s="21"/>
      <c r="D30" s="21"/>
      <c r="E30" s="21"/>
    </row>
    <row r="31" customFormat="false" ht="15" hidden="false" customHeight="true" outlineLevel="0" collapsed="false">
      <c r="A31" s="21"/>
      <c r="B31" s="21"/>
      <c r="C31" s="21"/>
      <c r="D31" s="21"/>
      <c r="E31" s="21"/>
    </row>
    <row r="32" customFormat="false" ht="15" hidden="false" customHeight="true" outlineLevel="0" collapsed="false">
      <c r="A32" s="21"/>
      <c r="B32" s="21"/>
      <c r="C32" s="21"/>
      <c r="D32" s="21"/>
      <c r="E32" s="21"/>
    </row>
    <row r="33" customFormat="false" ht="15" hidden="false" customHeight="true" outlineLevel="0" collapsed="false">
      <c r="A33" s="21"/>
      <c r="B33" s="21"/>
      <c r="C33" s="21"/>
      <c r="D33" s="21"/>
      <c r="E33" s="21"/>
    </row>
    <row r="34" customFormat="false" ht="15" hidden="false" customHeight="true" outlineLevel="0" collapsed="false">
      <c r="A34" s="21"/>
      <c r="B34" s="21"/>
      <c r="C34" s="21"/>
      <c r="D34" s="21"/>
      <c r="E34" s="21"/>
    </row>
    <row r="35" customFormat="false" ht="15" hidden="false" customHeight="true" outlineLevel="0" collapsed="false">
      <c r="A35" s="21"/>
      <c r="B35" s="21"/>
      <c r="C35" s="21"/>
      <c r="D35" s="21"/>
      <c r="E35" s="21"/>
    </row>
    <row r="36" customFormat="false" ht="15" hidden="false" customHeight="true" outlineLevel="0" collapsed="false">
      <c r="A36" s="21"/>
      <c r="B36" s="21"/>
      <c r="C36" s="21"/>
      <c r="D36" s="21"/>
      <c r="E36" s="21"/>
    </row>
    <row r="37" customFormat="false" ht="15" hidden="false" customHeight="true" outlineLevel="0" collapsed="false">
      <c r="A37" s="21"/>
      <c r="B37" s="21"/>
      <c r="C37" s="21"/>
      <c r="D37" s="21"/>
      <c r="E37" s="21"/>
    </row>
    <row r="38" customFormat="false" ht="15" hidden="false" customHeight="true" outlineLevel="0" collapsed="false">
      <c r="A38" s="21"/>
      <c r="B38" s="21"/>
      <c r="C38" s="21"/>
      <c r="D38" s="21"/>
      <c r="E38" s="21"/>
    </row>
    <row r="40" customFormat="false" ht="15" hidden="false" customHeight="true" outlineLevel="0" collapsed="false">
      <c r="A40" s="20" t="s">
        <v>706</v>
      </c>
      <c r="B40" s="9" t="str">
        <f aca="false">IF(COUNTIFS(Master_Online!E:E,B4,Master_Online!G:G,"MBA",Master_Online!O:O,"Yes")&gt;0,"YES","NO / N-A")</f>
        <v>NO / N-A</v>
      </c>
    </row>
    <row r="41" customFormat="false" ht="15" hidden="false" customHeight="true" outlineLevel="0" collapsed="false">
      <c r="A41" s="20" t="s">
        <v>707</v>
      </c>
      <c r="B41" s="9" t="str">
        <f aca="false">IF(COUNTIFS(Master_Online!E:E,B4,Master_Online!G:G,"MCA",Master_Online!O:O,"Yes")&gt;0,"YES","NO / N-A")</f>
        <v>NO / N-A</v>
      </c>
    </row>
    <row r="42" customFormat="false" ht="15" hidden="false" customHeight="true" outlineLevel="0" collapsed="false">
      <c r="A42" s="20" t="s">
        <v>708</v>
      </c>
      <c r="B42" s="9" t="str">
        <f aca="false">IF(COUNTIFS(Master_Online!E:E,B4,Master_Online!G:G,"BBA",Master_Online!O:O,"Yes")&gt;0,"YES","NO / N-A")</f>
        <v>NO / N-A</v>
      </c>
    </row>
    <row r="43" customFormat="false" ht="15" hidden="false" customHeight="true" outlineLevel="0" collapsed="false">
      <c r="A43" s="20" t="s">
        <v>709</v>
      </c>
      <c r="B43" s="9" t="str">
        <f aca="false">IF(COUNTIFS(Master_Online!E:E,B4,Master_Online!G:G,"BCA",Master_Online!O:O,"Yes")&gt;0,"YES","NO / N-A")</f>
        <v>NO / N-A</v>
      </c>
    </row>
    <row r="45" customFormat="false" ht="15" hidden="false" customHeight="true" outlineLevel="0" collapsed="false">
      <c r="A45" s="20" t="s">
        <v>710</v>
      </c>
      <c r="B45" s="9" t="n">
        <f aca="false">IFERROR(VLOOKUP(B4,NIRF_All_Rankings!D5:W200,4,FALSE()),"—")</f>
        <v>49</v>
      </c>
    </row>
    <row r="46" customFormat="false" ht="15" hidden="false" customHeight="true" outlineLevel="0" collapsed="false">
      <c r="A46" s="20" t="s">
        <v>711</v>
      </c>
      <c r="B46" s="9" t="n">
        <f aca="false">IFERROR(VLOOKUP(B4,NIRF_All_Rankings!D5:W200,5,FALSE()),"—")</f>
        <v>31</v>
      </c>
    </row>
    <row r="47" customFormat="false" ht="15" hidden="false" customHeight="true" outlineLevel="0" collapsed="false">
      <c r="A47" s="20" t="s">
        <v>712</v>
      </c>
      <c r="B47" s="9" t="n">
        <f aca="false">IFERROR(VLOOKUP(B4,NIRF_All_Rankings!D5:W200,6,FALSE()),"—")</f>
        <v>40</v>
      </c>
    </row>
    <row r="48" customFormat="false" ht="15" hidden="false" customHeight="true" outlineLevel="0" collapsed="false">
      <c r="A48" s="20" t="s">
        <v>713</v>
      </c>
      <c r="B48" s="9" t="n">
        <f aca="false">IFERROR(VLOOKUP(B4,NIRF_All_Rankings!D5:W200,7,FALSE()),"—")</f>
        <v>48</v>
      </c>
    </row>
    <row r="49" customFormat="false" ht="15" hidden="false" customHeight="true" outlineLevel="0" collapsed="false">
      <c r="A49" s="20" t="s">
        <v>714</v>
      </c>
      <c r="B49" s="9" t="n">
        <f aca="false">IFERROR(VLOOKUP(B4,NIRF_All_Rankings!D5:W200,8,FALSE()),"—")</f>
        <v>44</v>
      </c>
    </row>
    <row r="50" customFormat="false" ht="15" hidden="false" customHeight="true" outlineLevel="0" collapsed="false">
      <c r="A50" s="20" t="s">
        <v>715</v>
      </c>
      <c r="B50" s="9" t="n">
        <f aca="false">IFERROR(VLOOKUP(B4,NIRF_All_Rankings!D5:W200,9,FALSE()),"—")</f>
        <v>13</v>
      </c>
    </row>
    <row r="51" customFormat="false" ht="15" hidden="false" customHeight="true" outlineLevel="0" collapsed="false">
      <c r="A51" s="20" t="s">
        <v>716</v>
      </c>
      <c r="B51" s="9" t="str">
        <f aca="false">IFERROR(VLOOKUP(B4,NIRF_All_Rankings!D5:W200,10,FALSE()),"—")</f>
        <v>—</v>
      </c>
    </row>
    <row r="52" customFormat="false" ht="15" hidden="false" customHeight="true" outlineLevel="0" collapsed="false">
      <c r="A52" s="20" t="s">
        <v>717</v>
      </c>
      <c r="B52" s="9" t="str">
        <f aca="false">IFERROR(VLOOKUP(B4,NIRF_All_Rankings!D5:W200,11,FALSE()),"—")</f>
        <v>—</v>
      </c>
    </row>
    <row r="53" customFormat="false" ht="15" hidden="false" customHeight="true" outlineLevel="0" collapsed="false">
      <c r="A53" s="20" t="s">
        <v>718</v>
      </c>
      <c r="B53" s="9" t="n">
        <f aca="false">IFERROR(VLOOKUP(B4,NIRF_All_Rankings!D5:W200,12,FALSE()),"—")</f>
        <v>26</v>
      </c>
    </row>
    <row r="54" customFormat="false" ht="15" hidden="false" customHeight="true" outlineLevel="0" collapsed="false">
      <c r="A54" s="20" t="s">
        <v>719</v>
      </c>
      <c r="B54" s="9" t="n">
        <f aca="false">IFERROR(VLOOKUP(B4,NIRF_All_Rankings!D5:W200,13,FALSE()),"—")</f>
        <v>24</v>
      </c>
    </row>
    <row r="55" customFormat="false" ht="15" hidden="false" customHeight="true" outlineLevel="0" collapsed="false">
      <c r="A55" s="20" t="s">
        <v>720</v>
      </c>
      <c r="B55" s="9" t="n">
        <f aca="false">IFERROR(VLOOKUP(B4,NIRF_All_Rankings!D5:W200,14,FALSE()),"—")</f>
        <v>17</v>
      </c>
    </row>
    <row r="56" customFormat="false" ht="15" hidden="false" customHeight="true" outlineLevel="0" collapsed="false">
      <c r="A56" s="20" t="s">
        <v>721</v>
      </c>
      <c r="B56" s="9" t="str">
        <f aca="false">IFERROR(VLOOKUP(B4,NIRF_All_Rankings!D5:W200,15,FALSE()),"—")</f>
        <v>—</v>
      </c>
    </row>
    <row r="57" customFormat="false" ht="15" hidden="false" customHeight="true" outlineLevel="0" collapsed="false">
      <c r="A57" s="20" t="s">
        <v>722</v>
      </c>
      <c r="B57" s="9" t="str">
        <f aca="false">IFERROR(VLOOKUP(B4,NIRF_All_Rankings!D5:W200,16,FALSE()),"—")</f>
        <v>—</v>
      </c>
    </row>
    <row r="58" customFormat="false" ht="15" hidden="false" customHeight="true" outlineLevel="0" collapsed="false">
      <c r="A58" s="20" t="s">
        <v>723</v>
      </c>
      <c r="B58" s="9" t="str">
        <f aca="false">IFERROR(VLOOKUP(B4,NIRF_All_Rankings!D5:W200,17,FALSE()),"—")</f>
        <v>—</v>
      </c>
    </row>
    <row r="59" customFormat="false" ht="15" hidden="false" customHeight="true" outlineLevel="0" collapsed="false">
      <c r="A59" s="20" t="s">
        <v>724</v>
      </c>
      <c r="B59" s="9" t="str">
        <f aca="false">IFERROR(VLOOKUP(B4,NIRF_All_Rankings!D5:W200,18,FALSE()),"—")</f>
        <v>—</v>
      </c>
    </row>
    <row r="60" customFormat="false" ht="15" hidden="false" customHeight="true" outlineLevel="0" collapsed="false">
      <c r="A60" s="20" t="s">
        <v>725</v>
      </c>
      <c r="B60" s="9" t="str">
        <f aca="false">IFERROR(VLOOKUP(B4,NIRF_All_Rankings!D5:W200,19,FALSE()),"—")</f>
        <v>—</v>
      </c>
    </row>
    <row r="61" customFormat="false" ht="15" hidden="false" customHeight="true" outlineLevel="0" collapsed="false">
      <c r="A61" s="20" t="s">
        <v>726</v>
      </c>
      <c r="B61" s="9" t="str">
        <f aca="false">IFERROR(VLOOKUP(B4,NIRF_All_Rankings!D5:W200,20,FALSE()),"—")</f>
        <v>—</v>
      </c>
    </row>
    <row r="63" customFormat="false" ht="15" hidden="false" customHeight="true" outlineLevel="0" collapsed="false">
      <c r="A63" s="20" t="s">
        <v>727</v>
      </c>
      <c r="B63" s="9" t="str">
        <f aca="false">IFERROR(INDEX(Master_Online!P:P,MATCH(B4,Master_Online!E:E,0)),"-")</f>
        <v>A++</v>
      </c>
    </row>
    <row r="64" customFormat="false" ht="15" hidden="false" customHeight="true" outlineLevel="0" collapsed="false">
      <c r="A64" s="20" t="s">
        <v>728</v>
      </c>
      <c r="B64" s="9" t="n">
        <f aca="false">IFERROR(INDEX(Master_Online!Q:Q,MATCH(B4,Master_Online!E:E,0)),"-")</f>
        <v>3.68</v>
      </c>
    </row>
    <row r="65" customFormat="false" ht="15" hidden="false" customHeight="true" outlineLevel="0" collapsed="false">
      <c r="A65" s="20" t="s">
        <v>729</v>
      </c>
      <c r="B65" s="9" t="n">
        <f aca="false">IFERROR(INDEX(Master_Online!R:R,MATCH(B4,Master_Online!E:E,0)),"-")</f>
        <v>1</v>
      </c>
    </row>
    <row r="66" customFormat="false" ht="15" hidden="false" customHeight="true" outlineLevel="0" collapsed="false">
      <c r="A66" s="20" t="s">
        <v>730</v>
      </c>
      <c r="B66" s="22" t="n">
        <f aca="false">IFERROR(INDEX(Master_Online!S:S,MATCH(B4,Master_Online!E:E,0)),"-")</f>
        <v>45150</v>
      </c>
    </row>
    <row r="67" customFormat="false" ht="15" hidden="false" customHeight="true" outlineLevel="0" collapsed="false">
      <c r="A67" s="20" t="s">
        <v>731</v>
      </c>
      <c r="B67" s="9" t="str">
        <f aca="false">IFERROR(INDEX(Master_Online!T:T,MATCH(B4,Master_Online!E:E,0)),"-")</f>
        <v>Valid</v>
      </c>
    </row>
    <row r="69" customFormat="false" ht="15" hidden="false" customHeight="true" outlineLevel="0" collapsed="false">
      <c r="A69" s="20" t="s">
        <v>732</v>
      </c>
      <c r="B69" s="9" t="str">
        <f aca="false">IF(IFERROR(INDEX(University_Summary!N:N,MATCH(B4,University_Summary!E:E,0)),"-")=0,"Not in AACSB",IFERROR(INDEX(University_Summary!N:N,MATCH(B4,University_Summary!E:E,0)),"-"))</f>
        <v>Not in AACSB</v>
      </c>
    </row>
    <row r="70" customFormat="false" ht="15" hidden="false" customHeight="true" outlineLevel="0" collapsed="false">
      <c r="A70" s="20" t="s">
        <v>733</v>
      </c>
      <c r="B70" s="9" t="str">
        <f aca="false">IF(IFERROR(INDEX(Master_Online!W:W,MATCH(B4,Master_Online!E:E,0)),"-")=0,"—",IFERROR(INDEX(Master_Online!W:W,MATCH(B4,Master_Online!E:E,0)),"-"))</f>
        <v>—</v>
      </c>
    </row>
    <row r="72" customFormat="false" ht="15" hidden="false" customHeight="true" outlineLevel="0" collapsed="false">
      <c r="A72" s="20" t="s">
        <v>734</v>
      </c>
      <c r="B72" s="9" t="str">
        <f aca="false">IF(IFERROR(INDEX(University_Summary!O:O,MATCH(B4,University_Summary!E:E,0)),0)=0,"None / Not in NBA list",IFERROR(INDEX(University_Summary!O:O,MATCH(B4,University_Summary!E:E,0)),"-"))</f>
        <v>None / Not in NBA list</v>
      </c>
    </row>
    <row r="73" customFormat="false" ht="15" hidden="false" customHeight="true" outlineLevel="0" collapsed="false">
      <c r="A73" s="20" t="s">
        <v>735</v>
      </c>
      <c r="B73" s="9" t="str">
        <f aca="false">IF(IFERROR(INDEX(University_Summary!P:P,MATCH(B4,University_Summary!E:E,0)),"-")=0,"—",IFERROR(INDEX(University_Summary!P:P,MATCH(B4,University_Summary!E:E,0)),"-"))</f>
        <v>—</v>
      </c>
    </row>
    <row r="74" customFormat="false" ht="15" hidden="false" customHeight="true" outlineLevel="0" collapsed="false">
      <c r="A74" s="20" t="s">
        <v>736</v>
      </c>
      <c r="B74" s="9" t="str">
        <f aca="false">IF(IFERROR(INDEX(Master_Online!AB:AB,MATCH(B4,Master_Online!E:E,0)),"-")=0,"—",IFERROR(INDEX(Master_Online!AB:AB,MATCH(B4,Master_Online!E:E,0)),"-"))</f>
        <v>—</v>
      </c>
    </row>
  </sheetData>
  <mergeCells count="3">
    <mergeCell ref="A1:E1"/>
    <mergeCell ref="A2:E2"/>
    <mergeCell ref="A1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42"/>
    <col collapsed="false" customWidth="true" hidden="false" outlineLevel="0" max="5" min="5" style="1" width="9"/>
    <col collapsed="false" customWidth="true" hidden="false" outlineLevel="0" max="6" min="6" style="1" width="38"/>
    <col collapsed="false" customWidth="true" hidden="false" outlineLevel="0" max="23" min="7" style="1" width="13"/>
  </cols>
  <sheetData>
    <row r="1" customFormat="false" ht="19.5" hidden="false" customHeight="true" outlineLevel="0" collapsed="false">
      <c r="A1" s="2" t="s">
        <v>737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true" outlineLevel="0" collapsed="false">
      <c r="A2" s="3" t="s">
        <v>738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4" customFormat="false" ht="34.5" hidden="false" customHeight="true" outlineLevel="0" collapsed="false">
      <c r="A4" s="7" t="s">
        <v>238</v>
      </c>
      <c r="B4" s="7" t="s">
        <v>240</v>
      </c>
      <c r="C4" s="7" t="s">
        <v>241</v>
      </c>
      <c r="D4" s="7" t="s">
        <v>242</v>
      </c>
      <c r="E4" s="7" t="s">
        <v>739</v>
      </c>
      <c r="F4" s="7" t="s">
        <v>740</v>
      </c>
      <c r="G4" s="7" t="s">
        <v>741</v>
      </c>
      <c r="H4" s="7" t="s">
        <v>742</v>
      </c>
      <c r="I4" s="7" t="s">
        <v>743</v>
      </c>
      <c r="J4" s="7" t="s">
        <v>744</v>
      </c>
      <c r="K4" s="7" t="s">
        <v>745</v>
      </c>
      <c r="L4" s="7" t="s">
        <v>746</v>
      </c>
      <c r="M4" s="7" t="s">
        <v>747</v>
      </c>
      <c r="N4" s="7" t="s">
        <v>748</v>
      </c>
      <c r="O4" s="7" t="s">
        <v>749</v>
      </c>
      <c r="P4" s="7" t="s">
        <v>750</v>
      </c>
      <c r="Q4" s="7" t="s">
        <v>751</v>
      </c>
      <c r="R4" s="7" t="s">
        <v>752</v>
      </c>
      <c r="S4" s="7" t="s">
        <v>753</v>
      </c>
      <c r="T4" s="7" t="s">
        <v>754</v>
      </c>
      <c r="U4" s="7" t="s">
        <v>755</v>
      </c>
      <c r="V4" s="7" t="s">
        <v>756</v>
      </c>
      <c r="W4" s="7" t="s">
        <v>757</v>
      </c>
    </row>
    <row r="5" customFormat="false" ht="15" hidden="false" customHeight="true" outlineLevel="0" collapsed="false">
      <c r="A5" s="8" t="n">
        <v>1</v>
      </c>
      <c r="B5" s="8" t="s">
        <v>285</v>
      </c>
      <c r="C5" s="9" t="s">
        <v>286</v>
      </c>
      <c r="D5" s="9" t="s">
        <v>287</v>
      </c>
      <c r="E5" s="8" t="n">
        <v>0.58</v>
      </c>
      <c r="F5" s="9" t="s">
        <v>758</v>
      </c>
      <c r="G5" s="8" t="n">
        <v>41</v>
      </c>
      <c r="H5" s="8" t="n">
        <v>23</v>
      </c>
      <c r="I5" s="8" t="s">
        <v>440</v>
      </c>
      <c r="J5" s="8" t="s">
        <v>440</v>
      </c>
      <c r="K5" s="8" t="s">
        <v>440</v>
      </c>
      <c r="L5" s="8" t="s">
        <v>440</v>
      </c>
      <c r="M5" s="8" t="s">
        <v>440</v>
      </c>
      <c r="N5" s="8" t="s">
        <v>440</v>
      </c>
      <c r="O5" s="8" t="s">
        <v>440</v>
      </c>
      <c r="P5" s="8" t="s">
        <v>440</v>
      </c>
      <c r="Q5" s="8" t="s">
        <v>440</v>
      </c>
      <c r="R5" s="8" t="s">
        <v>440</v>
      </c>
      <c r="S5" s="8" t="n">
        <v>4</v>
      </c>
      <c r="T5" s="8" t="s">
        <v>440</v>
      </c>
      <c r="U5" s="8" t="s">
        <v>440</v>
      </c>
      <c r="V5" s="8" t="s">
        <v>440</v>
      </c>
      <c r="W5" s="8" t="s">
        <v>440</v>
      </c>
    </row>
    <row r="6" customFormat="false" ht="23.25" hidden="false" customHeight="true" outlineLevel="0" collapsed="false">
      <c r="A6" s="8" t="n">
        <v>2</v>
      </c>
      <c r="B6" s="8" t="s">
        <v>285</v>
      </c>
      <c r="C6" s="9" t="s">
        <v>315</v>
      </c>
      <c r="D6" s="9" t="s">
        <v>316</v>
      </c>
      <c r="E6" s="8" t="n">
        <v>0.87</v>
      </c>
      <c r="F6" s="9" t="s">
        <v>759</v>
      </c>
      <c r="G6" s="8" t="n">
        <v>46</v>
      </c>
      <c r="H6" s="8" t="n">
        <v>26</v>
      </c>
      <c r="I6" s="8" t="s">
        <v>440</v>
      </c>
      <c r="J6" s="8" t="n">
        <v>35</v>
      </c>
      <c r="K6" s="8" t="n">
        <v>70</v>
      </c>
      <c r="L6" s="8" t="s">
        <v>440</v>
      </c>
      <c r="M6" s="8" t="s">
        <v>440</v>
      </c>
      <c r="N6" s="8" t="s">
        <v>440</v>
      </c>
      <c r="O6" s="8" t="s">
        <v>440</v>
      </c>
      <c r="P6" s="8" t="s">
        <v>440</v>
      </c>
      <c r="Q6" s="8" t="s">
        <v>440</v>
      </c>
      <c r="R6" s="8" t="s">
        <v>440</v>
      </c>
      <c r="S6" s="8" t="s">
        <v>440</v>
      </c>
      <c r="T6" s="8" t="s">
        <v>440</v>
      </c>
      <c r="U6" s="8" t="s">
        <v>440</v>
      </c>
      <c r="V6" s="8" t="s">
        <v>440</v>
      </c>
      <c r="W6" s="8" t="s">
        <v>440</v>
      </c>
    </row>
    <row r="7" customFormat="false" ht="23.25" hidden="false" customHeight="true" outlineLevel="0" collapsed="false">
      <c r="A7" s="8" t="n">
        <v>3</v>
      </c>
      <c r="B7" s="8" t="s">
        <v>285</v>
      </c>
      <c r="C7" s="9" t="s">
        <v>315</v>
      </c>
      <c r="D7" s="9" t="s">
        <v>325</v>
      </c>
      <c r="E7" s="8" t="n">
        <v>1</v>
      </c>
      <c r="F7" s="9" t="s">
        <v>325</v>
      </c>
      <c r="G7" s="8" t="s">
        <v>440</v>
      </c>
      <c r="H7" s="8" t="n">
        <v>70</v>
      </c>
      <c r="I7" s="8" t="s">
        <v>440</v>
      </c>
      <c r="J7" s="8" t="n">
        <v>80</v>
      </c>
      <c r="K7" s="8" t="s">
        <v>440</v>
      </c>
      <c r="L7" s="8" t="s">
        <v>440</v>
      </c>
      <c r="M7" s="8" t="s">
        <v>440</v>
      </c>
      <c r="N7" s="8" t="s">
        <v>440</v>
      </c>
      <c r="O7" s="8" t="s">
        <v>440</v>
      </c>
      <c r="P7" s="8" t="s">
        <v>440</v>
      </c>
      <c r="Q7" s="8" t="s">
        <v>440</v>
      </c>
      <c r="R7" s="8" t="s">
        <v>440</v>
      </c>
      <c r="S7" s="8" t="s">
        <v>440</v>
      </c>
      <c r="T7" s="8" t="s">
        <v>440</v>
      </c>
      <c r="U7" s="8" t="s">
        <v>440</v>
      </c>
      <c r="V7" s="8" t="s">
        <v>440</v>
      </c>
      <c r="W7" s="8" t="s">
        <v>440</v>
      </c>
    </row>
    <row r="8" customFormat="false" ht="15" hidden="false" customHeight="true" outlineLevel="0" collapsed="false">
      <c r="A8" s="8" t="n">
        <v>4</v>
      </c>
      <c r="B8" s="8" t="s">
        <v>285</v>
      </c>
      <c r="C8" s="9" t="s">
        <v>333</v>
      </c>
      <c r="D8" s="9" t="s">
        <v>334</v>
      </c>
      <c r="E8" s="8" t="s">
        <v>440</v>
      </c>
      <c r="F8" s="9" t="s">
        <v>440</v>
      </c>
      <c r="G8" s="8" t="s">
        <v>440</v>
      </c>
      <c r="H8" s="8" t="s">
        <v>440</v>
      </c>
      <c r="I8" s="8" t="s">
        <v>440</v>
      </c>
      <c r="J8" s="8" t="s">
        <v>440</v>
      </c>
      <c r="K8" s="8" t="s">
        <v>440</v>
      </c>
      <c r="L8" s="8" t="s">
        <v>440</v>
      </c>
      <c r="M8" s="8" t="s">
        <v>440</v>
      </c>
      <c r="N8" s="8" t="s">
        <v>440</v>
      </c>
      <c r="O8" s="8" t="s">
        <v>440</v>
      </c>
      <c r="P8" s="8" t="s">
        <v>440</v>
      </c>
      <c r="Q8" s="8" t="s">
        <v>440</v>
      </c>
      <c r="R8" s="8" t="s">
        <v>440</v>
      </c>
      <c r="S8" s="8" t="s">
        <v>440</v>
      </c>
      <c r="T8" s="8" t="s">
        <v>440</v>
      </c>
      <c r="U8" s="8" t="s">
        <v>440</v>
      </c>
      <c r="V8" s="8" t="s">
        <v>440</v>
      </c>
      <c r="W8" s="8" t="s">
        <v>440</v>
      </c>
    </row>
    <row r="9" customFormat="false" ht="15" hidden="false" customHeight="true" outlineLevel="0" collapsed="false">
      <c r="A9" s="8" t="n">
        <v>5</v>
      </c>
      <c r="B9" s="8" t="s">
        <v>335</v>
      </c>
      <c r="C9" s="9" t="s">
        <v>333</v>
      </c>
      <c r="D9" s="9" t="s">
        <v>336</v>
      </c>
      <c r="E9" s="8" t="s">
        <v>440</v>
      </c>
      <c r="F9" s="9" t="s">
        <v>440</v>
      </c>
      <c r="G9" s="8" t="s">
        <v>440</v>
      </c>
      <c r="H9" s="8" t="s">
        <v>440</v>
      </c>
      <c r="I9" s="8" t="s">
        <v>440</v>
      </c>
      <c r="J9" s="8" t="s">
        <v>440</v>
      </c>
      <c r="K9" s="8" t="s">
        <v>440</v>
      </c>
      <c r="L9" s="8" t="s">
        <v>440</v>
      </c>
      <c r="M9" s="8" t="s">
        <v>440</v>
      </c>
      <c r="N9" s="8" t="s">
        <v>440</v>
      </c>
      <c r="O9" s="8" t="s">
        <v>440</v>
      </c>
      <c r="P9" s="8" t="s">
        <v>440</v>
      </c>
      <c r="Q9" s="8" t="s">
        <v>440</v>
      </c>
      <c r="R9" s="8" t="s">
        <v>440</v>
      </c>
      <c r="S9" s="8" t="s">
        <v>440</v>
      </c>
      <c r="T9" s="8" t="s">
        <v>440</v>
      </c>
      <c r="U9" s="8" t="s">
        <v>440</v>
      </c>
      <c r="V9" s="8" t="s">
        <v>440</v>
      </c>
      <c r="W9" s="8" t="s">
        <v>440</v>
      </c>
    </row>
    <row r="10" customFormat="false" ht="15" hidden="false" customHeight="true" outlineLevel="0" collapsed="false">
      <c r="A10" s="8" t="n">
        <v>6</v>
      </c>
      <c r="B10" s="8" t="s">
        <v>337</v>
      </c>
      <c r="C10" s="9" t="s">
        <v>338</v>
      </c>
      <c r="D10" s="9" t="s">
        <v>339</v>
      </c>
      <c r="E10" s="8" t="n">
        <v>0.8</v>
      </c>
      <c r="F10" s="9" t="s">
        <v>339</v>
      </c>
      <c r="G10" s="8" t="s">
        <v>440</v>
      </c>
      <c r="H10" s="8" t="s">
        <v>440</v>
      </c>
      <c r="I10" s="8" t="s">
        <v>440</v>
      </c>
      <c r="J10" s="8" t="s">
        <v>440</v>
      </c>
      <c r="K10" s="8" t="s">
        <v>440</v>
      </c>
      <c r="L10" s="8" t="n">
        <v>47</v>
      </c>
      <c r="M10" s="8" t="s">
        <v>440</v>
      </c>
      <c r="N10" s="8" t="s">
        <v>440</v>
      </c>
      <c r="O10" s="8" t="s">
        <v>440</v>
      </c>
      <c r="P10" s="8" t="s">
        <v>440</v>
      </c>
      <c r="Q10" s="8" t="s">
        <v>440</v>
      </c>
      <c r="R10" s="8" t="s">
        <v>440</v>
      </c>
      <c r="S10" s="8" t="s">
        <v>440</v>
      </c>
      <c r="T10" s="8" t="s">
        <v>440</v>
      </c>
      <c r="U10" s="8" t="s">
        <v>440</v>
      </c>
      <c r="V10" s="8" t="s">
        <v>440</v>
      </c>
      <c r="W10" s="8" t="s">
        <v>440</v>
      </c>
    </row>
    <row r="11" customFormat="false" ht="15" hidden="false" customHeight="true" outlineLevel="0" collapsed="false">
      <c r="A11" s="8" t="n">
        <v>7</v>
      </c>
      <c r="B11" s="8" t="s">
        <v>337</v>
      </c>
      <c r="C11" s="9" t="s">
        <v>333</v>
      </c>
      <c r="D11" s="9" t="s">
        <v>349</v>
      </c>
      <c r="E11" s="8" t="s">
        <v>440</v>
      </c>
      <c r="F11" s="9" t="s">
        <v>440</v>
      </c>
      <c r="G11" s="8" t="s">
        <v>440</v>
      </c>
      <c r="H11" s="8" t="s">
        <v>440</v>
      </c>
      <c r="I11" s="8" t="s">
        <v>440</v>
      </c>
      <c r="J11" s="8" t="s">
        <v>440</v>
      </c>
      <c r="K11" s="8" t="s">
        <v>440</v>
      </c>
      <c r="L11" s="8" t="s">
        <v>440</v>
      </c>
      <c r="M11" s="8" t="s">
        <v>440</v>
      </c>
      <c r="N11" s="8" t="s">
        <v>440</v>
      </c>
      <c r="O11" s="8" t="s">
        <v>440</v>
      </c>
      <c r="P11" s="8" t="s">
        <v>440</v>
      </c>
      <c r="Q11" s="8" t="s">
        <v>440</v>
      </c>
      <c r="R11" s="8" t="s">
        <v>440</v>
      </c>
      <c r="S11" s="8" t="s">
        <v>440</v>
      </c>
      <c r="T11" s="8" t="s">
        <v>440</v>
      </c>
      <c r="U11" s="8" t="s">
        <v>440</v>
      </c>
      <c r="V11" s="8" t="s">
        <v>440</v>
      </c>
      <c r="W11" s="8" t="s">
        <v>440</v>
      </c>
    </row>
    <row r="12" customFormat="false" ht="15" hidden="false" customHeight="true" outlineLevel="0" collapsed="false">
      <c r="A12" s="8" t="n">
        <v>8</v>
      </c>
      <c r="B12" s="8" t="s">
        <v>350</v>
      </c>
      <c r="C12" s="9" t="s">
        <v>315</v>
      </c>
      <c r="D12" s="9" t="s">
        <v>351</v>
      </c>
      <c r="E12" s="8" t="n">
        <v>1</v>
      </c>
      <c r="F12" s="9" t="s">
        <v>351</v>
      </c>
      <c r="G12" s="8" t="n">
        <v>74</v>
      </c>
      <c r="H12" s="8" t="n">
        <v>47</v>
      </c>
      <c r="I12" s="8" t="s">
        <v>440</v>
      </c>
      <c r="J12" s="8" t="s">
        <v>440</v>
      </c>
      <c r="K12" s="8" t="n">
        <v>87</v>
      </c>
      <c r="L12" s="8" t="n">
        <v>1</v>
      </c>
      <c r="M12" s="8" t="n">
        <v>40</v>
      </c>
      <c r="N12" s="8" t="s">
        <v>440</v>
      </c>
      <c r="O12" s="8" t="s">
        <v>440</v>
      </c>
      <c r="P12" s="8" t="s">
        <v>440</v>
      </c>
      <c r="Q12" s="8" t="s">
        <v>440</v>
      </c>
      <c r="R12" s="8" t="s">
        <v>440</v>
      </c>
      <c r="S12" s="8" t="s">
        <v>440</v>
      </c>
      <c r="T12" s="8" t="s">
        <v>440</v>
      </c>
      <c r="U12" s="8" t="s">
        <v>440</v>
      </c>
      <c r="V12" s="8" t="s">
        <v>440</v>
      </c>
      <c r="W12" s="8" t="s">
        <v>440</v>
      </c>
    </row>
    <row r="13" customFormat="false" ht="15" hidden="false" customHeight="true" outlineLevel="0" collapsed="false">
      <c r="A13" s="8" t="n">
        <v>9</v>
      </c>
      <c r="B13" s="8" t="s">
        <v>350</v>
      </c>
      <c r="C13" s="9" t="s">
        <v>338</v>
      </c>
      <c r="D13" s="9" t="s">
        <v>355</v>
      </c>
      <c r="E13" s="8" t="n">
        <v>1</v>
      </c>
      <c r="F13" s="9" t="s">
        <v>760</v>
      </c>
      <c r="G13" s="8" t="n">
        <v>13</v>
      </c>
      <c r="H13" s="8" t="n">
        <v>4</v>
      </c>
      <c r="I13" s="8" t="n">
        <v>20</v>
      </c>
      <c r="J13" s="8" t="n">
        <v>24</v>
      </c>
      <c r="K13" s="8" t="n">
        <v>28</v>
      </c>
      <c r="L13" s="8" t="s">
        <v>440</v>
      </c>
      <c r="M13" s="8" t="s">
        <v>440</v>
      </c>
      <c r="N13" s="8" t="n">
        <v>17</v>
      </c>
      <c r="O13" s="8" t="n">
        <v>8</v>
      </c>
      <c r="P13" s="8" t="n">
        <v>5</v>
      </c>
      <c r="Q13" s="8" t="s">
        <v>440</v>
      </c>
      <c r="R13" s="8" t="s">
        <v>440</v>
      </c>
      <c r="S13" s="8" t="s">
        <v>440</v>
      </c>
      <c r="T13" s="8" t="s">
        <v>440</v>
      </c>
      <c r="U13" s="8" t="s">
        <v>440</v>
      </c>
      <c r="V13" s="8" t="n">
        <v>3</v>
      </c>
      <c r="W13" s="8" t="s">
        <v>440</v>
      </c>
    </row>
    <row r="14" customFormat="false" ht="15" hidden="false" customHeight="true" outlineLevel="0" collapsed="false">
      <c r="A14" s="8" t="n">
        <v>10</v>
      </c>
      <c r="B14" s="8" t="s">
        <v>350</v>
      </c>
      <c r="C14" s="9" t="s">
        <v>338</v>
      </c>
      <c r="D14" s="9" t="s">
        <v>365</v>
      </c>
      <c r="E14" s="8" t="n">
        <v>1</v>
      </c>
      <c r="F14" s="9" t="s">
        <v>365</v>
      </c>
      <c r="G14" s="8" t="n">
        <v>9</v>
      </c>
      <c r="H14" s="8" t="n">
        <v>2</v>
      </c>
      <c r="I14" s="8" t="n">
        <v>21</v>
      </c>
      <c r="J14" s="8" t="s">
        <v>440</v>
      </c>
      <c r="K14" s="8" t="s">
        <v>440</v>
      </c>
      <c r="L14" s="8" t="s">
        <v>440</v>
      </c>
      <c r="M14" s="8" t="s">
        <v>440</v>
      </c>
      <c r="N14" s="8" t="s">
        <v>440</v>
      </c>
      <c r="O14" s="8" t="s">
        <v>440</v>
      </c>
      <c r="P14" s="8" t="s">
        <v>440</v>
      </c>
      <c r="Q14" s="8" t="s">
        <v>440</v>
      </c>
      <c r="R14" s="8" t="s">
        <v>440</v>
      </c>
      <c r="S14" s="8" t="s">
        <v>440</v>
      </c>
      <c r="T14" s="8" t="s">
        <v>440</v>
      </c>
      <c r="U14" s="8" t="s">
        <v>440</v>
      </c>
      <c r="V14" s="8" t="n">
        <v>7</v>
      </c>
      <c r="W14" s="8" t="s">
        <v>440</v>
      </c>
    </row>
    <row r="15" customFormat="false" ht="15" hidden="false" customHeight="true" outlineLevel="0" collapsed="false">
      <c r="A15" s="8" t="n">
        <v>11</v>
      </c>
      <c r="B15" s="8" t="s">
        <v>350</v>
      </c>
      <c r="C15" s="9" t="s">
        <v>338</v>
      </c>
      <c r="D15" s="9" t="s">
        <v>367</v>
      </c>
      <c r="E15" s="8" t="s">
        <v>440</v>
      </c>
      <c r="F15" s="9" t="s">
        <v>440</v>
      </c>
      <c r="G15" s="8" t="s">
        <v>440</v>
      </c>
      <c r="H15" s="8" t="s">
        <v>440</v>
      </c>
      <c r="I15" s="8" t="s">
        <v>440</v>
      </c>
      <c r="J15" s="8" t="s">
        <v>440</v>
      </c>
      <c r="K15" s="8" t="s">
        <v>440</v>
      </c>
      <c r="L15" s="8" t="s">
        <v>440</v>
      </c>
      <c r="M15" s="8" t="s">
        <v>440</v>
      </c>
      <c r="N15" s="8" t="s">
        <v>440</v>
      </c>
      <c r="O15" s="8" t="s">
        <v>440</v>
      </c>
      <c r="P15" s="8" t="s">
        <v>440</v>
      </c>
      <c r="Q15" s="8" t="s">
        <v>440</v>
      </c>
      <c r="R15" s="8" t="s">
        <v>440</v>
      </c>
      <c r="S15" s="8" t="s">
        <v>440</v>
      </c>
      <c r="T15" s="8" t="s">
        <v>440</v>
      </c>
      <c r="U15" s="8" t="s">
        <v>440</v>
      </c>
      <c r="V15" s="8" t="s">
        <v>440</v>
      </c>
      <c r="W15" s="8" t="s">
        <v>440</v>
      </c>
    </row>
    <row r="16" customFormat="false" ht="15" hidden="false" customHeight="true" outlineLevel="0" collapsed="false">
      <c r="A16" s="8" t="n">
        <v>12</v>
      </c>
      <c r="B16" s="8" t="s">
        <v>350</v>
      </c>
      <c r="C16" s="9" t="s">
        <v>286</v>
      </c>
      <c r="D16" s="9" t="s">
        <v>376</v>
      </c>
      <c r="E16" s="8" t="n">
        <v>0.84</v>
      </c>
      <c r="F16" s="9" t="s">
        <v>761</v>
      </c>
      <c r="G16" s="8" t="s">
        <v>440</v>
      </c>
      <c r="H16" s="8" t="n">
        <v>93</v>
      </c>
      <c r="I16" s="8" t="s">
        <v>440</v>
      </c>
      <c r="J16" s="8" t="s">
        <v>440</v>
      </c>
      <c r="K16" s="8" t="n">
        <v>76</v>
      </c>
      <c r="L16" s="8" t="s">
        <v>440</v>
      </c>
      <c r="M16" s="8" t="s">
        <v>440</v>
      </c>
      <c r="N16" s="8" t="s">
        <v>440</v>
      </c>
      <c r="O16" s="8" t="n">
        <v>22</v>
      </c>
      <c r="P16" s="8" t="n">
        <v>36</v>
      </c>
      <c r="Q16" s="8" t="s">
        <v>440</v>
      </c>
      <c r="R16" s="8" t="s">
        <v>440</v>
      </c>
      <c r="S16" s="8" t="n">
        <v>22</v>
      </c>
      <c r="T16" s="8" t="s">
        <v>440</v>
      </c>
      <c r="U16" s="8" t="s">
        <v>440</v>
      </c>
      <c r="V16" s="8" t="s">
        <v>440</v>
      </c>
      <c r="W16" s="8" t="s">
        <v>440</v>
      </c>
    </row>
    <row r="17" customFormat="false" ht="15" hidden="false" customHeight="true" outlineLevel="0" collapsed="false">
      <c r="A17" s="8" t="n">
        <v>13</v>
      </c>
      <c r="B17" s="8" t="s">
        <v>350</v>
      </c>
      <c r="C17" s="9" t="s">
        <v>315</v>
      </c>
      <c r="D17" s="9" t="s">
        <v>378</v>
      </c>
      <c r="E17" s="8" t="n">
        <v>1</v>
      </c>
      <c r="F17" s="9" t="s">
        <v>378</v>
      </c>
      <c r="G17" s="8" t="s">
        <v>440</v>
      </c>
      <c r="H17" s="8" t="s">
        <v>440</v>
      </c>
      <c r="I17" s="8" t="s">
        <v>440</v>
      </c>
      <c r="J17" s="8" t="s">
        <v>440</v>
      </c>
      <c r="K17" s="8" t="n">
        <v>17</v>
      </c>
      <c r="L17" s="8" t="s">
        <v>440</v>
      </c>
      <c r="M17" s="8" t="s">
        <v>440</v>
      </c>
      <c r="N17" s="8" t="s">
        <v>440</v>
      </c>
      <c r="O17" s="8" t="s">
        <v>440</v>
      </c>
      <c r="P17" s="8" t="s">
        <v>440</v>
      </c>
      <c r="Q17" s="8" t="s">
        <v>440</v>
      </c>
      <c r="R17" s="8" t="s">
        <v>440</v>
      </c>
      <c r="S17" s="8" t="s">
        <v>440</v>
      </c>
      <c r="T17" s="8" t="s">
        <v>440</v>
      </c>
      <c r="U17" s="8" t="s">
        <v>440</v>
      </c>
      <c r="V17" s="8" t="s">
        <v>440</v>
      </c>
      <c r="W17" s="8" t="s">
        <v>440</v>
      </c>
    </row>
    <row r="18" customFormat="false" ht="15" hidden="false" customHeight="true" outlineLevel="0" collapsed="false">
      <c r="A18" s="8" t="n">
        <v>14</v>
      </c>
      <c r="B18" s="8" t="s">
        <v>382</v>
      </c>
      <c r="C18" s="9" t="s">
        <v>286</v>
      </c>
      <c r="D18" s="9" t="s">
        <v>383</v>
      </c>
      <c r="E18" s="8" t="n">
        <v>1</v>
      </c>
      <c r="F18" s="9" t="s">
        <v>383</v>
      </c>
      <c r="G18" s="8" t="s">
        <v>440</v>
      </c>
      <c r="H18" s="8" t="n">
        <v>74</v>
      </c>
      <c r="I18" s="8" t="s">
        <v>440</v>
      </c>
      <c r="J18" s="8" t="s">
        <v>440</v>
      </c>
      <c r="K18" s="8" t="s">
        <v>440</v>
      </c>
      <c r="L18" s="8" t="s">
        <v>440</v>
      </c>
      <c r="M18" s="8" t="s">
        <v>440</v>
      </c>
      <c r="N18" s="8" t="s">
        <v>440</v>
      </c>
      <c r="O18" s="8" t="s">
        <v>440</v>
      </c>
      <c r="P18" s="8" t="s">
        <v>440</v>
      </c>
      <c r="Q18" s="8" t="s">
        <v>440</v>
      </c>
      <c r="R18" s="8" t="s">
        <v>440</v>
      </c>
      <c r="S18" s="8" t="n">
        <v>25</v>
      </c>
      <c r="T18" s="8" t="s">
        <v>440</v>
      </c>
      <c r="U18" s="8" t="s">
        <v>440</v>
      </c>
      <c r="V18" s="8" t="s">
        <v>440</v>
      </c>
      <c r="W18" s="8" t="s">
        <v>440</v>
      </c>
    </row>
    <row r="19" customFormat="false" ht="15" hidden="false" customHeight="true" outlineLevel="0" collapsed="false">
      <c r="A19" s="8" t="n">
        <v>15</v>
      </c>
      <c r="B19" s="8" t="s">
        <v>382</v>
      </c>
      <c r="C19" s="9" t="s">
        <v>333</v>
      </c>
      <c r="D19" s="9" t="s">
        <v>387</v>
      </c>
      <c r="E19" s="8" t="s">
        <v>440</v>
      </c>
      <c r="F19" s="9" t="s">
        <v>440</v>
      </c>
      <c r="G19" s="8" t="s">
        <v>440</v>
      </c>
      <c r="H19" s="8" t="s">
        <v>440</v>
      </c>
      <c r="I19" s="8" t="s">
        <v>440</v>
      </c>
      <c r="J19" s="8" t="s">
        <v>440</v>
      </c>
      <c r="K19" s="8" t="s">
        <v>440</v>
      </c>
      <c r="L19" s="8" t="s">
        <v>440</v>
      </c>
      <c r="M19" s="8" t="s">
        <v>440</v>
      </c>
      <c r="N19" s="8" t="s">
        <v>440</v>
      </c>
      <c r="O19" s="8" t="s">
        <v>440</v>
      </c>
      <c r="P19" s="8" t="s">
        <v>440</v>
      </c>
      <c r="Q19" s="8" t="s">
        <v>440</v>
      </c>
      <c r="R19" s="8" t="s">
        <v>440</v>
      </c>
      <c r="S19" s="8" t="s">
        <v>440</v>
      </c>
      <c r="T19" s="8" t="s">
        <v>440</v>
      </c>
      <c r="U19" s="8" t="s">
        <v>440</v>
      </c>
      <c r="V19" s="8" t="s">
        <v>440</v>
      </c>
      <c r="W19" s="8" t="s">
        <v>440</v>
      </c>
    </row>
    <row r="20" customFormat="false" ht="15" hidden="false" customHeight="true" outlineLevel="0" collapsed="false">
      <c r="A20" s="8" t="n">
        <v>16</v>
      </c>
      <c r="B20" s="8" t="s">
        <v>382</v>
      </c>
      <c r="C20" s="9" t="s">
        <v>388</v>
      </c>
      <c r="D20" s="9" t="s">
        <v>389</v>
      </c>
      <c r="E20" s="8" t="s">
        <v>440</v>
      </c>
      <c r="F20" s="9" t="s">
        <v>440</v>
      </c>
      <c r="G20" s="8" t="s">
        <v>440</v>
      </c>
      <c r="H20" s="8" t="s">
        <v>440</v>
      </c>
      <c r="I20" s="8" t="s">
        <v>440</v>
      </c>
      <c r="J20" s="8" t="s">
        <v>440</v>
      </c>
      <c r="K20" s="8" t="s">
        <v>440</v>
      </c>
      <c r="L20" s="8" t="s">
        <v>440</v>
      </c>
      <c r="M20" s="8" t="s">
        <v>440</v>
      </c>
      <c r="N20" s="8" t="s">
        <v>440</v>
      </c>
      <c r="O20" s="8" t="s">
        <v>440</v>
      </c>
      <c r="P20" s="8" t="s">
        <v>440</v>
      </c>
      <c r="Q20" s="8" t="s">
        <v>440</v>
      </c>
      <c r="R20" s="8" t="s">
        <v>440</v>
      </c>
      <c r="S20" s="8" t="s">
        <v>440</v>
      </c>
      <c r="T20" s="8" t="s">
        <v>440</v>
      </c>
      <c r="U20" s="8" t="s">
        <v>440</v>
      </c>
      <c r="V20" s="8" t="s">
        <v>440</v>
      </c>
      <c r="W20" s="8" t="s">
        <v>440</v>
      </c>
    </row>
    <row r="21" customFormat="false" ht="15" hidden="false" customHeight="true" outlineLevel="0" collapsed="false">
      <c r="A21" s="8" t="n">
        <v>17</v>
      </c>
      <c r="B21" s="8" t="s">
        <v>382</v>
      </c>
      <c r="C21" s="9" t="s">
        <v>333</v>
      </c>
      <c r="D21" s="9" t="s">
        <v>391</v>
      </c>
      <c r="E21" s="8" t="n">
        <v>1</v>
      </c>
      <c r="F21" s="9" t="s">
        <v>391</v>
      </c>
      <c r="G21" s="8" t="s">
        <v>440</v>
      </c>
      <c r="H21" s="8" t="s">
        <v>440</v>
      </c>
      <c r="I21" s="8" t="s">
        <v>440</v>
      </c>
      <c r="J21" s="8" t="s">
        <v>440</v>
      </c>
      <c r="K21" s="8" t="s">
        <v>440</v>
      </c>
      <c r="L21" s="8" t="n">
        <v>41</v>
      </c>
      <c r="M21" s="8" t="s">
        <v>440</v>
      </c>
      <c r="N21" s="8" t="s">
        <v>440</v>
      </c>
      <c r="O21" s="8" t="s">
        <v>440</v>
      </c>
      <c r="P21" s="8" t="s">
        <v>440</v>
      </c>
      <c r="Q21" s="8" t="s">
        <v>440</v>
      </c>
      <c r="R21" s="8" t="s">
        <v>440</v>
      </c>
      <c r="S21" s="8" t="s">
        <v>440</v>
      </c>
      <c r="T21" s="8" t="s">
        <v>440</v>
      </c>
      <c r="U21" s="8" t="s">
        <v>440</v>
      </c>
      <c r="V21" s="8" t="s">
        <v>440</v>
      </c>
      <c r="W21" s="8" t="s">
        <v>440</v>
      </c>
    </row>
    <row r="22" customFormat="false" ht="15" hidden="false" customHeight="true" outlineLevel="0" collapsed="false">
      <c r="A22" s="8" t="n">
        <v>18</v>
      </c>
      <c r="B22" s="8" t="s">
        <v>382</v>
      </c>
      <c r="C22" s="9" t="s">
        <v>333</v>
      </c>
      <c r="D22" s="9" t="s">
        <v>394</v>
      </c>
      <c r="E22" s="8" t="s">
        <v>440</v>
      </c>
      <c r="F22" s="9" t="s">
        <v>440</v>
      </c>
      <c r="G22" s="8" t="s">
        <v>440</v>
      </c>
      <c r="H22" s="8" t="s">
        <v>440</v>
      </c>
      <c r="I22" s="8" t="s">
        <v>440</v>
      </c>
      <c r="J22" s="8" t="s">
        <v>440</v>
      </c>
      <c r="K22" s="8" t="s">
        <v>440</v>
      </c>
      <c r="L22" s="8" t="s">
        <v>440</v>
      </c>
      <c r="M22" s="8" t="s">
        <v>440</v>
      </c>
      <c r="N22" s="8" t="s">
        <v>440</v>
      </c>
      <c r="O22" s="8" t="s">
        <v>440</v>
      </c>
      <c r="P22" s="8" t="s">
        <v>440</v>
      </c>
      <c r="Q22" s="8" t="s">
        <v>440</v>
      </c>
      <c r="R22" s="8" t="s">
        <v>440</v>
      </c>
      <c r="S22" s="8" t="s">
        <v>440</v>
      </c>
      <c r="T22" s="8" t="s">
        <v>440</v>
      </c>
      <c r="U22" s="8" t="s">
        <v>440</v>
      </c>
      <c r="V22" s="8" t="s">
        <v>440</v>
      </c>
      <c r="W22" s="8" t="s">
        <v>440</v>
      </c>
    </row>
    <row r="23" customFormat="false" ht="15" hidden="false" customHeight="true" outlineLevel="0" collapsed="false">
      <c r="A23" s="8" t="n">
        <v>19</v>
      </c>
      <c r="B23" s="8" t="s">
        <v>382</v>
      </c>
      <c r="C23" s="9" t="s">
        <v>286</v>
      </c>
      <c r="D23" s="9" t="s">
        <v>395</v>
      </c>
      <c r="E23" s="8" t="n">
        <v>1</v>
      </c>
      <c r="F23" s="9" t="s">
        <v>395</v>
      </c>
      <c r="G23" s="8" t="s">
        <v>440</v>
      </c>
      <c r="H23" s="8" t="s">
        <v>440</v>
      </c>
      <c r="I23" s="8" t="s">
        <v>440</v>
      </c>
      <c r="J23" s="8" t="s">
        <v>440</v>
      </c>
      <c r="K23" s="8" t="s">
        <v>440</v>
      </c>
      <c r="L23" s="8" t="n">
        <v>58</v>
      </c>
      <c r="M23" s="8" t="s">
        <v>440</v>
      </c>
      <c r="N23" s="8" t="s">
        <v>440</v>
      </c>
      <c r="O23" s="8" t="s">
        <v>440</v>
      </c>
      <c r="P23" s="8" t="s">
        <v>440</v>
      </c>
      <c r="Q23" s="8" t="s">
        <v>440</v>
      </c>
      <c r="R23" s="8" t="s">
        <v>440</v>
      </c>
      <c r="S23" s="8" t="s">
        <v>440</v>
      </c>
      <c r="T23" s="8" t="s">
        <v>440</v>
      </c>
      <c r="U23" s="8" t="s">
        <v>440</v>
      </c>
      <c r="V23" s="8" t="s">
        <v>440</v>
      </c>
      <c r="W23" s="8" t="s">
        <v>440</v>
      </c>
    </row>
    <row r="24" customFormat="false" ht="15" hidden="false" customHeight="true" outlineLevel="0" collapsed="false">
      <c r="A24" s="8" t="n">
        <v>20</v>
      </c>
      <c r="B24" s="8" t="s">
        <v>382</v>
      </c>
      <c r="C24" s="9" t="s">
        <v>333</v>
      </c>
      <c r="D24" s="9" t="s">
        <v>396</v>
      </c>
      <c r="E24" s="8" t="s">
        <v>440</v>
      </c>
      <c r="F24" s="9" t="s">
        <v>440</v>
      </c>
      <c r="G24" s="8" t="s">
        <v>440</v>
      </c>
      <c r="H24" s="8" t="s">
        <v>440</v>
      </c>
      <c r="I24" s="8" t="s">
        <v>440</v>
      </c>
      <c r="J24" s="8" t="s">
        <v>440</v>
      </c>
      <c r="K24" s="8" t="s">
        <v>440</v>
      </c>
      <c r="L24" s="8" t="s">
        <v>440</v>
      </c>
      <c r="M24" s="8" t="s">
        <v>440</v>
      </c>
      <c r="N24" s="8" t="s">
        <v>440</v>
      </c>
      <c r="O24" s="8" t="s">
        <v>440</v>
      </c>
      <c r="P24" s="8" t="s">
        <v>440</v>
      </c>
      <c r="Q24" s="8" t="s">
        <v>440</v>
      </c>
      <c r="R24" s="8" t="s">
        <v>440</v>
      </c>
      <c r="S24" s="8" t="s">
        <v>440</v>
      </c>
      <c r="T24" s="8" t="s">
        <v>440</v>
      </c>
      <c r="U24" s="8" t="s">
        <v>440</v>
      </c>
      <c r="V24" s="8" t="s">
        <v>440</v>
      </c>
      <c r="W24" s="8" t="s">
        <v>440</v>
      </c>
    </row>
    <row r="25" customFormat="false" ht="15" hidden="false" customHeight="true" outlineLevel="0" collapsed="false">
      <c r="A25" s="8" t="n">
        <v>21</v>
      </c>
      <c r="B25" s="8" t="s">
        <v>382</v>
      </c>
      <c r="C25" s="9" t="s">
        <v>333</v>
      </c>
      <c r="D25" s="9" t="s">
        <v>399</v>
      </c>
      <c r="E25" s="8" t="s">
        <v>440</v>
      </c>
      <c r="F25" s="9" t="s">
        <v>440</v>
      </c>
      <c r="G25" s="8" t="s">
        <v>440</v>
      </c>
      <c r="H25" s="8" t="s">
        <v>440</v>
      </c>
      <c r="I25" s="8" t="s">
        <v>440</v>
      </c>
      <c r="J25" s="8" t="s">
        <v>440</v>
      </c>
      <c r="K25" s="8" t="s">
        <v>440</v>
      </c>
      <c r="L25" s="8" t="s">
        <v>440</v>
      </c>
      <c r="M25" s="8" t="s">
        <v>440</v>
      </c>
      <c r="N25" s="8" t="s">
        <v>440</v>
      </c>
      <c r="O25" s="8" t="s">
        <v>440</v>
      </c>
      <c r="P25" s="8" t="s">
        <v>440</v>
      </c>
      <c r="Q25" s="8" t="s">
        <v>440</v>
      </c>
      <c r="R25" s="8" t="s">
        <v>440</v>
      </c>
      <c r="S25" s="8" t="s">
        <v>440</v>
      </c>
      <c r="T25" s="8" t="s">
        <v>440</v>
      </c>
      <c r="U25" s="8" t="s">
        <v>440</v>
      </c>
      <c r="V25" s="8" t="s">
        <v>440</v>
      </c>
      <c r="W25" s="8" t="s">
        <v>440</v>
      </c>
    </row>
    <row r="26" customFormat="false" ht="23.25" hidden="false" customHeight="true" outlineLevel="0" collapsed="false">
      <c r="A26" s="8" t="n">
        <v>22</v>
      </c>
      <c r="B26" s="8" t="s">
        <v>402</v>
      </c>
      <c r="C26" s="9" t="s">
        <v>286</v>
      </c>
      <c r="D26" s="9" t="s">
        <v>403</v>
      </c>
      <c r="E26" s="8" t="n">
        <v>0.83</v>
      </c>
      <c r="F26" s="9" t="s">
        <v>762</v>
      </c>
      <c r="G26" s="8" t="s">
        <v>440</v>
      </c>
      <c r="H26" s="8" t="s">
        <v>440</v>
      </c>
      <c r="I26" s="8" t="s">
        <v>440</v>
      </c>
      <c r="J26" s="8" t="s">
        <v>440</v>
      </c>
      <c r="K26" s="8" t="s">
        <v>440</v>
      </c>
      <c r="L26" s="8" t="n">
        <v>49</v>
      </c>
      <c r="M26" s="8" t="s">
        <v>440</v>
      </c>
      <c r="N26" s="8" t="s">
        <v>440</v>
      </c>
      <c r="O26" s="8" t="s">
        <v>440</v>
      </c>
      <c r="P26" s="8" t="s">
        <v>440</v>
      </c>
      <c r="Q26" s="8" t="s">
        <v>440</v>
      </c>
      <c r="R26" s="8" t="s">
        <v>440</v>
      </c>
      <c r="S26" s="8" t="n">
        <v>32</v>
      </c>
      <c r="T26" s="8" t="s">
        <v>440</v>
      </c>
      <c r="U26" s="8" t="s">
        <v>440</v>
      </c>
      <c r="V26" s="8" t="s">
        <v>440</v>
      </c>
      <c r="W26" s="8" t="s">
        <v>440</v>
      </c>
    </row>
    <row r="27" customFormat="false" ht="15" hidden="false" customHeight="true" outlineLevel="0" collapsed="false">
      <c r="A27" s="8" t="n">
        <v>23</v>
      </c>
      <c r="B27" s="8" t="s">
        <v>402</v>
      </c>
      <c r="C27" s="9" t="s">
        <v>286</v>
      </c>
      <c r="D27" s="9" t="s">
        <v>406</v>
      </c>
      <c r="E27" s="8" t="n">
        <v>1</v>
      </c>
      <c r="F27" s="9" t="s">
        <v>406</v>
      </c>
      <c r="G27" s="8" t="s">
        <v>440</v>
      </c>
      <c r="H27" s="8" t="s">
        <v>440</v>
      </c>
      <c r="I27" s="8" t="s">
        <v>440</v>
      </c>
      <c r="J27" s="8" t="s">
        <v>440</v>
      </c>
      <c r="K27" s="8" t="s">
        <v>440</v>
      </c>
      <c r="L27" s="8" t="s">
        <v>440</v>
      </c>
      <c r="M27" s="8" t="s">
        <v>440</v>
      </c>
      <c r="N27" s="8" t="s">
        <v>440</v>
      </c>
      <c r="O27" s="8" t="s">
        <v>440</v>
      </c>
      <c r="P27" s="8" t="s">
        <v>440</v>
      </c>
      <c r="Q27" s="8" t="s">
        <v>440</v>
      </c>
      <c r="R27" s="8" t="s">
        <v>440</v>
      </c>
      <c r="S27" s="8" t="n">
        <v>35</v>
      </c>
      <c r="T27" s="8" t="s">
        <v>440</v>
      </c>
      <c r="U27" s="8" t="s">
        <v>440</v>
      </c>
      <c r="V27" s="8" t="s">
        <v>440</v>
      </c>
      <c r="W27" s="8" t="s">
        <v>440</v>
      </c>
    </row>
    <row r="28" customFormat="false" ht="15" hidden="false" customHeight="true" outlineLevel="0" collapsed="false">
      <c r="A28" s="8" t="n">
        <v>24</v>
      </c>
      <c r="B28" s="8" t="s">
        <v>402</v>
      </c>
      <c r="C28" s="9" t="s">
        <v>286</v>
      </c>
      <c r="D28" s="9" t="s">
        <v>409</v>
      </c>
      <c r="E28" s="8" t="n">
        <v>1</v>
      </c>
      <c r="F28" s="9" t="s">
        <v>409</v>
      </c>
      <c r="G28" s="8" t="s">
        <v>440</v>
      </c>
      <c r="H28" s="8" t="s">
        <v>440</v>
      </c>
      <c r="I28" s="8" t="s">
        <v>440</v>
      </c>
      <c r="J28" s="8" t="s">
        <v>440</v>
      </c>
      <c r="K28" s="8" t="s">
        <v>440</v>
      </c>
      <c r="L28" s="8" t="n">
        <v>43</v>
      </c>
      <c r="M28" s="8" t="s">
        <v>440</v>
      </c>
      <c r="N28" s="8" t="s">
        <v>440</v>
      </c>
      <c r="O28" s="8" t="s">
        <v>440</v>
      </c>
      <c r="P28" s="8" t="s">
        <v>440</v>
      </c>
      <c r="Q28" s="8" t="s">
        <v>440</v>
      </c>
      <c r="R28" s="8" t="s">
        <v>440</v>
      </c>
      <c r="S28" s="8" t="n">
        <v>46</v>
      </c>
      <c r="T28" s="8" t="s">
        <v>440</v>
      </c>
      <c r="U28" s="8" t="s">
        <v>440</v>
      </c>
      <c r="V28" s="8" t="s">
        <v>440</v>
      </c>
      <c r="W28" s="8" t="s">
        <v>440</v>
      </c>
    </row>
    <row r="29" customFormat="false" ht="15" hidden="false" customHeight="true" outlineLevel="0" collapsed="false">
      <c r="A29" s="8" t="n">
        <v>25</v>
      </c>
      <c r="B29" s="8" t="s">
        <v>402</v>
      </c>
      <c r="C29" s="9" t="s">
        <v>315</v>
      </c>
      <c r="D29" s="9" t="s">
        <v>411</v>
      </c>
      <c r="E29" s="8" t="n">
        <v>0.86</v>
      </c>
      <c r="F29" s="9" t="s">
        <v>411</v>
      </c>
      <c r="G29" s="8" t="s">
        <v>440</v>
      </c>
      <c r="H29" s="8" t="n">
        <v>85</v>
      </c>
      <c r="I29" s="8" t="s">
        <v>440</v>
      </c>
      <c r="J29" s="8" t="s">
        <v>440</v>
      </c>
      <c r="K29" s="8" t="s">
        <v>440</v>
      </c>
      <c r="L29" s="8" t="n">
        <v>26</v>
      </c>
      <c r="M29" s="8" t="n">
        <v>33</v>
      </c>
      <c r="N29" s="8" t="s">
        <v>440</v>
      </c>
      <c r="O29" s="8" t="s">
        <v>440</v>
      </c>
      <c r="P29" s="8" t="s">
        <v>440</v>
      </c>
      <c r="Q29" s="8" t="s">
        <v>440</v>
      </c>
      <c r="R29" s="8" t="s">
        <v>440</v>
      </c>
      <c r="S29" s="8" t="s">
        <v>440</v>
      </c>
      <c r="T29" s="8" t="s">
        <v>440</v>
      </c>
      <c r="U29" s="8" t="s">
        <v>440</v>
      </c>
      <c r="V29" s="8" t="s">
        <v>440</v>
      </c>
      <c r="W29" s="8" t="s">
        <v>440</v>
      </c>
    </row>
    <row r="30" customFormat="false" ht="23.25" hidden="false" customHeight="true" outlineLevel="0" collapsed="false">
      <c r="A30" s="8" t="n">
        <v>26</v>
      </c>
      <c r="B30" s="8" t="s">
        <v>402</v>
      </c>
      <c r="C30" s="9" t="s">
        <v>315</v>
      </c>
      <c r="D30" s="9" t="s">
        <v>412</v>
      </c>
      <c r="E30" s="8" t="n">
        <v>0.99</v>
      </c>
      <c r="F30" s="9" t="s">
        <v>412</v>
      </c>
      <c r="G30" s="8" t="s">
        <v>440</v>
      </c>
      <c r="H30" s="8" t="n">
        <v>96</v>
      </c>
      <c r="I30" s="8" t="s">
        <v>440</v>
      </c>
      <c r="J30" s="8" t="s">
        <v>440</v>
      </c>
      <c r="K30" s="8" t="s">
        <v>440</v>
      </c>
      <c r="L30" s="8" t="s">
        <v>440</v>
      </c>
      <c r="M30" s="8" t="s">
        <v>440</v>
      </c>
      <c r="N30" s="8" t="n">
        <v>33</v>
      </c>
      <c r="O30" s="8" t="s">
        <v>440</v>
      </c>
      <c r="P30" s="8" t="s">
        <v>440</v>
      </c>
      <c r="Q30" s="8" t="s">
        <v>440</v>
      </c>
      <c r="R30" s="8" t="s">
        <v>440</v>
      </c>
      <c r="S30" s="8" t="s">
        <v>440</v>
      </c>
      <c r="T30" s="8" t="s">
        <v>440</v>
      </c>
      <c r="U30" s="8" t="s">
        <v>440</v>
      </c>
      <c r="V30" s="8" t="s">
        <v>440</v>
      </c>
      <c r="W30" s="8" t="s">
        <v>440</v>
      </c>
    </row>
    <row r="31" customFormat="false" ht="23.25" hidden="false" customHeight="true" outlineLevel="0" collapsed="false">
      <c r="A31" s="8" t="n">
        <v>27</v>
      </c>
      <c r="B31" s="8" t="s">
        <v>402</v>
      </c>
      <c r="C31" s="9" t="s">
        <v>333</v>
      </c>
      <c r="D31" s="9" t="s">
        <v>414</v>
      </c>
      <c r="E31" s="8" t="n">
        <v>1</v>
      </c>
      <c r="F31" s="9" t="s">
        <v>414</v>
      </c>
      <c r="G31" s="8" t="s">
        <v>440</v>
      </c>
      <c r="H31" s="8" t="s">
        <v>440</v>
      </c>
      <c r="I31" s="8" t="s">
        <v>440</v>
      </c>
      <c r="J31" s="8" t="s">
        <v>440</v>
      </c>
      <c r="K31" s="8" t="s">
        <v>440</v>
      </c>
      <c r="L31" s="8" t="n">
        <v>100</v>
      </c>
      <c r="M31" s="8" t="s">
        <v>440</v>
      </c>
      <c r="N31" s="8" t="s">
        <v>440</v>
      </c>
      <c r="O31" s="8" t="s">
        <v>440</v>
      </c>
      <c r="P31" s="8" t="s">
        <v>440</v>
      </c>
      <c r="Q31" s="8" t="s">
        <v>440</v>
      </c>
      <c r="R31" s="8" t="s">
        <v>440</v>
      </c>
      <c r="S31" s="8" t="s">
        <v>440</v>
      </c>
      <c r="T31" s="8" t="s">
        <v>440</v>
      </c>
      <c r="U31" s="8" t="s">
        <v>440</v>
      </c>
      <c r="V31" s="8" t="s">
        <v>440</v>
      </c>
      <c r="W31" s="8" t="s">
        <v>440</v>
      </c>
    </row>
    <row r="32" customFormat="false" ht="23.25" hidden="false" customHeight="true" outlineLevel="0" collapsed="false">
      <c r="A32" s="8" t="n">
        <v>28</v>
      </c>
      <c r="B32" s="8" t="s">
        <v>415</v>
      </c>
      <c r="C32" s="9" t="s">
        <v>333</v>
      </c>
      <c r="D32" s="9" t="s">
        <v>416</v>
      </c>
      <c r="E32" s="8" t="n">
        <v>1</v>
      </c>
      <c r="F32" s="9" t="s">
        <v>416</v>
      </c>
      <c r="G32" s="8" t="s">
        <v>440</v>
      </c>
      <c r="H32" s="8" t="n">
        <v>69</v>
      </c>
      <c r="I32" s="8" t="s">
        <v>440</v>
      </c>
      <c r="J32" s="8" t="s">
        <v>440</v>
      </c>
      <c r="K32" s="8" t="s">
        <v>440</v>
      </c>
      <c r="L32" s="8" t="n">
        <v>44</v>
      </c>
      <c r="M32" s="8" t="s">
        <v>440</v>
      </c>
      <c r="N32" s="8" t="s">
        <v>440</v>
      </c>
      <c r="O32" s="8" t="s">
        <v>440</v>
      </c>
      <c r="P32" s="8" t="s">
        <v>440</v>
      </c>
      <c r="Q32" s="8" t="s">
        <v>440</v>
      </c>
      <c r="R32" s="8" t="s">
        <v>440</v>
      </c>
      <c r="S32" s="8" t="s">
        <v>440</v>
      </c>
      <c r="T32" s="8" t="s">
        <v>440</v>
      </c>
      <c r="U32" s="8" t="s">
        <v>440</v>
      </c>
      <c r="V32" s="8" t="s">
        <v>440</v>
      </c>
      <c r="W32" s="8" t="s">
        <v>440</v>
      </c>
    </row>
    <row r="33" customFormat="false" ht="23.25" hidden="false" customHeight="true" outlineLevel="0" collapsed="false">
      <c r="A33" s="8" t="n">
        <v>29</v>
      </c>
      <c r="B33" s="8" t="s">
        <v>415</v>
      </c>
      <c r="C33" s="9" t="s">
        <v>338</v>
      </c>
      <c r="D33" s="9" t="s">
        <v>419</v>
      </c>
      <c r="E33" s="8" t="s">
        <v>440</v>
      </c>
      <c r="F33" s="9" t="s">
        <v>440</v>
      </c>
      <c r="G33" s="8" t="s">
        <v>440</v>
      </c>
      <c r="H33" s="8" t="s">
        <v>440</v>
      </c>
      <c r="I33" s="8" t="s">
        <v>440</v>
      </c>
      <c r="J33" s="8" t="s">
        <v>440</v>
      </c>
      <c r="K33" s="8" t="s">
        <v>440</v>
      </c>
      <c r="L33" s="8" t="s">
        <v>440</v>
      </c>
      <c r="M33" s="8" t="s">
        <v>440</v>
      </c>
      <c r="N33" s="8" t="s">
        <v>440</v>
      </c>
      <c r="O33" s="8" t="s">
        <v>440</v>
      </c>
      <c r="P33" s="8" t="s">
        <v>440</v>
      </c>
      <c r="Q33" s="8" t="s">
        <v>440</v>
      </c>
      <c r="R33" s="8" t="s">
        <v>440</v>
      </c>
      <c r="S33" s="8" t="s">
        <v>440</v>
      </c>
      <c r="T33" s="8" t="s">
        <v>440</v>
      </c>
      <c r="U33" s="8" t="s">
        <v>440</v>
      </c>
      <c r="V33" s="8" t="s">
        <v>440</v>
      </c>
      <c r="W33" s="8" t="s">
        <v>440</v>
      </c>
    </row>
    <row r="34" customFormat="false" ht="23.25" hidden="false" customHeight="true" outlineLevel="0" collapsed="false">
      <c r="A34" s="8" t="n">
        <v>30</v>
      </c>
      <c r="B34" s="8" t="s">
        <v>420</v>
      </c>
      <c r="C34" s="9" t="s">
        <v>286</v>
      </c>
      <c r="D34" s="9" t="s">
        <v>421</v>
      </c>
      <c r="E34" s="8" t="n">
        <v>1</v>
      </c>
      <c r="F34" s="9" t="s">
        <v>421</v>
      </c>
      <c r="G34" s="8" t="n">
        <v>87</v>
      </c>
      <c r="H34" s="8" t="n">
        <v>51</v>
      </c>
      <c r="I34" s="8" t="s">
        <v>440</v>
      </c>
      <c r="J34" s="8" t="s">
        <v>440</v>
      </c>
      <c r="K34" s="8" t="s">
        <v>440</v>
      </c>
      <c r="L34" s="8" t="s">
        <v>440</v>
      </c>
      <c r="M34" s="8" t="s">
        <v>440</v>
      </c>
      <c r="N34" s="8" t="s">
        <v>440</v>
      </c>
      <c r="O34" s="8" t="s">
        <v>440</v>
      </c>
      <c r="P34" s="8" t="s">
        <v>440</v>
      </c>
      <c r="Q34" s="8" t="s">
        <v>440</v>
      </c>
      <c r="R34" s="8" t="s">
        <v>440</v>
      </c>
      <c r="S34" s="8" t="n">
        <v>21</v>
      </c>
      <c r="T34" s="8" t="s">
        <v>440</v>
      </c>
      <c r="U34" s="8" t="s">
        <v>440</v>
      </c>
      <c r="V34" s="8" t="s">
        <v>440</v>
      </c>
      <c r="W34" s="8" t="s">
        <v>440</v>
      </c>
    </row>
    <row r="35" customFormat="false" ht="15" hidden="false" customHeight="true" outlineLevel="0" collapsed="false">
      <c r="A35" s="8" t="n">
        <v>31</v>
      </c>
      <c r="B35" s="8" t="s">
        <v>422</v>
      </c>
      <c r="C35" s="9" t="s">
        <v>315</v>
      </c>
      <c r="D35" s="9" t="s">
        <v>423</v>
      </c>
      <c r="E35" s="8" t="n">
        <v>1</v>
      </c>
      <c r="F35" s="9" t="s">
        <v>423</v>
      </c>
      <c r="G35" s="8" t="s">
        <v>440</v>
      </c>
      <c r="H35" s="8" t="n">
        <v>92</v>
      </c>
      <c r="I35" s="8" t="s">
        <v>440</v>
      </c>
      <c r="J35" s="8" t="n">
        <v>51</v>
      </c>
      <c r="K35" s="8" t="n">
        <v>97</v>
      </c>
      <c r="L35" s="8" t="n">
        <v>28</v>
      </c>
      <c r="M35" s="8" t="s">
        <v>440</v>
      </c>
      <c r="N35" s="8" t="s">
        <v>440</v>
      </c>
      <c r="O35" s="8" t="s">
        <v>440</v>
      </c>
      <c r="P35" s="8" t="n">
        <v>22</v>
      </c>
      <c r="Q35" s="8" t="s">
        <v>440</v>
      </c>
      <c r="R35" s="8" t="s">
        <v>440</v>
      </c>
      <c r="S35" s="8" t="s">
        <v>440</v>
      </c>
      <c r="T35" s="8" t="s">
        <v>440</v>
      </c>
      <c r="U35" s="8" t="s">
        <v>440</v>
      </c>
      <c r="V35" s="8" t="s">
        <v>440</v>
      </c>
      <c r="W35" s="8" t="s">
        <v>440</v>
      </c>
    </row>
    <row r="36" customFormat="false" ht="15" hidden="false" customHeight="true" outlineLevel="0" collapsed="false">
      <c r="A36" s="8" t="n">
        <v>32</v>
      </c>
      <c r="B36" s="8" t="s">
        <v>425</v>
      </c>
      <c r="C36" s="9" t="s">
        <v>315</v>
      </c>
      <c r="D36" s="9" t="s">
        <v>426</v>
      </c>
      <c r="E36" s="8" t="n">
        <v>0.55</v>
      </c>
      <c r="F36" s="9" t="s">
        <v>763</v>
      </c>
      <c r="G36" s="8" t="s">
        <v>440</v>
      </c>
      <c r="H36" s="8" t="n">
        <v>62</v>
      </c>
      <c r="I36" s="8" t="s">
        <v>440</v>
      </c>
      <c r="J36" s="8" t="n">
        <v>84</v>
      </c>
      <c r="K36" s="8" t="n">
        <v>73</v>
      </c>
      <c r="L36" s="8" t="s">
        <v>440</v>
      </c>
      <c r="M36" s="8" t="s">
        <v>440</v>
      </c>
      <c r="N36" s="8" t="s">
        <v>440</v>
      </c>
      <c r="O36" s="8" t="s">
        <v>440</v>
      </c>
      <c r="P36" s="8" t="s">
        <v>440</v>
      </c>
      <c r="Q36" s="8" t="s">
        <v>440</v>
      </c>
      <c r="R36" s="8" t="s">
        <v>440</v>
      </c>
      <c r="S36" s="8" t="s">
        <v>440</v>
      </c>
      <c r="T36" s="8" t="s">
        <v>440</v>
      </c>
      <c r="U36" s="8" t="s">
        <v>440</v>
      </c>
      <c r="V36" s="8" t="s">
        <v>440</v>
      </c>
      <c r="W36" s="8" t="s">
        <v>440</v>
      </c>
    </row>
    <row r="37" customFormat="false" ht="23.25" hidden="false" customHeight="true" outlineLevel="0" collapsed="false">
      <c r="A37" s="8" t="n">
        <v>33</v>
      </c>
      <c r="B37" s="8" t="s">
        <v>425</v>
      </c>
      <c r="C37" s="9" t="s">
        <v>315</v>
      </c>
      <c r="D37" s="9" t="s">
        <v>429</v>
      </c>
      <c r="E37" s="8" t="n">
        <v>1.02</v>
      </c>
      <c r="F37" s="9" t="s">
        <v>764</v>
      </c>
      <c r="G37" s="8" t="n">
        <v>38</v>
      </c>
      <c r="H37" s="8" t="n">
        <v>21</v>
      </c>
      <c r="I37" s="8" t="s">
        <v>440</v>
      </c>
      <c r="J37" s="8" t="s">
        <v>440</v>
      </c>
      <c r="K37" s="8" t="s">
        <v>440</v>
      </c>
      <c r="L37" s="15" t="n">
        <v>4</v>
      </c>
      <c r="M37" s="15" t="n">
        <v>37</v>
      </c>
      <c r="N37" s="15" t="n">
        <v>10</v>
      </c>
      <c r="O37" s="8" t="s">
        <v>440</v>
      </c>
      <c r="P37" s="8" t="s">
        <v>440</v>
      </c>
      <c r="Q37" s="8" t="s">
        <v>440</v>
      </c>
      <c r="R37" s="8" t="s">
        <v>440</v>
      </c>
      <c r="S37" s="8" t="s">
        <v>440</v>
      </c>
      <c r="T37" s="8" t="s">
        <v>440</v>
      </c>
      <c r="U37" s="8" t="s">
        <v>440</v>
      </c>
      <c r="V37" s="8" t="s">
        <v>440</v>
      </c>
      <c r="W37" s="8" t="s">
        <v>440</v>
      </c>
    </row>
    <row r="38" customFormat="false" ht="23.25" hidden="false" customHeight="true" outlineLevel="0" collapsed="false">
      <c r="A38" s="8" t="n">
        <v>34</v>
      </c>
      <c r="B38" s="8" t="s">
        <v>425</v>
      </c>
      <c r="C38" s="9" t="s">
        <v>315</v>
      </c>
      <c r="D38" s="9" t="s">
        <v>434</v>
      </c>
      <c r="E38" s="8" t="n">
        <v>1</v>
      </c>
      <c r="F38" s="9" t="s">
        <v>765</v>
      </c>
      <c r="G38" s="8" t="n">
        <v>14</v>
      </c>
      <c r="H38" s="8" t="n">
        <v>3</v>
      </c>
      <c r="I38" s="8" t="n">
        <v>19</v>
      </c>
      <c r="J38" s="15" t="n">
        <v>59</v>
      </c>
      <c r="K38" s="15" t="n">
        <v>39</v>
      </c>
      <c r="L38" s="15" t="n">
        <v>8</v>
      </c>
      <c r="M38" s="15" t="n">
        <v>10</v>
      </c>
      <c r="N38" s="15" t="n">
        <v>5</v>
      </c>
      <c r="O38" s="8" t="s">
        <v>440</v>
      </c>
      <c r="P38" s="15" t="n">
        <v>27</v>
      </c>
      <c r="Q38" s="8" t="s">
        <v>440</v>
      </c>
      <c r="R38" s="8" t="s">
        <v>440</v>
      </c>
      <c r="S38" s="8" t="s">
        <v>440</v>
      </c>
      <c r="T38" s="8" t="s">
        <v>440</v>
      </c>
      <c r="U38" s="8" t="s">
        <v>440</v>
      </c>
      <c r="V38" s="8" t="n">
        <v>5</v>
      </c>
      <c r="W38" s="8" t="s">
        <v>440</v>
      </c>
    </row>
    <row r="39" customFormat="false" ht="15" hidden="false" customHeight="true" outlineLevel="0" collapsed="false">
      <c r="A39" s="8" t="n">
        <v>35</v>
      </c>
      <c r="B39" s="8" t="s">
        <v>425</v>
      </c>
      <c r="C39" s="9" t="s">
        <v>286</v>
      </c>
      <c r="D39" s="9" t="s">
        <v>443</v>
      </c>
      <c r="E39" s="8" t="n">
        <v>1</v>
      </c>
      <c r="F39" s="9" t="s">
        <v>443</v>
      </c>
      <c r="G39" s="8" t="s">
        <v>440</v>
      </c>
      <c r="H39" s="8" t="n">
        <v>65</v>
      </c>
      <c r="I39" s="8" t="s">
        <v>440</v>
      </c>
      <c r="J39" s="8" t="s">
        <v>440</v>
      </c>
      <c r="K39" s="8" t="s">
        <v>440</v>
      </c>
      <c r="L39" s="8" t="s">
        <v>440</v>
      </c>
      <c r="M39" s="8" t="s">
        <v>440</v>
      </c>
      <c r="N39" s="8" t="s">
        <v>440</v>
      </c>
      <c r="O39" s="8" t="s">
        <v>440</v>
      </c>
      <c r="P39" s="8" t="s">
        <v>440</v>
      </c>
      <c r="Q39" s="8" t="s">
        <v>440</v>
      </c>
      <c r="R39" s="8" t="s">
        <v>440</v>
      </c>
      <c r="S39" s="8" t="n">
        <v>26</v>
      </c>
      <c r="T39" s="8" t="s">
        <v>440</v>
      </c>
      <c r="U39" s="8" t="s">
        <v>440</v>
      </c>
      <c r="V39" s="8" t="s">
        <v>440</v>
      </c>
      <c r="W39" s="8" t="s">
        <v>440</v>
      </c>
    </row>
    <row r="40" customFormat="false" ht="15" hidden="false" customHeight="true" outlineLevel="0" collapsed="false">
      <c r="A40" s="8" t="n">
        <v>36</v>
      </c>
      <c r="B40" s="8" t="s">
        <v>425</v>
      </c>
      <c r="C40" s="9" t="s">
        <v>286</v>
      </c>
      <c r="D40" s="9" t="s">
        <v>445</v>
      </c>
      <c r="E40" s="8" t="n">
        <v>0.82</v>
      </c>
      <c r="F40" s="9" t="s">
        <v>766</v>
      </c>
      <c r="G40" s="8" t="s">
        <v>440</v>
      </c>
      <c r="H40" s="8" t="n">
        <v>71</v>
      </c>
      <c r="I40" s="8" t="s">
        <v>440</v>
      </c>
      <c r="J40" s="8" t="s">
        <v>440</v>
      </c>
      <c r="K40" s="8" t="s">
        <v>440</v>
      </c>
      <c r="L40" s="8" t="s">
        <v>440</v>
      </c>
      <c r="M40" s="8" t="s">
        <v>440</v>
      </c>
      <c r="N40" s="8" t="s">
        <v>440</v>
      </c>
      <c r="O40" s="8" t="s">
        <v>440</v>
      </c>
      <c r="P40" s="8" t="s">
        <v>440</v>
      </c>
      <c r="Q40" s="8" t="s">
        <v>440</v>
      </c>
      <c r="R40" s="8" t="s">
        <v>440</v>
      </c>
      <c r="S40" s="8" t="n">
        <v>20</v>
      </c>
      <c r="T40" s="8" t="s">
        <v>440</v>
      </c>
      <c r="U40" s="8" t="s">
        <v>440</v>
      </c>
      <c r="V40" s="8" t="s">
        <v>440</v>
      </c>
      <c r="W40" s="8" t="s">
        <v>440</v>
      </c>
    </row>
    <row r="41" customFormat="false" ht="15" hidden="false" customHeight="true" outlineLevel="0" collapsed="false">
      <c r="A41" s="8" t="n">
        <v>37</v>
      </c>
      <c r="B41" s="8" t="s">
        <v>425</v>
      </c>
      <c r="C41" s="9" t="s">
        <v>315</v>
      </c>
      <c r="D41" s="9" t="s">
        <v>451</v>
      </c>
      <c r="E41" s="8" t="s">
        <v>440</v>
      </c>
      <c r="F41" s="9" t="s">
        <v>440</v>
      </c>
      <c r="G41" s="8" t="s">
        <v>440</v>
      </c>
      <c r="H41" s="8" t="s">
        <v>440</v>
      </c>
      <c r="I41" s="8" t="s">
        <v>440</v>
      </c>
      <c r="J41" s="8" t="s">
        <v>440</v>
      </c>
      <c r="K41" s="8" t="s">
        <v>440</v>
      </c>
      <c r="L41" s="8" t="s">
        <v>440</v>
      </c>
      <c r="M41" s="8" t="s">
        <v>440</v>
      </c>
      <c r="N41" s="8" t="s">
        <v>440</v>
      </c>
      <c r="O41" s="8" t="s">
        <v>440</v>
      </c>
      <c r="P41" s="8" t="s">
        <v>440</v>
      </c>
      <c r="Q41" s="8" t="s">
        <v>440</v>
      </c>
      <c r="R41" s="8" t="s">
        <v>440</v>
      </c>
      <c r="S41" s="8" t="s">
        <v>440</v>
      </c>
      <c r="T41" s="8" t="s">
        <v>440</v>
      </c>
      <c r="U41" s="8" t="s">
        <v>440</v>
      </c>
      <c r="V41" s="8" t="s">
        <v>440</v>
      </c>
      <c r="W41" s="8" t="s">
        <v>440</v>
      </c>
    </row>
    <row r="42" customFormat="false" ht="15" hidden="false" customHeight="true" outlineLevel="0" collapsed="false">
      <c r="A42" s="8" t="n">
        <v>38</v>
      </c>
      <c r="B42" s="8" t="s">
        <v>425</v>
      </c>
      <c r="C42" s="9" t="s">
        <v>286</v>
      </c>
      <c r="D42" s="9" t="s">
        <v>452</v>
      </c>
      <c r="E42" s="8" t="n">
        <v>1</v>
      </c>
      <c r="F42" s="9" t="s">
        <v>452</v>
      </c>
      <c r="G42" s="8" t="s">
        <v>440</v>
      </c>
      <c r="H42" s="8" t="s">
        <v>440</v>
      </c>
      <c r="I42" s="8" t="s">
        <v>440</v>
      </c>
      <c r="J42" s="8" t="s">
        <v>440</v>
      </c>
      <c r="K42" s="8" t="s">
        <v>440</v>
      </c>
      <c r="L42" s="8" t="s">
        <v>440</v>
      </c>
      <c r="M42" s="8" t="s">
        <v>440</v>
      </c>
      <c r="N42" s="8" t="s">
        <v>440</v>
      </c>
      <c r="O42" s="8" t="s">
        <v>440</v>
      </c>
      <c r="P42" s="8" t="s">
        <v>440</v>
      </c>
      <c r="Q42" s="8" t="s">
        <v>440</v>
      </c>
      <c r="R42" s="8" t="s">
        <v>440</v>
      </c>
      <c r="S42" s="8" t="n">
        <v>50</v>
      </c>
      <c r="T42" s="8" t="s">
        <v>440</v>
      </c>
      <c r="U42" s="8" t="s">
        <v>440</v>
      </c>
      <c r="V42" s="8" t="s">
        <v>440</v>
      </c>
      <c r="W42" s="8" t="s">
        <v>440</v>
      </c>
    </row>
    <row r="43" customFormat="false" ht="15" hidden="false" customHeight="true" outlineLevel="0" collapsed="false">
      <c r="A43" s="8" t="n">
        <v>39</v>
      </c>
      <c r="B43" s="8" t="s">
        <v>425</v>
      </c>
      <c r="C43" s="9" t="s">
        <v>388</v>
      </c>
      <c r="D43" s="9" t="s">
        <v>466</v>
      </c>
      <c r="E43" s="8" t="n">
        <v>0.86</v>
      </c>
      <c r="F43" s="9" t="s">
        <v>767</v>
      </c>
      <c r="G43" s="8" t="s">
        <v>440</v>
      </c>
      <c r="H43" s="8" t="s">
        <v>440</v>
      </c>
      <c r="I43" s="8" t="s">
        <v>440</v>
      </c>
      <c r="J43" s="8" t="s">
        <v>440</v>
      </c>
      <c r="K43" s="8" t="s">
        <v>440</v>
      </c>
      <c r="L43" s="8" t="s">
        <v>440</v>
      </c>
      <c r="M43" s="8" t="s">
        <v>440</v>
      </c>
      <c r="N43" s="8" t="s">
        <v>440</v>
      </c>
      <c r="O43" s="8" t="s">
        <v>440</v>
      </c>
      <c r="P43" s="8" t="s">
        <v>440</v>
      </c>
      <c r="Q43" s="8" t="s">
        <v>440</v>
      </c>
      <c r="R43" s="8" t="s">
        <v>440</v>
      </c>
      <c r="S43" s="8" t="s">
        <v>440</v>
      </c>
      <c r="T43" s="8" t="n">
        <v>2</v>
      </c>
      <c r="U43" s="8" t="s">
        <v>440</v>
      </c>
      <c r="V43" s="8" t="s">
        <v>440</v>
      </c>
      <c r="W43" s="8" t="s">
        <v>440</v>
      </c>
    </row>
    <row r="44" customFormat="false" ht="15" hidden="false" customHeight="true" outlineLevel="0" collapsed="false">
      <c r="A44" s="8" t="n">
        <v>40</v>
      </c>
      <c r="B44" s="8" t="s">
        <v>425</v>
      </c>
      <c r="C44" s="9" t="s">
        <v>315</v>
      </c>
      <c r="D44" s="9" t="s">
        <v>468</v>
      </c>
      <c r="E44" s="8" t="n">
        <v>1</v>
      </c>
      <c r="F44" s="9" t="s">
        <v>768</v>
      </c>
      <c r="G44" s="8" t="n">
        <v>96</v>
      </c>
      <c r="H44" s="8" t="n">
        <v>63</v>
      </c>
      <c r="I44" s="8" t="s">
        <v>440</v>
      </c>
      <c r="J44" s="8" t="n">
        <v>76</v>
      </c>
      <c r="K44" s="8" t="n">
        <v>57</v>
      </c>
      <c r="L44" s="8" t="s">
        <v>440</v>
      </c>
      <c r="M44" s="8" t="s">
        <v>440</v>
      </c>
      <c r="N44" s="8" t="s">
        <v>440</v>
      </c>
      <c r="O44" s="8" t="n">
        <v>24</v>
      </c>
      <c r="P44" s="8" t="n">
        <v>34</v>
      </c>
      <c r="Q44" s="8" t="s">
        <v>440</v>
      </c>
      <c r="R44" s="8" t="s">
        <v>440</v>
      </c>
      <c r="S44" s="8" t="s">
        <v>440</v>
      </c>
      <c r="T44" s="8" t="s">
        <v>440</v>
      </c>
      <c r="U44" s="8" t="s">
        <v>440</v>
      </c>
      <c r="V44" s="8" t="s">
        <v>440</v>
      </c>
      <c r="W44" s="8" t="s">
        <v>440</v>
      </c>
    </row>
    <row r="45" customFormat="false" ht="15" hidden="false" customHeight="true" outlineLevel="0" collapsed="false">
      <c r="A45" s="8" t="n">
        <v>41</v>
      </c>
      <c r="B45" s="8" t="s">
        <v>425</v>
      </c>
      <c r="C45" s="9" t="s">
        <v>333</v>
      </c>
      <c r="D45" s="9" t="s">
        <v>472</v>
      </c>
      <c r="E45" s="8" t="s">
        <v>440</v>
      </c>
      <c r="F45" s="9" t="s">
        <v>440</v>
      </c>
      <c r="G45" s="8" t="s">
        <v>440</v>
      </c>
      <c r="H45" s="8" t="s">
        <v>440</v>
      </c>
      <c r="I45" s="8" t="s">
        <v>440</v>
      </c>
      <c r="J45" s="8" t="s">
        <v>440</v>
      </c>
      <c r="K45" s="8" t="s">
        <v>440</v>
      </c>
      <c r="L45" s="8" t="s">
        <v>440</v>
      </c>
      <c r="M45" s="8" t="s">
        <v>440</v>
      </c>
      <c r="N45" s="8" t="s">
        <v>440</v>
      </c>
      <c r="O45" s="8" t="s">
        <v>440</v>
      </c>
      <c r="P45" s="8" t="s">
        <v>440</v>
      </c>
      <c r="Q45" s="8" t="s">
        <v>440</v>
      </c>
      <c r="R45" s="8" t="s">
        <v>440</v>
      </c>
      <c r="S45" s="8" t="s">
        <v>440</v>
      </c>
      <c r="T45" s="8" t="s">
        <v>440</v>
      </c>
      <c r="U45" s="8" t="s">
        <v>440</v>
      </c>
      <c r="V45" s="8" t="s">
        <v>440</v>
      </c>
      <c r="W45" s="8" t="s">
        <v>440</v>
      </c>
    </row>
    <row r="46" customFormat="false" ht="15" hidden="false" customHeight="true" outlineLevel="0" collapsed="false">
      <c r="A46" s="8" t="n">
        <v>42</v>
      </c>
      <c r="B46" s="8" t="s">
        <v>425</v>
      </c>
      <c r="C46" s="9" t="s">
        <v>333</v>
      </c>
      <c r="D46" s="9" t="s">
        <v>473</v>
      </c>
      <c r="E46" s="8" t="n">
        <v>1</v>
      </c>
      <c r="F46" s="9" t="s">
        <v>473</v>
      </c>
      <c r="G46" s="8" t="s">
        <v>440</v>
      </c>
      <c r="H46" s="8" t="s">
        <v>440</v>
      </c>
      <c r="I46" s="8" t="s">
        <v>440</v>
      </c>
      <c r="J46" s="8" t="s">
        <v>440</v>
      </c>
      <c r="K46" s="8" t="n">
        <v>71</v>
      </c>
      <c r="L46" s="8" t="s">
        <v>440</v>
      </c>
      <c r="M46" s="8" t="s">
        <v>440</v>
      </c>
      <c r="N46" s="8" t="s">
        <v>440</v>
      </c>
      <c r="O46" s="8" t="n">
        <v>20</v>
      </c>
      <c r="P46" s="8" t="s">
        <v>440</v>
      </c>
      <c r="Q46" s="8" t="s">
        <v>440</v>
      </c>
      <c r="R46" s="8" t="s">
        <v>440</v>
      </c>
      <c r="S46" s="8" t="s">
        <v>440</v>
      </c>
      <c r="T46" s="8" t="s">
        <v>440</v>
      </c>
      <c r="U46" s="8" t="s">
        <v>440</v>
      </c>
      <c r="V46" s="8" t="s">
        <v>440</v>
      </c>
      <c r="W46" s="8" t="s">
        <v>440</v>
      </c>
    </row>
    <row r="47" customFormat="false" ht="15" hidden="false" customHeight="true" outlineLevel="0" collapsed="false">
      <c r="A47" s="8" t="n">
        <v>43</v>
      </c>
      <c r="B47" s="8" t="s">
        <v>425</v>
      </c>
      <c r="C47" s="9" t="s">
        <v>333</v>
      </c>
      <c r="D47" s="9" t="s">
        <v>475</v>
      </c>
      <c r="E47" s="8" t="s">
        <v>440</v>
      </c>
      <c r="F47" s="9" t="s">
        <v>440</v>
      </c>
      <c r="G47" s="8" t="s">
        <v>440</v>
      </c>
      <c r="H47" s="8" t="s">
        <v>440</v>
      </c>
      <c r="I47" s="8" t="s">
        <v>440</v>
      </c>
      <c r="J47" s="8" t="s">
        <v>440</v>
      </c>
      <c r="K47" s="8" t="s">
        <v>440</v>
      </c>
      <c r="L47" s="8" t="s">
        <v>440</v>
      </c>
      <c r="M47" s="8" t="s">
        <v>440</v>
      </c>
      <c r="N47" s="8" t="s">
        <v>440</v>
      </c>
      <c r="O47" s="8" t="s">
        <v>440</v>
      </c>
      <c r="P47" s="8" t="s">
        <v>440</v>
      </c>
      <c r="Q47" s="8" t="s">
        <v>440</v>
      </c>
      <c r="R47" s="8" t="s">
        <v>440</v>
      </c>
      <c r="S47" s="8" t="s">
        <v>440</v>
      </c>
      <c r="T47" s="8" t="s">
        <v>440</v>
      </c>
      <c r="U47" s="8" t="s">
        <v>440</v>
      </c>
      <c r="V47" s="8" t="s">
        <v>440</v>
      </c>
      <c r="W47" s="8" t="s">
        <v>440</v>
      </c>
    </row>
    <row r="48" customFormat="false" ht="15" hidden="false" customHeight="true" outlineLevel="0" collapsed="false">
      <c r="A48" s="8" t="n">
        <v>44</v>
      </c>
      <c r="B48" s="8" t="s">
        <v>476</v>
      </c>
      <c r="C48" s="9" t="s">
        <v>286</v>
      </c>
      <c r="D48" s="9" t="s">
        <v>477</v>
      </c>
      <c r="E48" s="8" t="n">
        <v>0.74</v>
      </c>
      <c r="F48" s="9" t="s">
        <v>769</v>
      </c>
      <c r="G48" s="8" t="n">
        <v>79</v>
      </c>
      <c r="H48" s="8" t="n">
        <v>43</v>
      </c>
      <c r="I48" s="8" t="s">
        <v>440</v>
      </c>
      <c r="J48" s="8" t="s">
        <v>440</v>
      </c>
      <c r="K48" s="8" t="s">
        <v>440</v>
      </c>
      <c r="L48" s="8" t="s">
        <v>440</v>
      </c>
      <c r="M48" s="8" t="s">
        <v>440</v>
      </c>
      <c r="N48" s="8" t="s">
        <v>440</v>
      </c>
      <c r="O48" s="8" t="s">
        <v>440</v>
      </c>
      <c r="P48" s="8" t="s">
        <v>440</v>
      </c>
      <c r="Q48" s="8" t="s">
        <v>440</v>
      </c>
      <c r="R48" s="8" t="s">
        <v>440</v>
      </c>
      <c r="S48" s="8" t="n">
        <v>17</v>
      </c>
      <c r="T48" s="8" t="s">
        <v>440</v>
      </c>
      <c r="U48" s="8" t="s">
        <v>440</v>
      </c>
      <c r="V48" s="8" t="s">
        <v>440</v>
      </c>
      <c r="W48" s="8" t="s">
        <v>440</v>
      </c>
    </row>
    <row r="49" customFormat="false" ht="15" hidden="false" customHeight="true" outlineLevel="0" collapsed="false">
      <c r="A49" s="8" t="n">
        <v>45</v>
      </c>
      <c r="B49" s="8" t="s">
        <v>476</v>
      </c>
      <c r="C49" s="9" t="s">
        <v>286</v>
      </c>
      <c r="D49" s="9" t="s">
        <v>486</v>
      </c>
      <c r="E49" s="8" t="n">
        <v>0.82</v>
      </c>
      <c r="F49" s="9" t="s">
        <v>770</v>
      </c>
      <c r="G49" s="8" t="n">
        <v>42</v>
      </c>
      <c r="H49" s="8" t="n">
        <v>25</v>
      </c>
      <c r="I49" s="8" t="s">
        <v>440</v>
      </c>
      <c r="J49" s="8" t="s">
        <v>440</v>
      </c>
      <c r="K49" s="8" t="s">
        <v>440</v>
      </c>
      <c r="L49" s="8" t="s">
        <v>440</v>
      </c>
      <c r="M49" s="8" t="s">
        <v>440</v>
      </c>
      <c r="N49" s="8" t="s">
        <v>440</v>
      </c>
      <c r="O49" s="8" t="s">
        <v>440</v>
      </c>
      <c r="P49" s="8" t="s">
        <v>440</v>
      </c>
      <c r="Q49" s="8" t="s">
        <v>440</v>
      </c>
      <c r="R49" s="8" t="s">
        <v>440</v>
      </c>
      <c r="S49" s="8" t="n">
        <v>5</v>
      </c>
      <c r="T49" s="8" t="s">
        <v>440</v>
      </c>
      <c r="U49" s="8" t="s">
        <v>440</v>
      </c>
      <c r="V49" s="8" t="s">
        <v>440</v>
      </c>
      <c r="W49" s="8" t="s">
        <v>440</v>
      </c>
    </row>
    <row r="50" customFormat="false" ht="15" hidden="false" customHeight="true" outlineLevel="0" collapsed="false">
      <c r="A50" s="8" t="n">
        <v>46</v>
      </c>
      <c r="B50" s="8" t="s">
        <v>488</v>
      </c>
      <c r="C50" s="9" t="s">
        <v>286</v>
      </c>
      <c r="D50" s="9" t="s">
        <v>489</v>
      </c>
      <c r="E50" s="8" t="n">
        <v>1</v>
      </c>
      <c r="F50" s="9" t="s">
        <v>489</v>
      </c>
      <c r="G50" s="8" t="s">
        <v>440</v>
      </c>
      <c r="H50" s="8" t="s">
        <v>440</v>
      </c>
      <c r="I50" s="8" t="s">
        <v>440</v>
      </c>
      <c r="J50" s="8" t="s">
        <v>440</v>
      </c>
      <c r="K50" s="8" t="s">
        <v>440</v>
      </c>
      <c r="L50" s="8" t="s">
        <v>440</v>
      </c>
      <c r="M50" s="8" t="s">
        <v>440</v>
      </c>
      <c r="N50" s="8" t="s">
        <v>440</v>
      </c>
      <c r="O50" s="8" t="s">
        <v>440</v>
      </c>
      <c r="P50" s="8" t="s">
        <v>440</v>
      </c>
      <c r="Q50" s="8" t="s">
        <v>440</v>
      </c>
      <c r="R50" s="8" t="s">
        <v>440</v>
      </c>
      <c r="S50" s="8" t="n">
        <v>49</v>
      </c>
      <c r="T50" s="8" t="s">
        <v>440</v>
      </c>
      <c r="U50" s="8" t="s">
        <v>440</v>
      </c>
      <c r="V50" s="8" t="s">
        <v>440</v>
      </c>
      <c r="W50" s="8" t="s">
        <v>440</v>
      </c>
    </row>
    <row r="51" customFormat="false" ht="15" hidden="false" customHeight="true" outlineLevel="0" collapsed="false">
      <c r="A51" s="8" t="n">
        <v>47</v>
      </c>
      <c r="B51" s="8" t="s">
        <v>488</v>
      </c>
      <c r="C51" s="9" t="s">
        <v>333</v>
      </c>
      <c r="D51" s="9" t="s">
        <v>490</v>
      </c>
      <c r="E51" s="8" t="s">
        <v>440</v>
      </c>
      <c r="F51" s="9" t="s">
        <v>440</v>
      </c>
      <c r="G51" s="8" t="s">
        <v>440</v>
      </c>
      <c r="H51" s="8" t="s">
        <v>440</v>
      </c>
      <c r="I51" s="8" t="s">
        <v>440</v>
      </c>
      <c r="J51" s="8" t="s">
        <v>440</v>
      </c>
      <c r="K51" s="8" t="s">
        <v>440</v>
      </c>
      <c r="L51" s="8" t="s">
        <v>440</v>
      </c>
      <c r="M51" s="8" t="s">
        <v>440</v>
      </c>
      <c r="N51" s="8" t="s">
        <v>440</v>
      </c>
      <c r="O51" s="8" t="s">
        <v>440</v>
      </c>
      <c r="P51" s="8" t="s">
        <v>440</v>
      </c>
      <c r="Q51" s="8" t="s">
        <v>440</v>
      </c>
      <c r="R51" s="8" t="s">
        <v>440</v>
      </c>
      <c r="S51" s="8" t="s">
        <v>440</v>
      </c>
      <c r="T51" s="8" t="s">
        <v>440</v>
      </c>
      <c r="U51" s="8" t="s">
        <v>440</v>
      </c>
      <c r="V51" s="8" t="s">
        <v>440</v>
      </c>
      <c r="W51" s="8" t="s">
        <v>440</v>
      </c>
    </row>
    <row r="52" customFormat="false" ht="15" hidden="false" customHeight="true" outlineLevel="0" collapsed="false">
      <c r="A52" s="8" t="n">
        <v>48</v>
      </c>
      <c r="B52" s="8" t="s">
        <v>494</v>
      </c>
      <c r="C52" s="9" t="s">
        <v>315</v>
      </c>
      <c r="D52" s="9" t="s">
        <v>495</v>
      </c>
      <c r="E52" s="8" t="n">
        <v>0.76</v>
      </c>
      <c r="F52" s="9" t="s">
        <v>771</v>
      </c>
      <c r="G52" s="8" t="n">
        <v>71</v>
      </c>
      <c r="H52" s="8" t="n">
        <v>41</v>
      </c>
      <c r="I52" s="8" t="s">
        <v>440</v>
      </c>
      <c r="J52" s="8" t="s">
        <v>440</v>
      </c>
      <c r="K52" s="8" t="s">
        <v>440</v>
      </c>
      <c r="L52" s="8" t="s">
        <v>440</v>
      </c>
      <c r="M52" s="8" t="n">
        <v>12</v>
      </c>
      <c r="N52" s="8" t="n">
        <v>4</v>
      </c>
      <c r="O52" s="8" t="s">
        <v>440</v>
      </c>
      <c r="P52" s="8" t="s">
        <v>440</v>
      </c>
      <c r="Q52" s="8" t="s">
        <v>440</v>
      </c>
      <c r="R52" s="8" t="s">
        <v>440</v>
      </c>
      <c r="S52" s="8" t="s">
        <v>440</v>
      </c>
      <c r="T52" s="8" t="s">
        <v>440</v>
      </c>
      <c r="U52" s="8" t="s">
        <v>440</v>
      </c>
      <c r="V52" s="8" t="s">
        <v>440</v>
      </c>
      <c r="W52" s="8" t="s">
        <v>440</v>
      </c>
    </row>
    <row r="53" customFormat="false" ht="23.25" hidden="false" customHeight="true" outlineLevel="0" collapsed="false">
      <c r="A53" s="8" t="n">
        <v>49</v>
      </c>
      <c r="B53" s="8" t="s">
        <v>494</v>
      </c>
      <c r="C53" s="9" t="s">
        <v>315</v>
      </c>
      <c r="D53" s="9" t="s">
        <v>496</v>
      </c>
      <c r="E53" s="8" t="n">
        <v>0.81</v>
      </c>
      <c r="F53" s="9" t="s">
        <v>772</v>
      </c>
      <c r="G53" s="8" t="s">
        <v>440</v>
      </c>
      <c r="H53" s="8" t="n">
        <v>91</v>
      </c>
      <c r="I53" s="8" t="s">
        <v>440</v>
      </c>
      <c r="J53" s="8" t="s">
        <v>440</v>
      </c>
      <c r="K53" s="8" t="s">
        <v>440</v>
      </c>
      <c r="L53" s="8" t="s">
        <v>440</v>
      </c>
      <c r="M53" s="8" t="s">
        <v>440</v>
      </c>
      <c r="N53" s="8" t="s">
        <v>440</v>
      </c>
      <c r="O53" s="8" t="s">
        <v>440</v>
      </c>
      <c r="P53" s="8" t="s">
        <v>440</v>
      </c>
      <c r="Q53" s="8" t="s">
        <v>440</v>
      </c>
      <c r="R53" s="8" t="s">
        <v>440</v>
      </c>
      <c r="S53" s="8" t="s">
        <v>440</v>
      </c>
      <c r="T53" s="8" t="s">
        <v>440</v>
      </c>
      <c r="U53" s="8" t="s">
        <v>440</v>
      </c>
      <c r="V53" s="8" t="s">
        <v>440</v>
      </c>
      <c r="W53" s="8" t="s">
        <v>440</v>
      </c>
    </row>
    <row r="54" customFormat="false" ht="15" hidden="false" customHeight="true" outlineLevel="0" collapsed="false">
      <c r="A54" s="8" t="n">
        <v>50</v>
      </c>
      <c r="B54" s="8" t="s">
        <v>494</v>
      </c>
      <c r="C54" s="9" t="s">
        <v>315</v>
      </c>
      <c r="D54" s="9" t="s">
        <v>497</v>
      </c>
      <c r="E54" s="8" t="n">
        <v>0.89</v>
      </c>
      <c r="F54" s="9" t="s">
        <v>497</v>
      </c>
      <c r="G54" s="8" t="n">
        <v>40</v>
      </c>
      <c r="H54" s="8" t="n">
        <v>24</v>
      </c>
      <c r="I54" s="8" t="s">
        <v>440</v>
      </c>
      <c r="J54" s="8" t="n">
        <v>46</v>
      </c>
      <c r="K54" s="15" t="n">
        <v>11</v>
      </c>
      <c r="L54" s="8" t="s">
        <v>440</v>
      </c>
      <c r="M54" s="8" t="s">
        <v>440</v>
      </c>
      <c r="N54" s="8" t="s">
        <v>440</v>
      </c>
      <c r="O54" s="15" t="n">
        <v>7</v>
      </c>
      <c r="P54" s="8" t="s">
        <v>440</v>
      </c>
      <c r="Q54" s="8" t="s">
        <v>440</v>
      </c>
      <c r="R54" s="8" t="s">
        <v>440</v>
      </c>
      <c r="S54" s="8" t="s">
        <v>440</v>
      </c>
      <c r="T54" s="8" t="s">
        <v>440</v>
      </c>
      <c r="U54" s="8" t="s">
        <v>440</v>
      </c>
      <c r="V54" s="8" t="s">
        <v>440</v>
      </c>
      <c r="W54" s="8" t="s">
        <v>440</v>
      </c>
    </row>
    <row r="55" customFormat="false" ht="15" hidden="false" customHeight="true" outlineLevel="0" collapsed="false">
      <c r="A55" s="8" t="n">
        <v>51</v>
      </c>
      <c r="B55" s="8" t="s">
        <v>494</v>
      </c>
      <c r="C55" s="9" t="s">
        <v>315</v>
      </c>
      <c r="D55" s="9" t="s">
        <v>507</v>
      </c>
      <c r="E55" s="8" t="n">
        <v>0.87</v>
      </c>
      <c r="F55" s="9" t="s">
        <v>507</v>
      </c>
      <c r="G55" s="8" t="s">
        <v>440</v>
      </c>
      <c r="H55" s="8" t="n">
        <v>59</v>
      </c>
      <c r="I55" s="8" t="s">
        <v>440</v>
      </c>
      <c r="J55" s="8" t="s">
        <v>440</v>
      </c>
      <c r="K55" s="8" t="s">
        <v>440</v>
      </c>
      <c r="L55" s="8" t="s">
        <v>440</v>
      </c>
      <c r="M55" s="8" t="s">
        <v>440</v>
      </c>
      <c r="N55" s="8" t="s">
        <v>440</v>
      </c>
      <c r="O55" s="8" t="s">
        <v>440</v>
      </c>
      <c r="P55" s="8" t="s">
        <v>440</v>
      </c>
      <c r="Q55" s="8" t="s">
        <v>440</v>
      </c>
      <c r="R55" s="8" t="s">
        <v>440</v>
      </c>
      <c r="S55" s="8" t="s">
        <v>440</v>
      </c>
      <c r="T55" s="8" t="s">
        <v>440</v>
      </c>
      <c r="U55" s="8" t="s">
        <v>440</v>
      </c>
      <c r="V55" s="8" t="s">
        <v>440</v>
      </c>
      <c r="W55" s="8" t="s">
        <v>440</v>
      </c>
    </row>
    <row r="56" customFormat="false" ht="23.25" hidden="false" customHeight="true" outlineLevel="0" collapsed="false">
      <c r="A56" s="8" t="n">
        <v>52</v>
      </c>
      <c r="B56" s="8" t="s">
        <v>494</v>
      </c>
      <c r="C56" s="9" t="s">
        <v>315</v>
      </c>
      <c r="D56" s="9" t="s">
        <v>508</v>
      </c>
      <c r="E56" s="8" t="n">
        <v>1</v>
      </c>
      <c r="F56" s="9" t="s">
        <v>508</v>
      </c>
      <c r="G56" s="8" t="n">
        <v>84</v>
      </c>
      <c r="H56" s="8" t="n">
        <v>49</v>
      </c>
      <c r="I56" s="8" t="s">
        <v>440</v>
      </c>
      <c r="J56" s="8" t="s">
        <v>440</v>
      </c>
      <c r="K56" s="8" t="s">
        <v>440</v>
      </c>
      <c r="L56" s="8" t="s">
        <v>440</v>
      </c>
      <c r="M56" s="8" t="n">
        <v>20</v>
      </c>
      <c r="N56" s="8" t="n">
        <v>36</v>
      </c>
      <c r="O56" s="8" t="s">
        <v>440</v>
      </c>
      <c r="P56" s="8" t="s">
        <v>440</v>
      </c>
      <c r="Q56" s="8" t="s">
        <v>440</v>
      </c>
      <c r="R56" s="8" t="s">
        <v>440</v>
      </c>
      <c r="S56" s="8" t="s">
        <v>440</v>
      </c>
      <c r="T56" s="8" t="s">
        <v>440</v>
      </c>
      <c r="U56" s="8" t="s">
        <v>440</v>
      </c>
      <c r="V56" s="8" t="s">
        <v>440</v>
      </c>
      <c r="W56" s="8" t="s">
        <v>440</v>
      </c>
    </row>
    <row r="57" customFormat="false" ht="15" hidden="false" customHeight="true" outlineLevel="0" collapsed="false">
      <c r="A57" s="8" t="n">
        <v>53</v>
      </c>
      <c r="B57" s="8" t="s">
        <v>494</v>
      </c>
      <c r="C57" s="9" t="s">
        <v>286</v>
      </c>
      <c r="D57" s="9" t="s">
        <v>509</v>
      </c>
      <c r="E57" s="8" t="n">
        <v>0.82</v>
      </c>
      <c r="F57" s="9" t="s">
        <v>773</v>
      </c>
      <c r="G57" s="8" t="n">
        <v>92</v>
      </c>
      <c r="H57" s="8" t="n">
        <v>54</v>
      </c>
      <c r="I57" s="8" t="s">
        <v>440</v>
      </c>
      <c r="J57" s="8" t="s">
        <v>440</v>
      </c>
      <c r="K57" s="8" t="s">
        <v>440</v>
      </c>
      <c r="L57" s="8" t="s">
        <v>440</v>
      </c>
      <c r="M57" s="8" t="s">
        <v>440</v>
      </c>
      <c r="N57" s="8" t="s">
        <v>440</v>
      </c>
      <c r="O57" s="8" t="s">
        <v>440</v>
      </c>
      <c r="P57" s="8" t="s">
        <v>440</v>
      </c>
      <c r="Q57" s="8" t="s">
        <v>440</v>
      </c>
      <c r="R57" s="8" t="s">
        <v>440</v>
      </c>
      <c r="S57" s="8" t="n">
        <v>12</v>
      </c>
      <c r="T57" s="8" t="s">
        <v>440</v>
      </c>
      <c r="U57" s="8" t="s">
        <v>440</v>
      </c>
      <c r="V57" s="8" t="s">
        <v>440</v>
      </c>
      <c r="W57" s="8" t="s">
        <v>440</v>
      </c>
    </row>
    <row r="58" customFormat="false" ht="23.25" hidden="false" customHeight="true" outlineLevel="0" collapsed="false">
      <c r="A58" s="8" t="n">
        <v>54</v>
      </c>
      <c r="B58" s="8" t="s">
        <v>494</v>
      </c>
      <c r="C58" s="9" t="s">
        <v>315</v>
      </c>
      <c r="D58" s="9" t="s">
        <v>510</v>
      </c>
      <c r="E58" s="8" t="n">
        <v>0.76</v>
      </c>
      <c r="F58" s="9" t="s">
        <v>774</v>
      </c>
      <c r="G58" s="8" t="n">
        <v>95</v>
      </c>
      <c r="H58" s="8" t="n">
        <v>52</v>
      </c>
      <c r="I58" s="8" t="s">
        <v>440</v>
      </c>
      <c r="J58" s="8" t="s">
        <v>440</v>
      </c>
      <c r="K58" s="8" t="n">
        <v>24</v>
      </c>
      <c r="L58" s="8" t="n">
        <v>11</v>
      </c>
      <c r="M58" s="8" t="s">
        <v>440</v>
      </c>
      <c r="N58" s="8" t="s">
        <v>440</v>
      </c>
      <c r="O58" s="8" t="s">
        <v>440</v>
      </c>
      <c r="P58" s="8" t="s">
        <v>440</v>
      </c>
      <c r="Q58" s="8" t="s">
        <v>440</v>
      </c>
      <c r="R58" s="8" t="s">
        <v>440</v>
      </c>
      <c r="S58" s="8" t="s">
        <v>440</v>
      </c>
      <c r="T58" s="8" t="s">
        <v>440</v>
      </c>
      <c r="U58" s="8" t="s">
        <v>440</v>
      </c>
      <c r="V58" s="8" t="s">
        <v>440</v>
      </c>
      <c r="W58" s="8" t="s">
        <v>440</v>
      </c>
    </row>
    <row r="59" customFormat="false" ht="15" hidden="false" customHeight="true" outlineLevel="0" collapsed="false">
      <c r="A59" s="8" t="n">
        <v>55</v>
      </c>
      <c r="B59" s="8" t="s">
        <v>494</v>
      </c>
      <c r="C59" s="9" t="s">
        <v>286</v>
      </c>
      <c r="D59" s="9" t="s">
        <v>514</v>
      </c>
      <c r="E59" s="8" t="n">
        <v>1</v>
      </c>
      <c r="F59" s="9" t="s">
        <v>514</v>
      </c>
      <c r="G59" s="8" t="s">
        <v>440</v>
      </c>
      <c r="H59" s="8" t="s">
        <v>440</v>
      </c>
      <c r="I59" s="8" t="s">
        <v>440</v>
      </c>
      <c r="J59" s="8" t="s">
        <v>440</v>
      </c>
      <c r="K59" s="8" t="s">
        <v>440</v>
      </c>
      <c r="L59" s="8" t="s">
        <v>440</v>
      </c>
      <c r="M59" s="8" t="s">
        <v>440</v>
      </c>
      <c r="N59" s="8" t="s">
        <v>440</v>
      </c>
      <c r="O59" s="8" t="s">
        <v>440</v>
      </c>
      <c r="P59" s="8" t="s">
        <v>440</v>
      </c>
      <c r="Q59" s="8" t="s">
        <v>440</v>
      </c>
      <c r="R59" s="8" t="s">
        <v>440</v>
      </c>
      <c r="S59" s="8" t="n">
        <v>45</v>
      </c>
      <c r="T59" s="8" t="s">
        <v>440</v>
      </c>
      <c r="U59" s="8" t="s">
        <v>440</v>
      </c>
      <c r="V59" s="8" t="s">
        <v>440</v>
      </c>
      <c r="W59" s="8" t="s">
        <v>440</v>
      </c>
    </row>
    <row r="60" customFormat="false" ht="15" hidden="false" customHeight="true" outlineLevel="0" collapsed="false">
      <c r="A60" s="8" t="n">
        <v>56</v>
      </c>
      <c r="B60" s="8" t="s">
        <v>494</v>
      </c>
      <c r="C60" s="9" t="s">
        <v>286</v>
      </c>
      <c r="D60" s="9" t="s">
        <v>515</v>
      </c>
      <c r="E60" s="8" t="n">
        <v>1</v>
      </c>
      <c r="F60" s="9" t="s">
        <v>515</v>
      </c>
      <c r="G60" s="8" t="n">
        <v>91</v>
      </c>
      <c r="H60" s="8" t="n">
        <v>56</v>
      </c>
      <c r="I60" s="8" t="s">
        <v>440</v>
      </c>
      <c r="J60" s="8" t="s">
        <v>440</v>
      </c>
      <c r="K60" s="8" t="s">
        <v>440</v>
      </c>
      <c r="L60" s="8" t="s">
        <v>440</v>
      </c>
      <c r="M60" s="8" t="s">
        <v>440</v>
      </c>
      <c r="N60" s="8" t="s">
        <v>440</v>
      </c>
      <c r="O60" s="8" t="s">
        <v>440</v>
      </c>
      <c r="P60" s="8" t="s">
        <v>440</v>
      </c>
      <c r="Q60" s="8" t="s">
        <v>440</v>
      </c>
      <c r="R60" s="8" t="s">
        <v>440</v>
      </c>
      <c r="S60" s="8" t="n">
        <v>11</v>
      </c>
      <c r="T60" s="8" t="s">
        <v>440</v>
      </c>
      <c r="U60" s="8" t="s">
        <v>440</v>
      </c>
      <c r="V60" s="8" t="s">
        <v>440</v>
      </c>
      <c r="W60" s="8" t="s">
        <v>440</v>
      </c>
    </row>
    <row r="61" customFormat="false" ht="15" hidden="false" customHeight="true" outlineLevel="0" collapsed="false">
      <c r="A61" s="8" t="n">
        <v>57</v>
      </c>
      <c r="B61" s="8" t="s">
        <v>516</v>
      </c>
      <c r="C61" s="9" t="s">
        <v>338</v>
      </c>
      <c r="D61" s="9" t="s">
        <v>517</v>
      </c>
      <c r="E61" s="8" t="n">
        <v>1</v>
      </c>
      <c r="F61" s="9" t="s">
        <v>517</v>
      </c>
      <c r="G61" s="8" t="s">
        <v>440</v>
      </c>
      <c r="H61" s="8" t="n">
        <v>82</v>
      </c>
      <c r="I61" s="8" t="s">
        <v>440</v>
      </c>
      <c r="J61" s="8" t="s">
        <v>440</v>
      </c>
      <c r="K61" s="8" t="s">
        <v>440</v>
      </c>
      <c r="L61" s="8" t="s">
        <v>440</v>
      </c>
      <c r="M61" s="8" t="s">
        <v>440</v>
      </c>
      <c r="N61" s="8" t="s">
        <v>440</v>
      </c>
      <c r="O61" s="8" t="s">
        <v>440</v>
      </c>
      <c r="P61" s="8" t="s">
        <v>440</v>
      </c>
      <c r="Q61" s="8" t="s">
        <v>440</v>
      </c>
      <c r="R61" s="8" t="s">
        <v>440</v>
      </c>
      <c r="S61" s="8" t="s">
        <v>440</v>
      </c>
      <c r="T61" s="8" t="s">
        <v>440</v>
      </c>
      <c r="U61" s="8" t="s">
        <v>440</v>
      </c>
      <c r="V61" s="8" t="s">
        <v>440</v>
      </c>
      <c r="W61" s="8" t="s">
        <v>440</v>
      </c>
    </row>
    <row r="62" customFormat="false" ht="15" hidden="false" customHeight="true" outlineLevel="0" collapsed="false">
      <c r="A62" s="8" t="n">
        <v>58</v>
      </c>
      <c r="B62" s="8" t="s">
        <v>522</v>
      </c>
      <c r="C62" s="9" t="s">
        <v>315</v>
      </c>
      <c r="D62" s="9" t="s">
        <v>523</v>
      </c>
      <c r="E62" s="8" t="n">
        <v>1</v>
      </c>
      <c r="F62" s="9" t="s">
        <v>523</v>
      </c>
      <c r="G62" s="8" t="n">
        <v>27</v>
      </c>
      <c r="H62" s="8" t="n">
        <v>17</v>
      </c>
      <c r="I62" s="8" t="n">
        <v>43</v>
      </c>
      <c r="J62" s="8" t="n">
        <v>36</v>
      </c>
      <c r="K62" s="8" t="n">
        <v>68</v>
      </c>
      <c r="L62" s="8" t="s">
        <v>440</v>
      </c>
      <c r="M62" s="8" t="n">
        <v>24</v>
      </c>
      <c r="N62" s="8" t="n">
        <v>26</v>
      </c>
      <c r="O62" s="8" t="n">
        <v>14</v>
      </c>
      <c r="P62" s="8" t="s">
        <v>440</v>
      </c>
      <c r="Q62" s="8" t="s">
        <v>440</v>
      </c>
      <c r="R62" s="8" t="s">
        <v>440</v>
      </c>
      <c r="S62" s="8" t="s">
        <v>440</v>
      </c>
      <c r="T62" s="8" t="s">
        <v>440</v>
      </c>
      <c r="U62" s="8" t="s">
        <v>440</v>
      </c>
      <c r="V62" s="8" t="s">
        <v>440</v>
      </c>
      <c r="W62" s="8" t="s">
        <v>440</v>
      </c>
    </row>
    <row r="63" customFormat="false" ht="23.25" hidden="false" customHeight="true" outlineLevel="0" collapsed="false">
      <c r="A63" s="8" t="n">
        <v>59</v>
      </c>
      <c r="B63" s="8" t="s">
        <v>522</v>
      </c>
      <c r="C63" s="9" t="s">
        <v>333</v>
      </c>
      <c r="D63" s="9" t="s">
        <v>528</v>
      </c>
      <c r="E63" s="8" t="s">
        <v>440</v>
      </c>
      <c r="F63" s="9" t="s">
        <v>440</v>
      </c>
      <c r="G63" s="8" t="s">
        <v>440</v>
      </c>
      <c r="H63" s="8" t="s">
        <v>440</v>
      </c>
      <c r="I63" s="8" t="s">
        <v>440</v>
      </c>
      <c r="J63" s="8" t="s">
        <v>440</v>
      </c>
      <c r="K63" s="8" t="s">
        <v>440</v>
      </c>
      <c r="L63" s="8" t="s">
        <v>440</v>
      </c>
      <c r="M63" s="8" t="s">
        <v>440</v>
      </c>
      <c r="N63" s="8" t="s">
        <v>440</v>
      </c>
      <c r="O63" s="8" t="s">
        <v>440</v>
      </c>
      <c r="P63" s="8" t="s">
        <v>440</v>
      </c>
      <c r="Q63" s="8" t="s">
        <v>440</v>
      </c>
      <c r="R63" s="8" t="s">
        <v>440</v>
      </c>
      <c r="S63" s="8" t="s">
        <v>440</v>
      </c>
      <c r="T63" s="8" t="s">
        <v>440</v>
      </c>
      <c r="U63" s="8" t="s">
        <v>440</v>
      </c>
      <c r="V63" s="8" t="s">
        <v>440</v>
      </c>
      <c r="W63" s="8" t="s">
        <v>440</v>
      </c>
    </row>
    <row r="64" customFormat="false" ht="15" hidden="false" customHeight="true" outlineLevel="0" collapsed="false">
      <c r="A64" s="8" t="n">
        <v>60</v>
      </c>
      <c r="B64" s="8" t="s">
        <v>530</v>
      </c>
      <c r="C64" s="9" t="s">
        <v>333</v>
      </c>
      <c r="D64" s="9" t="s">
        <v>531</v>
      </c>
      <c r="E64" s="8" t="n">
        <v>1</v>
      </c>
      <c r="F64" s="9" t="s">
        <v>531</v>
      </c>
      <c r="G64" s="8" t="n">
        <v>32</v>
      </c>
      <c r="H64" s="8" t="n">
        <v>19</v>
      </c>
      <c r="I64" s="8" t="n">
        <v>34</v>
      </c>
      <c r="J64" s="8" t="n">
        <v>31</v>
      </c>
      <c r="K64" s="8" t="n">
        <v>32</v>
      </c>
      <c r="L64" s="8" t="n">
        <v>15</v>
      </c>
      <c r="M64" s="8" t="s">
        <v>440</v>
      </c>
      <c r="N64" s="8" t="s">
        <v>440</v>
      </c>
      <c r="O64" s="8" t="s">
        <v>440</v>
      </c>
      <c r="P64" s="8" t="n">
        <v>14</v>
      </c>
      <c r="Q64" s="8" t="s">
        <v>440</v>
      </c>
      <c r="R64" s="8" t="s">
        <v>440</v>
      </c>
      <c r="S64" s="8" t="s">
        <v>440</v>
      </c>
      <c r="T64" s="8" t="s">
        <v>440</v>
      </c>
      <c r="U64" s="8" t="s">
        <v>440</v>
      </c>
      <c r="V64" s="8" t="s">
        <v>440</v>
      </c>
      <c r="W64" s="8" t="s">
        <v>440</v>
      </c>
    </row>
    <row r="65" customFormat="false" ht="15" hidden="false" customHeight="true" outlineLevel="0" collapsed="false">
      <c r="A65" s="8" t="n">
        <v>61</v>
      </c>
      <c r="B65" s="8" t="s">
        <v>530</v>
      </c>
      <c r="C65" s="9" t="s">
        <v>333</v>
      </c>
      <c r="D65" s="9" t="s">
        <v>532</v>
      </c>
      <c r="E65" s="8" t="n">
        <v>1</v>
      </c>
      <c r="F65" s="9" t="s">
        <v>532</v>
      </c>
      <c r="G65" s="8" t="s">
        <v>440</v>
      </c>
      <c r="H65" s="8" t="n">
        <v>78</v>
      </c>
      <c r="I65" s="8" t="s">
        <v>440</v>
      </c>
      <c r="J65" s="8" t="n">
        <v>89</v>
      </c>
      <c r="K65" s="8" t="n">
        <v>78</v>
      </c>
      <c r="L65" s="8" t="n">
        <v>16</v>
      </c>
      <c r="M65" s="8" t="s">
        <v>440</v>
      </c>
      <c r="N65" s="8" t="s">
        <v>440</v>
      </c>
      <c r="O65" s="8" t="s">
        <v>440</v>
      </c>
      <c r="P65" s="8" t="n">
        <v>38</v>
      </c>
      <c r="Q65" s="8" t="s">
        <v>440</v>
      </c>
      <c r="R65" s="8" t="s">
        <v>440</v>
      </c>
      <c r="S65" s="8" t="s">
        <v>440</v>
      </c>
      <c r="T65" s="8" t="s">
        <v>440</v>
      </c>
      <c r="U65" s="8" t="s">
        <v>440</v>
      </c>
      <c r="V65" s="8" t="s">
        <v>440</v>
      </c>
      <c r="W65" s="8" t="s">
        <v>440</v>
      </c>
    </row>
    <row r="66" customFormat="false" ht="15" hidden="false" customHeight="true" outlineLevel="0" collapsed="false">
      <c r="A66" s="8" t="n">
        <v>62</v>
      </c>
      <c r="B66" s="8" t="s">
        <v>530</v>
      </c>
      <c r="C66" s="9" t="s">
        <v>333</v>
      </c>
      <c r="D66" s="9" t="s">
        <v>533</v>
      </c>
      <c r="E66" s="8" t="n">
        <v>1</v>
      </c>
      <c r="F66" s="9" t="s">
        <v>533</v>
      </c>
      <c r="G66" s="8" t="n">
        <v>49</v>
      </c>
      <c r="H66" s="8" t="n">
        <v>31</v>
      </c>
      <c r="I66" s="8" t="n">
        <v>40</v>
      </c>
      <c r="J66" s="8" t="n">
        <v>48</v>
      </c>
      <c r="K66" s="8" t="n">
        <v>44</v>
      </c>
      <c r="L66" s="8" t="n">
        <v>13</v>
      </c>
      <c r="M66" s="8" t="s">
        <v>440</v>
      </c>
      <c r="N66" s="8" t="s">
        <v>440</v>
      </c>
      <c r="O66" s="8" t="n">
        <v>26</v>
      </c>
      <c r="P66" s="8" t="n">
        <v>24</v>
      </c>
      <c r="Q66" s="8" t="n">
        <v>17</v>
      </c>
      <c r="R66" s="8" t="s">
        <v>440</v>
      </c>
      <c r="S66" s="8" t="s">
        <v>440</v>
      </c>
      <c r="T66" s="8" t="s">
        <v>440</v>
      </c>
      <c r="U66" s="8" t="s">
        <v>440</v>
      </c>
      <c r="V66" s="8" t="s">
        <v>440</v>
      </c>
      <c r="W66" s="8" t="s">
        <v>440</v>
      </c>
    </row>
    <row r="67" customFormat="false" ht="15" hidden="false" customHeight="true" outlineLevel="0" collapsed="false">
      <c r="A67" s="8" t="n">
        <v>63</v>
      </c>
      <c r="B67" s="8" t="s">
        <v>530</v>
      </c>
      <c r="C67" s="9" t="s">
        <v>286</v>
      </c>
      <c r="D67" s="9" t="s">
        <v>535</v>
      </c>
      <c r="E67" s="8" t="s">
        <v>440</v>
      </c>
      <c r="F67" s="9" t="s">
        <v>440</v>
      </c>
      <c r="G67" s="8" t="s">
        <v>440</v>
      </c>
      <c r="H67" s="8" t="s">
        <v>440</v>
      </c>
      <c r="I67" s="8" t="s">
        <v>440</v>
      </c>
      <c r="J67" s="8" t="s">
        <v>440</v>
      </c>
      <c r="K67" s="8" t="s">
        <v>440</v>
      </c>
      <c r="L67" s="8" t="s">
        <v>440</v>
      </c>
      <c r="M67" s="8" t="s">
        <v>440</v>
      </c>
      <c r="N67" s="8" t="s">
        <v>440</v>
      </c>
      <c r="O67" s="8" t="s">
        <v>440</v>
      </c>
      <c r="P67" s="8" t="s">
        <v>440</v>
      </c>
      <c r="Q67" s="8" t="s">
        <v>440</v>
      </c>
      <c r="R67" s="8" t="s">
        <v>440</v>
      </c>
      <c r="S67" s="8" t="s">
        <v>440</v>
      </c>
      <c r="T67" s="8" t="s">
        <v>440</v>
      </c>
      <c r="U67" s="8" t="s">
        <v>440</v>
      </c>
      <c r="V67" s="8" t="s">
        <v>440</v>
      </c>
      <c r="W67" s="8" t="s">
        <v>440</v>
      </c>
    </row>
    <row r="68" customFormat="false" ht="15" hidden="false" customHeight="true" outlineLevel="0" collapsed="false">
      <c r="A68" s="8" t="n">
        <v>64</v>
      </c>
      <c r="B68" s="8" t="s">
        <v>530</v>
      </c>
      <c r="C68" s="9" t="s">
        <v>333</v>
      </c>
      <c r="D68" s="9" t="s">
        <v>537</v>
      </c>
      <c r="E68" s="8" t="s">
        <v>440</v>
      </c>
      <c r="F68" s="9" t="s">
        <v>440</v>
      </c>
      <c r="G68" s="8" t="s">
        <v>440</v>
      </c>
      <c r="H68" s="8" t="s">
        <v>440</v>
      </c>
      <c r="I68" s="8" t="s">
        <v>440</v>
      </c>
      <c r="J68" s="8" t="s">
        <v>440</v>
      </c>
      <c r="K68" s="8" t="s">
        <v>440</v>
      </c>
      <c r="L68" s="8" t="s">
        <v>440</v>
      </c>
      <c r="M68" s="8" t="s">
        <v>440</v>
      </c>
      <c r="N68" s="8" t="s">
        <v>440</v>
      </c>
      <c r="O68" s="8" t="s">
        <v>440</v>
      </c>
      <c r="P68" s="8" t="s">
        <v>440</v>
      </c>
      <c r="Q68" s="8" t="s">
        <v>440</v>
      </c>
      <c r="R68" s="8" t="s">
        <v>440</v>
      </c>
      <c r="S68" s="8" t="s">
        <v>440</v>
      </c>
      <c r="T68" s="8" t="s">
        <v>440</v>
      </c>
      <c r="U68" s="8" t="s">
        <v>440</v>
      </c>
      <c r="V68" s="8" t="s">
        <v>440</v>
      </c>
      <c r="W68" s="8" t="s">
        <v>440</v>
      </c>
    </row>
    <row r="69" customFormat="false" ht="15" hidden="false" customHeight="true" outlineLevel="0" collapsed="false">
      <c r="A69" s="8" t="n">
        <v>65</v>
      </c>
      <c r="B69" s="8" t="s">
        <v>530</v>
      </c>
      <c r="C69" s="9" t="s">
        <v>333</v>
      </c>
      <c r="D69" s="9" t="s">
        <v>541</v>
      </c>
      <c r="E69" s="8" t="s">
        <v>440</v>
      </c>
      <c r="F69" s="9" t="s">
        <v>440</v>
      </c>
      <c r="G69" s="8" t="s">
        <v>440</v>
      </c>
      <c r="H69" s="8" t="s">
        <v>440</v>
      </c>
      <c r="I69" s="8" t="s">
        <v>440</v>
      </c>
      <c r="J69" s="8" t="s">
        <v>440</v>
      </c>
      <c r="K69" s="8" t="s">
        <v>440</v>
      </c>
      <c r="L69" s="8" t="s">
        <v>440</v>
      </c>
      <c r="M69" s="8" t="s">
        <v>440</v>
      </c>
      <c r="N69" s="8" t="s">
        <v>440</v>
      </c>
      <c r="O69" s="8" t="s">
        <v>440</v>
      </c>
      <c r="P69" s="8" t="s">
        <v>440</v>
      </c>
      <c r="Q69" s="8" t="s">
        <v>440</v>
      </c>
      <c r="R69" s="8" t="s">
        <v>440</v>
      </c>
      <c r="S69" s="8" t="s">
        <v>440</v>
      </c>
      <c r="T69" s="8" t="s">
        <v>440</v>
      </c>
      <c r="U69" s="8" t="s">
        <v>440</v>
      </c>
      <c r="V69" s="8" t="s">
        <v>440</v>
      </c>
      <c r="W69" s="8" t="s">
        <v>440</v>
      </c>
    </row>
    <row r="70" customFormat="false" ht="15" hidden="false" customHeight="true" outlineLevel="0" collapsed="false">
      <c r="A70" s="8" t="n">
        <v>66</v>
      </c>
      <c r="B70" s="8" t="s">
        <v>543</v>
      </c>
      <c r="C70" s="9" t="s">
        <v>333</v>
      </c>
      <c r="D70" s="9" t="s">
        <v>544</v>
      </c>
      <c r="E70" s="8" t="n">
        <v>1</v>
      </c>
      <c r="F70" s="9" t="s">
        <v>775</v>
      </c>
      <c r="G70" s="8" t="n">
        <v>98</v>
      </c>
      <c r="H70" s="8" t="n">
        <v>58</v>
      </c>
      <c r="I70" s="8" t="s">
        <v>440</v>
      </c>
      <c r="J70" s="8" t="n">
        <v>58</v>
      </c>
      <c r="K70" s="8" t="n">
        <v>81</v>
      </c>
      <c r="L70" s="8" t="s">
        <v>440</v>
      </c>
      <c r="M70" s="8" t="s">
        <v>440</v>
      </c>
      <c r="N70" s="8" t="s">
        <v>440</v>
      </c>
      <c r="O70" s="8" t="n">
        <v>32</v>
      </c>
      <c r="P70" s="8" t="n">
        <v>21</v>
      </c>
      <c r="Q70" s="8" t="s">
        <v>440</v>
      </c>
      <c r="R70" s="8" t="s">
        <v>440</v>
      </c>
      <c r="S70" s="8" t="s">
        <v>440</v>
      </c>
      <c r="T70" s="8" t="s">
        <v>440</v>
      </c>
      <c r="U70" s="8" t="s">
        <v>440</v>
      </c>
      <c r="V70" s="8" t="s">
        <v>440</v>
      </c>
      <c r="W70" s="8" t="s">
        <v>440</v>
      </c>
    </row>
    <row r="71" customFormat="false" ht="15" hidden="false" customHeight="true" outlineLevel="0" collapsed="false">
      <c r="A71" s="8" t="n">
        <v>67</v>
      </c>
      <c r="B71" s="8" t="s">
        <v>543</v>
      </c>
      <c r="C71" s="9" t="s">
        <v>333</v>
      </c>
      <c r="D71" s="9" t="s">
        <v>545</v>
      </c>
      <c r="E71" s="8" t="s">
        <v>440</v>
      </c>
      <c r="F71" s="9" t="s">
        <v>440</v>
      </c>
      <c r="G71" s="8" t="s">
        <v>440</v>
      </c>
      <c r="H71" s="8" t="s">
        <v>440</v>
      </c>
      <c r="I71" s="8" t="s">
        <v>440</v>
      </c>
      <c r="J71" s="8" t="s">
        <v>440</v>
      </c>
      <c r="K71" s="8" t="s">
        <v>440</v>
      </c>
      <c r="L71" s="8" t="s">
        <v>440</v>
      </c>
      <c r="M71" s="8" t="s">
        <v>440</v>
      </c>
      <c r="N71" s="8" t="s">
        <v>440</v>
      </c>
      <c r="O71" s="8" t="s">
        <v>440</v>
      </c>
      <c r="P71" s="8" t="s">
        <v>440</v>
      </c>
      <c r="Q71" s="8" t="s">
        <v>440</v>
      </c>
      <c r="R71" s="8" t="s">
        <v>440</v>
      </c>
      <c r="S71" s="8" t="s">
        <v>440</v>
      </c>
      <c r="T71" s="8" t="s">
        <v>440</v>
      </c>
      <c r="U71" s="8" t="s">
        <v>440</v>
      </c>
      <c r="V71" s="8" t="s">
        <v>440</v>
      </c>
      <c r="W71" s="8" t="s">
        <v>440</v>
      </c>
    </row>
    <row r="72" customFormat="false" ht="15" hidden="false" customHeight="true" outlineLevel="0" collapsed="false">
      <c r="A72" s="8" t="n">
        <v>68</v>
      </c>
      <c r="B72" s="8" t="s">
        <v>543</v>
      </c>
      <c r="C72" s="9" t="s">
        <v>315</v>
      </c>
      <c r="D72" s="9" t="s">
        <v>548</v>
      </c>
      <c r="E72" s="8" t="n">
        <v>1</v>
      </c>
      <c r="F72" s="9" t="s">
        <v>548</v>
      </c>
      <c r="G72" s="8" t="s">
        <v>440</v>
      </c>
      <c r="H72" s="8" t="n">
        <v>66</v>
      </c>
      <c r="I72" s="8" t="s">
        <v>440</v>
      </c>
      <c r="J72" s="8" t="n">
        <v>71</v>
      </c>
      <c r="K72" s="8" t="s">
        <v>440</v>
      </c>
      <c r="L72" s="8" t="n">
        <v>22</v>
      </c>
      <c r="M72" s="8" t="s">
        <v>440</v>
      </c>
      <c r="N72" s="8" t="s">
        <v>440</v>
      </c>
      <c r="O72" s="8" t="s">
        <v>440</v>
      </c>
      <c r="P72" s="8" t="s">
        <v>440</v>
      </c>
      <c r="Q72" s="8" t="s">
        <v>440</v>
      </c>
      <c r="R72" s="8" t="s">
        <v>440</v>
      </c>
      <c r="S72" s="8" t="s">
        <v>440</v>
      </c>
      <c r="T72" s="8" t="s">
        <v>440</v>
      </c>
      <c r="U72" s="8" t="s">
        <v>440</v>
      </c>
      <c r="V72" s="8" t="s">
        <v>440</v>
      </c>
      <c r="W72" s="8" t="s">
        <v>440</v>
      </c>
    </row>
    <row r="73" customFormat="false" ht="15" hidden="false" customHeight="true" outlineLevel="0" collapsed="false">
      <c r="A73" s="8" t="n">
        <v>69</v>
      </c>
      <c r="B73" s="8" t="s">
        <v>543</v>
      </c>
      <c r="C73" s="9" t="s">
        <v>333</v>
      </c>
      <c r="D73" s="9" t="s">
        <v>549</v>
      </c>
      <c r="E73" s="8" t="s">
        <v>440</v>
      </c>
      <c r="F73" s="9" t="s">
        <v>440</v>
      </c>
      <c r="G73" s="8" t="s">
        <v>440</v>
      </c>
      <c r="H73" s="8" t="s">
        <v>440</v>
      </c>
      <c r="I73" s="8" t="s">
        <v>440</v>
      </c>
      <c r="J73" s="8" t="s">
        <v>440</v>
      </c>
      <c r="K73" s="8" t="s">
        <v>440</v>
      </c>
      <c r="L73" s="8" t="s">
        <v>440</v>
      </c>
      <c r="M73" s="8" t="s">
        <v>440</v>
      </c>
      <c r="N73" s="8" t="s">
        <v>440</v>
      </c>
      <c r="O73" s="8" t="s">
        <v>440</v>
      </c>
      <c r="P73" s="8" t="s">
        <v>440</v>
      </c>
      <c r="Q73" s="8" t="s">
        <v>440</v>
      </c>
      <c r="R73" s="8" t="s">
        <v>440</v>
      </c>
      <c r="S73" s="8" t="s">
        <v>440</v>
      </c>
      <c r="T73" s="8" t="s">
        <v>440</v>
      </c>
      <c r="U73" s="8" t="s">
        <v>440</v>
      </c>
      <c r="V73" s="8" t="s">
        <v>440</v>
      </c>
      <c r="W73" s="8" t="s">
        <v>440</v>
      </c>
    </row>
    <row r="74" customFormat="false" ht="15" hidden="false" customHeight="true" outlineLevel="0" collapsed="false">
      <c r="A74" s="8" t="n">
        <v>70</v>
      </c>
      <c r="B74" s="8" t="s">
        <v>543</v>
      </c>
      <c r="C74" s="9" t="s">
        <v>333</v>
      </c>
      <c r="D74" s="9" t="s">
        <v>551</v>
      </c>
      <c r="E74" s="8" t="s">
        <v>440</v>
      </c>
      <c r="F74" s="9" t="s">
        <v>440</v>
      </c>
      <c r="G74" s="8" t="s">
        <v>440</v>
      </c>
      <c r="H74" s="8" t="s">
        <v>440</v>
      </c>
      <c r="I74" s="8" t="s">
        <v>440</v>
      </c>
      <c r="J74" s="8" t="s">
        <v>440</v>
      </c>
      <c r="K74" s="8" t="s">
        <v>440</v>
      </c>
      <c r="L74" s="8" t="s">
        <v>440</v>
      </c>
      <c r="M74" s="8" t="s">
        <v>440</v>
      </c>
      <c r="N74" s="8" t="s">
        <v>440</v>
      </c>
      <c r="O74" s="8" t="s">
        <v>440</v>
      </c>
      <c r="P74" s="8" t="s">
        <v>440</v>
      </c>
      <c r="Q74" s="8" t="s">
        <v>440</v>
      </c>
      <c r="R74" s="8" t="s">
        <v>440</v>
      </c>
      <c r="S74" s="8" t="s">
        <v>440</v>
      </c>
      <c r="T74" s="8" t="s">
        <v>440</v>
      </c>
      <c r="U74" s="8" t="s">
        <v>440</v>
      </c>
      <c r="V74" s="8" t="s">
        <v>440</v>
      </c>
      <c r="W74" s="8" t="s">
        <v>440</v>
      </c>
    </row>
    <row r="75" customFormat="false" ht="15" hidden="false" customHeight="true" outlineLevel="0" collapsed="false">
      <c r="A75" s="8" t="n">
        <v>71</v>
      </c>
      <c r="B75" s="8" t="s">
        <v>543</v>
      </c>
      <c r="C75" s="9" t="s">
        <v>333</v>
      </c>
      <c r="D75" s="9" t="s">
        <v>552</v>
      </c>
      <c r="E75" s="8" t="s">
        <v>440</v>
      </c>
      <c r="F75" s="9" t="s">
        <v>440</v>
      </c>
      <c r="G75" s="8" t="s">
        <v>440</v>
      </c>
      <c r="H75" s="8" t="s">
        <v>440</v>
      </c>
      <c r="I75" s="8" t="s">
        <v>440</v>
      </c>
      <c r="J75" s="8" t="s">
        <v>440</v>
      </c>
      <c r="K75" s="8" t="s">
        <v>440</v>
      </c>
      <c r="L75" s="8" t="s">
        <v>440</v>
      </c>
      <c r="M75" s="8" t="s">
        <v>440</v>
      </c>
      <c r="N75" s="8" t="s">
        <v>440</v>
      </c>
      <c r="O75" s="8" t="s">
        <v>440</v>
      </c>
      <c r="P75" s="8" t="s">
        <v>440</v>
      </c>
      <c r="Q75" s="8" t="s">
        <v>440</v>
      </c>
      <c r="R75" s="8" t="s">
        <v>440</v>
      </c>
      <c r="S75" s="8" t="s">
        <v>440</v>
      </c>
      <c r="T75" s="8" t="s">
        <v>440</v>
      </c>
      <c r="U75" s="8" t="s">
        <v>440</v>
      </c>
      <c r="V75" s="8" t="s">
        <v>440</v>
      </c>
      <c r="W75" s="8" t="s">
        <v>440</v>
      </c>
    </row>
    <row r="76" customFormat="false" ht="15" hidden="false" customHeight="true" outlineLevel="0" collapsed="false">
      <c r="A76" s="8" t="n">
        <v>72</v>
      </c>
      <c r="B76" s="8" t="s">
        <v>553</v>
      </c>
      <c r="C76" s="9" t="s">
        <v>333</v>
      </c>
      <c r="D76" s="9" t="s">
        <v>554</v>
      </c>
      <c r="E76" s="8" t="s">
        <v>440</v>
      </c>
      <c r="F76" s="9" t="s">
        <v>440</v>
      </c>
      <c r="G76" s="8" t="s">
        <v>440</v>
      </c>
      <c r="H76" s="8" t="s">
        <v>440</v>
      </c>
      <c r="I76" s="8" t="s">
        <v>440</v>
      </c>
      <c r="J76" s="8" t="s">
        <v>440</v>
      </c>
      <c r="K76" s="8" t="s">
        <v>440</v>
      </c>
      <c r="L76" s="8" t="s">
        <v>440</v>
      </c>
      <c r="M76" s="8" t="s">
        <v>440</v>
      </c>
      <c r="N76" s="8" t="s">
        <v>440</v>
      </c>
      <c r="O76" s="8" t="s">
        <v>440</v>
      </c>
      <c r="P76" s="8" t="s">
        <v>440</v>
      </c>
      <c r="Q76" s="8" t="s">
        <v>440</v>
      </c>
      <c r="R76" s="8" t="s">
        <v>440</v>
      </c>
      <c r="S76" s="8" t="s">
        <v>440</v>
      </c>
      <c r="T76" s="8" t="s">
        <v>440</v>
      </c>
      <c r="U76" s="8" t="s">
        <v>440</v>
      </c>
      <c r="V76" s="8" t="s">
        <v>440</v>
      </c>
      <c r="W76" s="8" t="s">
        <v>440</v>
      </c>
    </row>
    <row r="77" customFormat="false" ht="15" hidden="false" customHeight="true" outlineLevel="0" collapsed="false">
      <c r="A77" s="8" t="n">
        <v>73</v>
      </c>
      <c r="B77" s="8" t="s">
        <v>553</v>
      </c>
      <c r="C77" s="9" t="s">
        <v>333</v>
      </c>
      <c r="D77" s="9" t="s">
        <v>556</v>
      </c>
      <c r="E77" s="8" t="s">
        <v>440</v>
      </c>
      <c r="F77" s="9" t="s">
        <v>440</v>
      </c>
      <c r="G77" s="8" t="s">
        <v>440</v>
      </c>
      <c r="H77" s="8" t="s">
        <v>440</v>
      </c>
      <c r="I77" s="8" t="s">
        <v>440</v>
      </c>
      <c r="J77" s="8" t="s">
        <v>440</v>
      </c>
      <c r="K77" s="8" t="s">
        <v>440</v>
      </c>
      <c r="L77" s="8" t="s">
        <v>440</v>
      </c>
      <c r="M77" s="8" t="s">
        <v>440</v>
      </c>
      <c r="N77" s="8" t="s">
        <v>440</v>
      </c>
      <c r="O77" s="8" t="s">
        <v>440</v>
      </c>
      <c r="P77" s="8" t="s">
        <v>440</v>
      </c>
      <c r="Q77" s="8" t="s">
        <v>440</v>
      </c>
      <c r="R77" s="8" t="s">
        <v>440</v>
      </c>
      <c r="S77" s="8" t="s">
        <v>440</v>
      </c>
      <c r="T77" s="8" t="s">
        <v>440</v>
      </c>
      <c r="U77" s="8" t="s">
        <v>440</v>
      </c>
      <c r="V77" s="8" t="s">
        <v>440</v>
      </c>
      <c r="W77" s="8" t="s">
        <v>440</v>
      </c>
    </row>
    <row r="78" customFormat="false" ht="15" hidden="false" customHeight="true" outlineLevel="0" collapsed="false">
      <c r="A78" s="8" t="n">
        <v>74</v>
      </c>
      <c r="B78" s="8" t="s">
        <v>557</v>
      </c>
      <c r="C78" s="9" t="s">
        <v>286</v>
      </c>
      <c r="D78" s="9" t="s">
        <v>558</v>
      </c>
      <c r="E78" s="8" t="n">
        <v>1</v>
      </c>
      <c r="F78" s="9" t="s">
        <v>558</v>
      </c>
      <c r="G78" s="8" t="n">
        <v>61</v>
      </c>
      <c r="H78" s="8" t="n">
        <v>36</v>
      </c>
      <c r="I78" s="8" t="s">
        <v>440</v>
      </c>
      <c r="J78" s="8" t="s">
        <v>440</v>
      </c>
      <c r="K78" s="8" t="s">
        <v>440</v>
      </c>
      <c r="L78" s="8" t="s">
        <v>440</v>
      </c>
      <c r="M78" s="8" t="s">
        <v>440</v>
      </c>
      <c r="N78" s="8" t="s">
        <v>440</v>
      </c>
      <c r="O78" s="8" t="s">
        <v>440</v>
      </c>
      <c r="P78" s="8" t="s">
        <v>440</v>
      </c>
      <c r="Q78" s="8" t="s">
        <v>440</v>
      </c>
      <c r="R78" s="8" t="s">
        <v>440</v>
      </c>
      <c r="S78" s="8" t="n">
        <v>16</v>
      </c>
      <c r="T78" s="8" t="s">
        <v>440</v>
      </c>
      <c r="U78" s="8" t="s">
        <v>440</v>
      </c>
      <c r="V78" s="8" t="s">
        <v>440</v>
      </c>
      <c r="W78" s="8" t="s">
        <v>440</v>
      </c>
    </row>
    <row r="79" customFormat="false" ht="23.25" hidden="false" customHeight="true" outlineLevel="0" collapsed="false">
      <c r="A79" s="8" t="n">
        <v>75</v>
      </c>
      <c r="B79" s="8" t="s">
        <v>557</v>
      </c>
      <c r="C79" s="9" t="s">
        <v>315</v>
      </c>
      <c r="D79" s="9" t="s">
        <v>561</v>
      </c>
      <c r="E79" s="8" t="n">
        <v>0.98</v>
      </c>
      <c r="F79" s="9" t="s">
        <v>776</v>
      </c>
      <c r="G79" s="8" t="n">
        <v>90</v>
      </c>
      <c r="H79" s="8" t="n">
        <v>76</v>
      </c>
      <c r="I79" s="8" t="s">
        <v>440</v>
      </c>
      <c r="J79" s="8" t="s">
        <v>440</v>
      </c>
      <c r="K79" s="8" t="s">
        <v>440</v>
      </c>
      <c r="L79" s="8" t="s">
        <v>440</v>
      </c>
      <c r="M79" s="8" t="s">
        <v>440</v>
      </c>
      <c r="N79" s="8" t="s">
        <v>440</v>
      </c>
      <c r="O79" s="8" t="s">
        <v>440</v>
      </c>
      <c r="P79" s="8" t="s">
        <v>440</v>
      </c>
      <c r="Q79" s="8" t="s">
        <v>440</v>
      </c>
      <c r="R79" s="8" t="s">
        <v>440</v>
      </c>
      <c r="S79" s="8" t="s">
        <v>440</v>
      </c>
      <c r="T79" s="8" t="s">
        <v>440</v>
      </c>
      <c r="U79" s="8" t="s">
        <v>440</v>
      </c>
      <c r="V79" s="8" t="s">
        <v>440</v>
      </c>
      <c r="W79" s="8" t="s">
        <v>440</v>
      </c>
    </row>
    <row r="80" customFormat="false" ht="23.25" hidden="false" customHeight="true" outlineLevel="0" collapsed="false">
      <c r="A80" s="8" t="n">
        <v>76</v>
      </c>
      <c r="B80" s="8" t="s">
        <v>557</v>
      </c>
      <c r="C80" s="9" t="s">
        <v>315</v>
      </c>
      <c r="D80" s="9" t="s">
        <v>562</v>
      </c>
      <c r="E80" s="8" t="s">
        <v>440</v>
      </c>
      <c r="F80" s="9" t="s">
        <v>440</v>
      </c>
      <c r="G80" s="8" t="s">
        <v>440</v>
      </c>
      <c r="H80" s="8" t="s">
        <v>440</v>
      </c>
      <c r="I80" s="8" t="s">
        <v>440</v>
      </c>
      <c r="J80" s="8" t="s">
        <v>440</v>
      </c>
      <c r="K80" s="8" t="s">
        <v>440</v>
      </c>
      <c r="L80" s="8" t="s">
        <v>440</v>
      </c>
      <c r="M80" s="8" t="s">
        <v>440</v>
      </c>
      <c r="N80" s="8" t="s">
        <v>440</v>
      </c>
      <c r="O80" s="8" t="s">
        <v>440</v>
      </c>
      <c r="P80" s="8" t="s">
        <v>440</v>
      </c>
      <c r="Q80" s="8" t="s">
        <v>440</v>
      </c>
      <c r="R80" s="8" t="s">
        <v>440</v>
      </c>
      <c r="S80" s="8" t="s">
        <v>440</v>
      </c>
      <c r="T80" s="8" t="s">
        <v>440</v>
      </c>
      <c r="U80" s="8" t="s">
        <v>440</v>
      </c>
      <c r="V80" s="8" t="s">
        <v>440</v>
      </c>
      <c r="W80" s="8" t="s">
        <v>440</v>
      </c>
    </row>
    <row r="81" customFormat="false" ht="15" hidden="false" customHeight="true" outlineLevel="0" collapsed="false">
      <c r="A81" s="8" t="n">
        <v>77</v>
      </c>
      <c r="B81" s="8" t="s">
        <v>557</v>
      </c>
      <c r="C81" s="9" t="s">
        <v>286</v>
      </c>
      <c r="D81" s="9" t="s">
        <v>564</v>
      </c>
      <c r="E81" s="8" t="n">
        <v>1</v>
      </c>
      <c r="F81" s="9" t="s">
        <v>564</v>
      </c>
      <c r="G81" s="8" t="s">
        <v>440</v>
      </c>
      <c r="H81" s="8" t="n">
        <v>85</v>
      </c>
      <c r="I81" s="8" t="s">
        <v>440</v>
      </c>
      <c r="J81" s="8" t="s">
        <v>440</v>
      </c>
      <c r="K81" s="8" t="s">
        <v>440</v>
      </c>
      <c r="L81" s="8" t="s">
        <v>440</v>
      </c>
      <c r="M81" s="8" t="s">
        <v>440</v>
      </c>
      <c r="N81" s="8" t="s">
        <v>440</v>
      </c>
      <c r="O81" s="8" t="s">
        <v>440</v>
      </c>
      <c r="P81" s="8" t="s">
        <v>440</v>
      </c>
      <c r="Q81" s="8" t="s">
        <v>440</v>
      </c>
      <c r="R81" s="8" t="s">
        <v>440</v>
      </c>
      <c r="S81" s="8" t="n">
        <v>31</v>
      </c>
      <c r="T81" s="8" t="s">
        <v>440</v>
      </c>
      <c r="U81" s="8" t="s">
        <v>440</v>
      </c>
      <c r="V81" s="8" t="s">
        <v>440</v>
      </c>
      <c r="W81" s="8" t="s">
        <v>440</v>
      </c>
    </row>
    <row r="82" customFormat="false" ht="23.25" hidden="false" customHeight="true" outlineLevel="0" collapsed="false">
      <c r="A82" s="8" t="n">
        <v>78</v>
      </c>
      <c r="B82" s="8" t="s">
        <v>557</v>
      </c>
      <c r="C82" s="9" t="s">
        <v>315</v>
      </c>
      <c r="D82" s="9" t="s">
        <v>567</v>
      </c>
      <c r="E82" s="8" t="n">
        <v>1</v>
      </c>
      <c r="F82" s="9" t="s">
        <v>777</v>
      </c>
      <c r="G82" s="8" t="s">
        <v>440</v>
      </c>
      <c r="H82" s="8" t="s">
        <v>440</v>
      </c>
      <c r="I82" s="8" t="s">
        <v>440</v>
      </c>
      <c r="J82" s="8" t="s">
        <v>440</v>
      </c>
      <c r="K82" s="8" t="s">
        <v>440</v>
      </c>
      <c r="L82" s="8" t="s">
        <v>440</v>
      </c>
      <c r="M82" s="8" t="s">
        <v>440</v>
      </c>
      <c r="N82" s="8" t="n">
        <v>30</v>
      </c>
      <c r="O82" s="8" t="s">
        <v>440</v>
      </c>
      <c r="P82" s="8" t="n">
        <v>32</v>
      </c>
      <c r="Q82" s="8" t="s">
        <v>440</v>
      </c>
      <c r="R82" s="8" t="s">
        <v>440</v>
      </c>
      <c r="S82" s="8" t="s">
        <v>440</v>
      </c>
      <c r="T82" s="8" t="s">
        <v>440</v>
      </c>
      <c r="U82" s="8" t="s">
        <v>440</v>
      </c>
      <c r="V82" s="8" t="s">
        <v>440</v>
      </c>
      <c r="W82" s="8" t="s">
        <v>440</v>
      </c>
    </row>
    <row r="83" customFormat="false" ht="23.25" hidden="false" customHeight="true" outlineLevel="0" collapsed="false">
      <c r="A83" s="8" t="n">
        <v>79</v>
      </c>
      <c r="B83" s="8" t="s">
        <v>557</v>
      </c>
      <c r="C83" s="9" t="s">
        <v>315</v>
      </c>
      <c r="D83" s="9" t="s">
        <v>569</v>
      </c>
      <c r="E83" s="8" t="n">
        <v>1.05</v>
      </c>
      <c r="F83" s="9" t="s">
        <v>778</v>
      </c>
      <c r="G83" s="8" t="n">
        <v>51</v>
      </c>
      <c r="H83" s="8" t="n">
        <v>29</v>
      </c>
      <c r="I83" s="8" t="s">
        <v>440</v>
      </c>
      <c r="J83" s="8" t="n">
        <v>40</v>
      </c>
      <c r="K83" s="8" t="s">
        <v>440</v>
      </c>
      <c r="L83" s="8" t="s">
        <v>440</v>
      </c>
      <c r="M83" s="8" t="s">
        <v>440</v>
      </c>
      <c r="N83" s="8" t="s">
        <v>440</v>
      </c>
      <c r="O83" s="8" t="n">
        <v>11</v>
      </c>
      <c r="P83" s="8" t="s">
        <v>440</v>
      </c>
      <c r="Q83" s="8" t="s">
        <v>440</v>
      </c>
      <c r="R83" s="8" t="s">
        <v>440</v>
      </c>
      <c r="S83" s="8" t="s">
        <v>440</v>
      </c>
      <c r="T83" s="8" t="s">
        <v>440</v>
      </c>
      <c r="U83" s="8" t="s">
        <v>440</v>
      </c>
      <c r="V83" s="8" t="s">
        <v>440</v>
      </c>
      <c r="W83" s="8" t="s">
        <v>440</v>
      </c>
    </row>
    <row r="84" customFormat="false" ht="23.25" hidden="false" customHeight="true" outlineLevel="0" collapsed="false">
      <c r="A84" s="8" t="n">
        <v>80</v>
      </c>
      <c r="B84" s="8" t="s">
        <v>557</v>
      </c>
      <c r="C84" s="9" t="s">
        <v>315</v>
      </c>
      <c r="D84" s="9" t="s">
        <v>571</v>
      </c>
      <c r="E84" s="8" t="n">
        <v>1</v>
      </c>
      <c r="F84" s="9" t="s">
        <v>571</v>
      </c>
      <c r="G84" s="8" t="n">
        <v>93</v>
      </c>
      <c r="H84" s="8" t="n">
        <v>53</v>
      </c>
      <c r="I84" s="8" t="s">
        <v>440</v>
      </c>
      <c r="J84" s="8" t="n">
        <v>67</v>
      </c>
      <c r="K84" s="8" t="s">
        <v>440</v>
      </c>
      <c r="L84" s="8" t="s">
        <v>440</v>
      </c>
      <c r="M84" s="8" t="s">
        <v>440</v>
      </c>
      <c r="N84" s="8" t="s">
        <v>440</v>
      </c>
      <c r="O84" s="8" t="s">
        <v>440</v>
      </c>
      <c r="P84" s="8" t="s">
        <v>440</v>
      </c>
      <c r="Q84" s="8" t="s">
        <v>440</v>
      </c>
      <c r="R84" s="8" t="s">
        <v>440</v>
      </c>
      <c r="S84" s="8" t="s">
        <v>440</v>
      </c>
      <c r="T84" s="8" t="s">
        <v>440</v>
      </c>
      <c r="U84" s="8" t="s">
        <v>440</v>
      </c>
      <c r="V84" s="8" t="s">
        <v>440</v>
      </c>
      <c r="W84" s="8" t="s">
        <v>440</v>
      </c>
    </row>
    <row r="85" customFormat="false" ht="15" hidden="false" customHeight="true" outlineLevel="0" collapsed="false">
      <c r="A85" s="8" t="n">
        <v>81</v>
      </c>
      <c r="B85" s="8" t="s">
        <v>557</v>
      </c>
      <c r="C85" s="9" t="s">
        <v>315</v>
      </c>
      <c r="D85" s="9" t="s">
        <v>572</v>
      </c>
      <c r="E85" s="8" t="n">
        <v>1</v>
      </c>
      <c r="F85" s="9" t="s">
        <v>779</v>
      </c>
      <c r="G85" s="8" t="n">
        <v>22</v>
      </c>
      <c r="H85" s="8" t="n">
        <v>11</v>
      </c>
      <c r="I85" s="8" t="n">
        <v>25</v>
      </c>
      <c r="J85" s="8" t="n">
        <v>14</v>
      </c>
      <c r="K85" s="8" t="n">
        <v>56</v>
      </c>
      <c r="L85" s="8" t="n">
        <v>10</v>
      </c>
      <c r="M85" s="8" t="n">
        <v>18</v>
      </c>
      <c r="N85" s="8" t="s">
        <v>440</v>
      </c>
      <c r="O85" s="8" t="n">
        <v>25</v>
      </c>
      <c r="P85" s="8" t="n">
        <v>18</v>
      </c>
      <c r="Q85" s="8" t="n">
        <v>33</v>
      </c>
      <c r="R85" s="8" t="s">
        <v>440</v>
      </c>
      <c r="S85" s="8" t="s">
        <v>440</v>
      </c>
      <c r="T85" s="8" t="s">
        <v>440</v>
      </c>
      <c r="U85" s="8" t="s">
        <v>440</v>
      </c>
      <c r="V85" s="8" t="n">
        <v>4</v>
      </c>
      <c r="W85" s="8" t="s">
        <v>440</v>
      </c>
    </row>
    <row r="86" customFormat="false" ht="15" hidden="false" customHeight="true" outlineLevel="0" collapsed="false">
      <c r="A86" s="8" t="n">
        <v>82</v>
      </c>
      <c r="B86" s="8" t="s">
        <v>557</v>
      </c>
      <c r="C86" s="9" t="s">
        <v>286</v>
      </c>
      <c r="D86" s="9" t="s">
        <v>574</v>
      </c>
      <c r="E86" s="8" t="n">
        <v>1</v>
      </c>
      <c r="F86" s="9" t="s">
        <v>574</v>
      </c>
      <c r="G86" s="8" t="n">
        <v>68</v>
      </c>
      <c r="H86" s="8" t="n">
        <v>38</v>
      </c>
      <c r="I86" s="8" t="s">
        <v>440</v>
      </c>
      <c r="J86" s="8" t="s">
        <v>440</v>
      </c>
      <c r="K86" s="8" t="s">
        <v>440</v>
      </c>
      <c r="L86" s="8" t="s">
        <v>440</v>
      </c>
      <c r="M86" s="8" t="s">
        <v>440</v>
      </c>
      <c r="N86" s="8" t="s">
        <v>440</v>
      </c>
      <c r="O86" s="8" t="s">
        <v>440</v>
      </c>
      <c r="P86" s="8" t="s">
        <v>440</v>
      </c>
      <c r="Q86" s="8" t="s">
        <v>440</v>
      </c>
      <c r="R86" s="8" t="s">
        <v>440</v>
      </c>
      <c r="S86" s="8" t="n">
        <v>18</v>
      </c>
      <c r="T86" s="8" t="s">
        <v>440</v>
      </c>
      <c r="U86" s="8" t="s">
        <v>440</v>
      </c>
      <c r="V86" s="8" t="s">
        <v>440</v>
      </c>
      <c r="W86" s="8" t="s">
        <v>440</v>
      </c>
    </row>
    <row r="87" customFormat="false" ht="23.25" hidden="false" customHeight="true" outlineLevel="0" collapsed="false">
      <c r="A87" s="8" t="n">
        <v>83</v>
      </c>
      <c r="B87" s="8" t="s">
        <v>557</v>
      </c>
      <c r="C87" s="9" t="s">
        <v>315</v>
      </c>
      <c r="D87" s="9" t="s">
        <v>577</v>
      </c>
      <c r="E87" s="8" t="n">
        <v>1</v>
      </c>
      <c r="F87" s="9" t="s">
        <v>780</v>
      </c>
      <c r="G87" s="8" t="n">
        <v>48</v>
      </c>
      <c r="H87" s="8" t="n">
        <v>28</v>
      </c>
      <c r="I87" s="8" t="s">
        <v>440</v>
      </c>
      <c r="J87" s="8" t="n">
        <v>33</v>
      </c>
      <c r="K87" s="8" t="s">
        <v>440</v>
      </c>
      <c r="L87" s="8" t="s">
        <v>440</v>
      </c>
      <c r="M87" s="8" t="s">
        <v>440</v>
      </c>
      <c r="N87" s="8" t="s">
        <v>440</v>
      </c>
      <c r="O87" s="8" t="s">
        <v>440</v>
      </c>
      <c r="P87" s="8" t="s">
        <v>440</v>
      </c>
      <c r="Q87" s="8" t="s">
        <v>440</v>
      </c>
      <c r="R87" s="8" t="s">
        <v>440</v>
      </c>
      <c r="S87" s="8" t="s">
        <v>440</v>
      </c>
      <c r="T87" s="8" t="s">
        <v>440</v>
      </c>
      <c r="U87" s="8" t="s">
        <v>440</v>
      </c>
      <c r="V87" s="8" t="s">
        <v>440</v>
      </c>
      <c r="W87" s="8" t="s">
        <v>440</v>
      </c>
    </row>
    <row r="88" customFormat="false" ht="15" hidden="false" customHeight="true" outlineLevel="0" collapsed="false">
      <c r="A88" s="8" t="n">
        <v>84</v>
      </c>
      <c r="B88" s="8" t="s">
        <v>557</v>
      </c>
      <c r="C88" s="9" t="s">
        <v>315</v>
      </c>
      <c r="D88" s="9" t="s">
        <v>578</v>
      </c>
      <c r="E88" s="8" t="n">
        <v>1</v>
      </c>
      <c r="F88" s="9" t="s">
        <v>781</v>
      </c>
      <c r="G88" s="8" t="n">
        <v>17</v>
      </c>
      <c r="H88" s="8" t="n">
        <v>8</v>
      </c>
      <c r="I88" s="8" t="n">
        <v>31</v>
      </c>
      <c r="J88" s="8" t="n">
        <v>23</v>
      </c>
      <c r="K88" s="8" t="n">
        <v>26</v>
      </c>
      <c r="L88" s="8" t="n">
        <v>14</v>
      </c>
      <c r="M88" s="8" t="n">
        <v>9</v>
      </c>
      <c r="N88" s="8" t="n">
        <v>14</v>
      </c>
      <c r="O88" s="8" t="s">
        <v>440</v>
      </c>
      <c r="P88" s="8" t="s">
        <v>440</v>
      </c>
      <c r="Q88" s="8" t="s">
        <v>440</v>
      </c>
      <c r="R88" s="8" t="s">
        <v>440</v>
      </c>
      <c r="S88" s="8" t="s">
        <v>440</v>
      </c>
      <c r="T88" s="8" t="s">
        <v>440</v>
      </c>
      <c r="U88" s="8" t="s">
        <v>440</v>
      </c>
      <c r="V88" s="8" t="s">
        <v>440</v>
      </c>
      <c r="W88" s="8" t="s">
        <v>440</v>
      </c>
    </row>
    <row r="89" customFormat="false" ht="15" hidden="false" customHeight="true" outlineLevel="0" collapsed="false">
      <c r="A89" s="8" t="n">
        <v>85</v>
      </c>
      <c r="B89" s="8" t="s">
        <v>557</v>
      </c>
      <c r="C89" s="9" t="s">
        <v>286</v>
      </c>
      <c r="D89" s="9" t="s">
        <v>583</v>
      </c>
      <c r="E89" s="8" t="n">
        <v>1</v>
      </c>
      <c r="F89" s="9" t="s">
        <v>583</v>
      </c>
      <c r="G89" s="8" t="n">
        <v>73</v>
      </c>
      <c r="H89" s="8" t="n">
        <v>44</v>
      </c>
      <c r="I89" s="8" t="s">
        <v>440</v>
      </c>
      <c r="J89" s="8" t="s">
        <v>440</v>
      </c>
      <c r="K89" s="8" t="s">
        <v>440</v>
      </c>
      <c r="L89" s="8" t="s">
        <v>440</v>
      </c>
      <c r="M89" s="8" t="s">
        <v>440</v>
      </c>
      <c r="N89" s="8" t="s">
        <v>440</v>
      </c>
      <c r="O89" s="8" t="s">
        <v>440</v>
      </c>
      <c r="P89" s="8" t="s">
        <v>440</v>
      </c>
      <c r="Q89" s="8" t="s">
        <v>440</v>
      </c>
      <c r="R89" s="8" t="s">
        <v>440</v>
      </c>
      <c r="S89" s="8" t="n">
        <v>14</v>
      </c>
      <c r="T89" s="8" t="s">
        <v>440</v>
      </c>
      <c r="U89" s="8" t="s">
        <v>440</v>
      </c>
      <c r="V89" s="8" t="s">
        <v>440</v>
      </c>
      <c r="W89" s="8" t="s">
        <v>440</v>
      </c>
    </row>
    <row r="90" customFormat="false" ht="15" hidden="false" customHeight="true" outlineLevel="0" collapsed="false">
      <c r="A90" s="8" t="n">
        <v>86</v>
      </c>
      <c r="B90" s="8" t="s">
        <v>557</v>
      </c>
      <c r="C90" s="9" t="s">
        <v>286</v>
      </c>
      <c r="D90" s="9" t="s">
        <v>584</v>
      </c>
      <c r="E90" s="8" t="n">
        <v>1</v>
      </c>
      <c r="F90" s="9" t="s">
        <v>584</v>
      </c>
      <c r="G90" s="8" t="n">
        <v>76</v>
      </c>
      <c r="H90" s="8" t="n">
        <v>46</v>
      </c>
      <c r="I90" s="8" t="s">
        <v>440</v>
      </c>
      <c r="J90" s="8" t="s">
        <v>440</v>
      </c>
      <c r="K90" s="8" t="s">
        <v>440</v>
      </c>
      <c r="L90" s="8" t="s">
        <v>440</v>
      </c>
      <c r="M90" s="8" t="s">
        <v>440</v>
      </c>
      <c r="N90" s="8" t="s">
        <v>440</v>
      </c>
      <c r="O90" s="8" t="s">
        <v>440</v>
      </c>
      <c r="P90" s="8" t="s">
        <v>440</v>
      </c>
      <c r="Q90" s="8" t="s">
        <v>440</v>
      </c>
      <c r="R90" s="8" t="s">
        <v>440</v>
      </c>
      <c r="S90" s="8" t="n">
        <v>10</v>
      </c>
      <c r="T90" s="8" t="s">
        <v>440</v>
      </c>
      <c r="U90" s="8" t="s">
        <v>440</v>
      </c>
      <c r="V90" s="8" t="s">
        <v>440</v>
      </c>
      <c r="W90" s="8" t="s">
        <v>440</v>
      </c>
    </row>
    <row r="91" customFormat="false" ht="15" hidden="false" customHeight="true" outlineLevel="0" collapsed="false">
      <c r="A91" s="8" t="n">
        <v>87</v>
      </c>
      <c r="B91" s="8" t="s">
        <v>557</v>
      </c>
      <c r="C91" s="9" t="s">
        <v>315</v>
      </c>
      <c r="D91" s="9" t="s">
        <v>589</v>
      </c>
      <c r="E91" s="8" t="n">
        <v>1</v>
      </c>
      <c r="F91" s="9" t="s">
        <v>589</v>
      </c>
      <c r="G91" s="8" t="n">
        <v>21</v>
      </c>
      <c r="H91" s="8" t="n">
        <v>14</v>
      </c>
      <c r="I91" s="8" t="n">
        <v>14</v>
      </c>
      <c r="J91" s="8" t="n">
        <v>16</v>
      </c>
      <c r="K91" s="8" t="s">
        <v>440</v>
      </c>
      <c r="L91" s="8" t="s">
        <v>440</v>
      </c>
      <c r="M91" s="8" t="s">
        <v>440</v>
      </c>
      <c r="N91" s="8" t="s">
        <v>440</v>
      </c>
      <c r="O91" s="8" t="s">
        <v>440</v>
      </c>
      <c r="P91" s="8" t="s">
        <v>440</v>
      </c>
      <c r="Q91" s="8" t="s">
        <v>440</v>
      </c>
      <c r="R91" s="8" t="s">
        <v>440</v>
      </c>
      <c r="S91" s="8" t="s">
        <v>440</v>
      </c>
      <c r="T91" s="8" t="s">
        <v>440</v>
      </c>
      <c r="U91" s="8" t="s">
        <v>440</v>
      </c>
      <c r="V91" s="8" t="s">
        <v>440</v>
      </c>
      <c r="W91" s="8" t="s">
        <v>440</v>
      </c>
    </row>
    <row r="92" customFormat="false" ht="23.25" hidden="false" customHeight="true" outlineLevel="0" collapsed="false">
      <c r="A92" s="8" t="n">
        <v>88</v>
      </c>
      <c r="B92" s="8" t="s">
        <v>557</v>
      </c>
      <c r="C92" s="9" t="s">
        <v>286</v>
      </c>
      <c r="D92" s="9" t="s">
        <v>592</v>
      </c>
      <c r="E92" s="8" t="n">
        <v>0.74</v>
      </c>
      <c r="F92" s="9" t="s">
        <v>782</v>
      </c>
      <c r="G92" s="8" t="s">
        <v>440</v>
      </c>
      <c r="H92" s="8" t="s">
        <v>440</v>
      </c>
      <c r="I92" s="8" t="s">
        <v>440</v>
      </c>
      <c r="J92" s="8" t="s">
        <v>440</v>
      </c>
      <c r="K92" s="8" t="s">
        <v>440</v>
      </c>
      <c r="L92" s="8" t="s">
        <v>440</v>
      </c>
      <c r="M92" s="8" t="s">
        <v>440</v>
      </c>
      <c r="N92" s="8" t="s">
        <v>440</v>
      </c>
      <c r="O92" s="8" t="s">
        <v>440</v>
      </c>
      <c r="P92" s="8" t="s">
        <v>440</v>
      </c>
      <c r="Q92" s="8" t="s">
        <v>440</v>
      </c>
      <c r="R92" s="8" t="s">
        <v>440</v>
      </c>
      <c r="S92" s="8" t="n">
        <v>33</v>
      </c>
      <c r="T92" s="8" t="s">
        <v>440</v>
      </c>
      <c r="U92" s="8" t="s">
        <v>440</v>
      </c>
      <c r="V92" s="8" t="s">
        <v>440</v>
      </c>
      <c r="W92" s="8" t="s">
        <v>440</v>
      </c>
    </row>
    <row r="93" customFormat="false" ht="23.25" hidden="false" customHeight="true" outlineLevel="0" collapsed="false">
      <c r="A93" s="8" t="n">
        <v>89</v>
      </c>
      <c r="B93" s="8" t="s">
        <v>557</v>
      </c>
      <c r="C93" s="9" t="s">
        <v>315</v>
      </c>
      <c r="D93" s="9" t="s">
        <v>593</v>
      </c>
      <c r="E93" s="8" t="s">
        <v>440</v>
      </c>
      <c r="F93" s="9" t="s">
        <v>440</v>
      </c>
      <c r="G93" s="8" t="s">
        <v>440</v>
      </c>
      <c r="H93" s="8" t="s">
        <v>440</v>
      </c>
      <c r="I93" s="8" t="s">
        <v>440</v>
      </c>
      <c r="J93" s="8" t="s">
        <v>440</v>
      </c>
      <c r="K93" s="8" t="s">
        <v>440</v>
      </c>
      <c r="L93" s="8" t="s">
        <v>440</v>
      </c>
      <c r="M93" s="8" t="s">
        <v>440</v>
      </c>
      <c r="N93" s="8" t="s">
        <v>440</v>
      </c>
      <c r="O93" s="8" t="s">
        <v>440</v>
      </c>
      <c r="P93" s="8" t="s">
        <v>440</v>
      </c>
      <c r="Q93" s="8" t="s">
        <v>440</v>
      </c>
      <c r="R93" s="8" t="s">
        <v>440</v>
      </c>
      <c r="S93" s="8" t="s">
        <v>440</v>
      </c>
      <c r="T93" s="8" t="s">
        <v>440</v>
      </c>
      <c r="U93" s="8" t="s">
        <v>440</v>
      </c>
      <c r="V93" s="8" t="s">
        <v>440</v>
      </c>
      <c r="W93" s="8" t="s">
        <v>440</v>
      </c>
    </row>
    <row r="94" customFormat="false" ht="15" hidden="false" customHeight="true" outlineLevel="0" collapsed="false">
      <c r="A94" s="8" t="n">
        <v>90</v>
      </c>
      <c r="B94" s="8" t="s">
        <v>557</v>
      </c>
      <c r="C94" s="9" t="s">
        <v>315</v>
      </c>
      <c r="D94" s="9" t="s">
        <v>594</v>
      </c>
      <c r="E94" s="8" t="s">
        <v>440</v>
      </c>
      <c r="F94" s="9" t="s">
        <v>440</v>
      </c>
      <c r="G94" s="8" t="s">
        <v>440</v>
      </c>
      <c r="H94" s="8" t="s">
        <v>440</v>
      </c>
      <c r="I94" s="8" t="s">
        <v>440</v>
      </c>
      <c r="J94" s="8" t="s">
        <v>440</v>
      </c>
      <c r="K94" s="8" t="s">
        <v>440</v>
      </c>
      <c r="L94" s="8" t="s">
        <v>440</v>
      </c>
      <c r="M94" s="8" t="s">
        <v>440</v>
      </c>
      <c r="N94" s="8" t="s">
        <v>440</v>
      </c>
      <c r="O94" s="8" t="s">
        <v>440</v>
      </c>
      <c r="P94" s="8" t="s">
        <v>440</v>
      </c>
      <c r="Q94" s="8" t="s">
        <v>440</v>
      </c>
      <c r="R94" s="8" t="s">
        <v>440</v>
      </c>
      <c r="S94" s="8" t="s">
        <v>440</v>
      </c>
      <c r="T94" s="8" t="s">
        <v>440</v>
      </c>
      <c r="U94" s="8" t="s">
        <v>440</v>
      </c>
      <c r="V94" s="8" t="s">
        <v>440</v>
      </c>
      <c r="W94" s="8" t="s">
        <v>440</v>
      </c>
    </row>
    <row r="95" customFormat="false" ht="23.25" hidden="false" customHeight="true" outlineLevel="0" collapsed="false">
      <c r="A95" s="8" t="n">
        <v>91</v>
      </c>
      <c r="B95" s="8" t="s">
        <v>557</v>
      </c>
      <c r="C95" s="9" t="s">
        <v>315</v>
      </c>
      <c r="D95" s="9" t="s">
        <v>595</v>
      </c>
      <c r="E95" s="8" t="n">
        <v>1.05</v>
      </c>
      <c r="F95" s="9" t="s">
        <v>595</v>
      </c>
      <c r="G95" s="8" t="s">
        <v>440</v>
      </c>
      <c r="H95" s="8" t="s">
        <v>440</v>
      </c>
      <c r="I95" s="8" t="s">
        <v>440</v>
      </c>
      <c r="J95" s="8" t="s">
        <v>440</v>
      </c>
      <c r="K95" s="8" t="s">
        <v>440</v>
      </c>
      <c r="L95" s="8" t="s">
        <v>440</v>
      </c>
      <c r="M95" s="8" t="s">
        <v>440</v>
      </c>
      <c r="N95" s="8" t="n">
        <v>16</v>
      </c>
      <c r="O95" s="8" t="s">
        <v>440</v>
      </c>
      <c r="P95" s="8" t="s">
        <v>440</v>
      </c>
      <c r="Q95" s="8" t="s">
        <v>440</v>
      </c>
      <c r="R95" s="8" t="s">
        <v>440</v>
      </c>
      <c r="S95" s="8" t="s">
        <v>440</v>
      </c>
      <c r="T95" s="8" t="s">
        <v>440</v>
      </c>
      <c r="U95" s="8" t="s">
        <v>440</v>
      </c>
      <c r="V95" s="8" t="s">
        <v>440</v>
      </c>
      <c r="W95" s="8" t="s">
        <v>440</v>
      </c>
    </row>
    <row r="96" customFormat="false" ht="15" hidden="false" customHeight="true" outlineLevel="0" collapsed="false">
      <c r="A96" s="8" t="n">
        <v>92</v>
      </c>
      <c r="B96" s="8" t="s">
        <v>557</v>
      </c>
      <c r="C96" s="9" t="s">
        <v>286</v>
      </c>
      <c r="D96" s="9" t="s">
        <v>596</v>
      </c>
      <c r="E96" s="8" t="n">
        <v>1</v>
      </c>
      <c r="F96" s="9" t="s">
        <v>596</v>
      </c>
      <c r="G96" s="8" t="n">
        <v>29</v>
      </c>
      <c r="H96" s="8" t="n">
        <v>20</v>
      </c>
      <c r="I96" s="8" t="n">
        <v>26</v>
      </c>
      <c r="J96" s="8" t="n">
        <v>20</v>
      </c>
      <c r="K96" s="8" t="n">
        <v>88</v>
      </c>
      <c r="L96" s="8" t="s">
        <v>440</v>
      </c>
      <c r="M96" s="8" t="s">
        <v>440</v>
      </c>
      <c r="N96" s="8" t="s">
        <v>440</v>
      </c>
      <c r="O96" s="8" t="s">
        <v>440</v>
      </c>
      <c r="P96" s="8" t="n">
        <v>28</v>
      </c>
      <c r="Q96" s="8" t="s">
        <v>440</v>
      </c>
      <c r="R96" s="8" t="n">
        <v>9</v>
      </c>
      <c r="S96" s="8" t="n">
        <v>2</v>
      </c>
      <c r="T96" s="8" t="s">
        <v>440</v>
      </c>
      <c r="U96" s="8" t="s">
        <v>440</v>
      </c>
      <c r="V96" s="8" t="s">
        <v>440</v>
      </c>
      <c r="W96" s="8" t="s">
        <v>440</v>
      </c>
    </row>
    <row r="97" customFormat="false" ht="23.25" hidden="false" customHeight="true" outlineLevel="0" collapsed="false">
      <c r="A97" s="8" t="n">
        <v>93</v>
      </c>
      <c r="B97" s="8" t="s">
        <v>557</v>
      </c>
      <c r="C97" s="9" t="s">
        <v>315</v>
      </c>
      <c r="D97" s="9" t="s">
        <v>598</v>
      </c>
      <c r="E97" s="8" t="n">
        <v>0.99</v>
      </c>
      <c r="F97" s="9" t="s">
        <v>783</v>
      </c>
      <c r="G97" s="8" t="s">
        <v>440</v>
      </c>
      <c r="H97" s="8" t="s">
        <v>440</v>
      </c>
      <c r="I97" s="8" t="s">
        <v>440</v>
      </c>
      <c r="J97" s="8" t="s">
        <v>440</v>
      </c>
      <c r="K97" s="8" t="s">
        <v>440</v>
      </c>
      <c r="L97" s="8" t="n">
        <v>61</v>
      </c>
      <c r="M97" s="8" t="s">
        <v>440</v>
      </c>
      <c r="N97" s="8" t="s">
        <v>440</v>
      </c>
      <c r="O97" s="8" t="s">
        <v>440</v>
      </c>
      <c r="P97" s="8" t="s">
        <v>440</v>
      </c>
      <c r="Q97" s="8" t="s">
        <v>440</v>
      </c>
      <c r="R97" s="8" t="s">
        <v>440</v>
      </c>
      <c r="S97" s="8" t="s">
        <v>440</v>
      </c>
      <c r="T97" s="8" t="s">
        <v>440</v>
      </c>
      <c r="U97" s="8" t="s">
        <v>440</v>
      </c>
      <c r="V97" s="8" t="s">
        <v>440</v>
      </c>
      <c r="W97" s="8" t="s">
        <v>440</v>
      </c>
    </row>
    <row r="98" customFormat="false" ht="23.25" hidden="false" customHeight="true" outlineLevel="0" collapsed="false">
      <c r="A98" s="8" t="n">
        <v>94</v>
      </c>
      <c r="B98" s="8" t="s">
        <v>557</v>
      </c>
      <c r="C98" s="9" t="s">
        <v>315</v>
      </c>
      <c r="D98" s="9" t="s">
        <v>599</v>
      </c>
      <c r="E98" s="8" t="n">
        <v>1</v>
      </c>
      <c r="F98" s="9" t="s">
        <v>599</v>
      </c>
      <c r="G98" s="8" t="s">
        <v>440</v>
      </c>
      <c r="H98" s="8" t="n">
        <v>60</v>
      </c>
      <c r="I98" s="8" t="s">
        <v>440</v>
      </c>
      <c r="J98" s="8" t="s">
        <v>440</v>
      </c>
      <c r="K98" s="8" t="s">
        <v>440</v>
      </c>
      <c r="L98" s="8" t="n">
        <v>36</v>
      </c>
      <c r="M98" s="8" t="n">
        <v>21</v>
      </c>
      <c r="N98" s="8" t="n">
        <v>13</v>
      </c>
      <c r="O98" s="8" t="s">
        <v>440</v>
      </c>
      <c r="P98" s="8" t="s">
        <v>440</v>
      </c>
      <c r="Q98" s="8" t="s">
        <v>440</v>
      </c>
      <c r="R98" s="8" t="s">
        <v>440</v>
      </c>
      <c r="S98" s="8" t="s">
        <v>440</v>
      </c>
      <c r="T98" s="8" t="s">
        <v>440</v>
      </c>
      <c r="U98" s="8" t="s">
        <v>440</v>
      </c>
      <c r="V98" s="8" t="s">
        <v>440</v>
      </c>
      <c r="W98" s="8" t="s">
        <v>440</v>
      </c>
    </row>
    <row r="99" customFormat="false" ht="23.25" hidden="false" customHeight="true" outlineLevel="0" collapsed="false">
      <c r="A99" s="8" t="n">
        <v>95</v>
      </c>
      <c r="B99" s="8" t="s">
        <v>601</v>
      </c>
      <c r="C99" s="9" t="s">
        <v>315</v>
      </c>
      <c r="D99" s="9" t="s">
        <v>602</v>
      </c>
      <c r="E99" s="8" t="n">
        <v>0.65</v>
      </c>
      <c r="F99" s="9" t="s">
        <v>784</v>
      </c>
      <c r="G99" s="8" t="s">
        <v>440</v>
      </c>
      <c r="H99" s="8" t="s">
        <v>440</v>
      </c>
      <c r="I99" s="8" t="s">
        <v>440</v>
      </c>
      <c r="J99" s="8" t="s">
        <v>440</v>
      </c>
      <c r="K99" s="8" t="n">
        <v>46</v>
      </c>
      <c r="L99" s="8" t="s">
        <v>440</v>
      </c>
      <c r="M99" s="8" t="s">
        <v>440</v>
      </c>
      <c r="N99" s="8" t="s">
        <v>440</v>
      </c>
      <c r="O99" s="8" t="n">
        <v>31</v>
      </c>
      <c r="P99" s="8" t="s">
        <v>440</v>
      </c>
      <c r="Q99" s="8" t="s">
        <v>440</v>
      </c>
      <c r="R99" s="8" t="s">
        <v>440</v>
      </c>
      <c r="S99" s="8" t="s">
        <v>440</v>
      </c>
      <c r="T99" s="8" t="s">
        <v>440</v>
      </c>
      <c r="U99" s="8" t="s">
        <v>440</v>
      </c>
      <c r="V99" s="8" t="s">
        <v>440</v>
      </c>
      <c r="W99" s="8" t="s">
        <v>440</v>
      </c>
    </row>
    <row r="100" customFormat="false" ht="15" hidden="false" customHeight="true" outlineLevel="0" collapsed="false">
      <c r="A100" s="8" t="n">
        <v>96</v>
      </c>
      <c r="B100" s="8" t="s">
        <v>601</v>
      </c>
      <c r="C100" s="9" t="s">
        <v>315</v>
      </c>
      <c r="D100" s="9" t="s">
        <v>605</v>
      </c>
      <c r="E100" s="8" t="s">
        <v>440</v>
      </c>
      <c r="F100" s="9" t="s">
        <v>440</v>
      </c>
      <c r="G100" s="8" t="s">
        <v>440</v>
      </c>
      <c r="H100" s="8" t="s">
        <v>440</v>
      </c>
      <c r="I100" s="8" t="s">
        <v>440</v>
      </c>
      <c r="J100" s="8" t="s">
        <v>440</v>
      </c>
      <c r="K100" s="8" t="s">
        <v>440</v>
      </c>
      <c r="L100" s="8" t="s">
        <v>440</v>
      </c>
      <c r="M100" s="8" t="s">
        <v>440</v>
      </c>
      <c r="N100" s="8" t="s">
        <v>440</v>
      </c>
      <c r="O100" s="8" t="s">
        <v>440</v>
      </c>
      <c r="P100" s="8" t="s">
        <v>440</v>
      </c>
      <c r="Q100" s="8" t="s">
        <v>440</v>
      </c>
      <c r="R100" s="8" t="s">
        <v>440</v>
      </c>
      <c r="S100" s="8" t="s">
        <v>440</v>
      </c>
      <c r="T100" s="8" t="s">
        <v>440</v>
      </c>
      <c r="U100" s="8" t="s">
        <v>440</v>
      </c>
      <c r="V100" s="8" t="s">
        <v>440</v>
      </c>
      <c r="W100" s="8" t="s">
        <v>440</v>
      </c>
    </row>
    <row r="101" customFormat="false" ht="15" hidden="false" customHeight="true" outlineLevel="0" collapsed="false">
      <c r="A101" s="8" t="n">
        <v>97</v>
      </c>
      <c r="B101" s="8" t="s">
        <v>606</v>
      </c>
      <c r="C101" s="9" t="s">
        <v>338</v>
      </c>
      <c r="D101" s="9" t="s">
        <v>607</v>
      </c>
      <c r="E101" s="8" t="n">
        <v>1</v>
      </c>
      <c r="F101" s="9" t="s">
        <v>607</v>
      </c>
      <c r="G101" s="8" t="n">
        <v>19</v>
      </c>
      <c r="H101" s="8" t="n">
        <v>10</v>
      </c>
      <c r="I101" s="8" t="n">
        <v>28</v>
      </c>
      <c r="J101" s="8" t="n">
        <v>34</v>
      </c>
      <c r="K101" s="8" t="n">
        <v>69</v>
      </c>
      <c r="L101" s="8" t="s">
        <v>440</v>
      </c>
      <c r="M101" s="8" t="n">
        <v>29</v>
      </c>
      <c r="N101" s="8" t="n">
        <v>28</v>
      </c>
      <c r="O101" s="8" t="n">
        <v>9</v>
      </c>
      <c r="P101" s="8" t="n">
        <v>26</v>
      </c>
      <c r="Q101" s="8" t="s">
        <v>440</v>
      </c>
      <c r="R101" s="8" t="s">
        <v>440</v>
      </c>
      <c r="S101" s="8" t="s">
        <v>440</v>
      </c>
      <c r="T101" s="8" t="s">
        <v>440</v>
      </c>
      <c r="U101" s="8" t="s">
        <v>440</v>
      </c>
      <c r="V101" s="8" t="s">
        <v>440</v>
      </c>
      <c r="W101" s="8" t="s">
        <v>440</v>
      </c>
    </row>
    <row r="102" customFormat="false" ht="15" hidden="false" customHeight="true" outlineLevel="0" collapsed="false">
      <c r="A102" s="8" t="n">
        <v>98</v>
      </c>
      <c r="B102" s="8" t="s">
        <v>606</v>
      </c>
      <c r="C102" s="9" t="s">
        <v>333</v>
      </c>
      <c r="D102" s="9" t="s">
        <v>609</v>
      </c>
      <c r="E102" s="8" t="n">
        <v>0.64</v>
      </c>
      <c r="F102" s="9" t="s">
        <v>609</v>
      </c>
      <c r="G102" s="8" t="n">
        <v>37</v>
      </c>
      <c r="H102" s="8" t="n">
        <v>22</v>
      </c>
      <c r="I102" s="8" t="n">
        <v>38</v>
      </c>
      <c r="J102" s="8" t="n">
        <v>37</v>
      </c>
      <c r="K102" s="8" t="n">
        <v>49</v>
      </c>
      <c r="L102" s="8" t="n">
        <v>18</v>
      </c>
      <c r="M102" s="8" t="s">
        <v>440</v>
      </c>
      <c r="N102" s="8" t="s">
        <v>440</v>
      </c>
      <c r="O102" s="8" t="s">
        <v>440</v>
      </c>
      <c r="P102" s="8" t="s">
        <v>440</v>
      </c>
      <c r="Q102" s="8" t="n">
        <v>15</v>
      </c>
      <c r="R102" s="8" t="s">
        <v>440</v>
      </c>
      <c r="S102" s="8" t="s">
        <v>440</v>
      </c>
      <c r="T102" s="8" t="s">
        <v>440</v>
      </c>
      <c r="U102" s="8" t="s">
        <v>440</v>
      </c>
      <c r="V102" s="8" t="s">
        <v>440</v>
      </c>
      <c r="W102" s="8" t="s">
        <v>440</v>
      </c>
    </row>
    <row r="103" customFormat="false" ht="15" hidden="false" customHeight="true" outlineLevel="0" collapsed="false">
      <c r="A103" s="8" t="n">
        <v>99</v>
      </c>
      <c r="B103" s="8" t="s">
        <v>606</v>
      </c>
      <c r="C103" s="9" t="s">
        <v>333</v>
      </c>
      <c r="D103" s="9" t="s">
        <v>616</v>
      </c>
      <c r="E103" s="8" t="n">
        <v>1</v>
      </c>
      <c r="F103" s="9" t="s">
        <v>616</v>
      </c>
      <c r="G103" s="8" t="s">
        <v>440</v>
      </c>
      <c r="H103" s="8" t="n">
        <v>87</v>
      </c>
      <c r="I103" s="8" t="s">
        <v>440</v>
      </c>
      <c r="J103" s="8" t="s">
        <v>440</v>
      </c>
      <c r="K103" s="8" t="s">
        <v>440</v>
      </c>
      <c r="L103" s="8" t="n">
        <v>57</v>
      </c>
      <c r="M103" s="8" t="s">
        <v>440</v>
      </c>
      <c r="N103" s="8" t="s">
        <v>440</v>
      </c>
      <c r="O103" s="8" t="s">
        <v>440</v>
      </c>
      <c r="P103" s="8" t="s">
        <v>440</v>
      </c>
      <c r="Q103" s="8" t="s">
        <v>440</v>
      </c>
      <c r="R103" s="8" t="s">
        <v>440</v>
      </c>
      <c r="S103" s="8" t="s">
        <v>440</v>
      </c>
      <c r="T103" s="8" t="s">
        <v>440</v>
      </c>
      <c r="U103" s="8" t="s">
        <v>440</v>
      </c>
      <c r="V103" s="8" t="s">
        <v>440</v>
      </c>
      <c r="W103" s="8" t="s">
        <v>440</v>
      </c>
    </row>
    <row r="104" customFormat="false" ht="15" hidden="false" customHeight="true" outlineLevel="0" collapsed="false">
      <c r="A104" s="8" t="n">
        <v>100</v>
      </c>
      <c r="B104" s="8" t="s">
        <v>606</v>
      </c>
      <c r="C104" s="9" t="s">
        <v>333</v>
      </c>
      <c r="D104" s="9" t="s">
        <v>618</v>
      </c>
      <c r="E104" s="8" t="s">
        <v>440</v>
      </c>
      <c r="F104" s="9" t="s">
        <v>440</v>
      </c>
      <c r="G104" s="8" t="s">
        <v>440</v>
      </c>
      <c r="H104" s="8" t="s">
        <v>440</v>
      </c>
      <c r="I104" s="8" t="s">
        <v>440</v>
      </c>
      <c r="J104" s="8" t="s">
        <v>440</v>
      </c>
      <c r="K104" s="8" t="s">
        <v>440</v>
      </c>
      <c r="L104" s="8" t="s">
        <v>440</v>
      </c>
      <c r="M104" s="8" t="s">
        <v>440</v>
      </c>
      <c r="N104" s="8" t="s">
        <v>440</v>
      </c>
      <c r="O104" s="8" t="s">
        <v>440</v>
      </c>
      <c r="P104" s="8" t="s">
        <v>440</v>
      </c>
      <c r="Q104" s="8" t="s">
        <v>440</v>
      </c>
      <c r="R104" s="8" t="s">
        <v>440</v>
      </c>
      <c r="S104" s="8" t="s">
        <v>440</v>
      </c>
      <c r="T104" s="8" t="s">
        <v>440</v>
      </c>
      <c r="U104" s="8" t="s">
        <v>440</v>
      </c>
      <c r="V104" s="8" t="s">
        <v>440</v>
      </c>
      <c r="W104" s="8" t="s">
        <v>440</v>
      </c>
    </row>
    <row r="105" customFormat="false" ht="15" hidden="false" customHeight="true" outlineLevel="0" collapsed="false">
      <c r="A105" s="8" t="n">
        <v>101</v>
      </c>
      <c r="B105" s="8" t="s">
        <v>606</v>
      </c>
      <c r="C105" s="9" t="s">
        <v>315</v>
      </c>
      <c r="D105" s="9" t="s">
        <v>620</v>
      </c>
      <c r="E105" s="8" t="n">
        <v>0.62</v>
      </c>
      <c r="F105" s="9" t="s">
        <v>785</v>
      </c>
      <c r="G105" s="8" t="n">
        <v>85</v>
      </c>
      <c r="H105" s="8" t="n">
        <v>57</v>
      </c>
      <c r="I105" s="8" t="s">
        <v>440</v>
      </c>
      <c r="J105" s="8" t="s">
        <v>440</v>
      </c>
      <c r="K105" s="8" t="s">
        <v>440</v>
      </c>
      <c r="L105" s="8" t="s">
        <v>440</v>
      </c>
      <c r="M105" s="8" t="s">
        <v>440</v>
      </c>
      <c r="N105" s="8" t="s">
        <v>440</v>
      </c>
      <c r="O105" s="8" t="s">
        <v>440</v>
      </c>
      <c r="P105" s="8" t="s">
        <v>440</v>
      </c>
      <c r="Q105" s="8" t="s">
        <v>440</v>
      </c>
      <c r="R105" s="8" t="s">
        <v>440</v>
      </c>
      <c r="S105" s="8" t="s">
        <v>440</v>
      </c>
      <c r="T105" s="8" t="s">
        <v>440</v>
      </c>
      <c r="U105" s="8" t="s">
        <v>440</v>
      </c>
      <c r="V105" s="8" t="s">
        <v>440</v>
      </c>
      <c r="W105" s="8" t="s">
        <v>440</v>
      </c>
    </row>
    <row r="106" customFormat="false" ht="15" hidden="false" customHeight="true" outlineLevel="0" collapsed="false">
      <c r="A106" s="8" t="n">
        <v>102</v>
      </c>
      <c r="B106" s="8" t="s">
        <v>606</v>
      </c>
      <c r="C106" s="9" t="s">
        <v>333</v>
      </c>
      <c r="D106" s="9" t="s">
        <v>621</v>
      </c>
      <c r="E106" s="8" t="n">
        <v>1</v>
      </c>
      <c r="F106" s="9" t="s">
        <v>621</v>
      </c>
      <c r="G106" s="8" t="s">
        <v>440</v>
      </c>
      <c r="H106" s="8" t="s">
        <v>440</v>
      </c>
      <c r="I106" s="8" t="s">
        <v>440</v>
      </c>
      <c r="J106" s="8" t="s">
        <v>440</v>
      </c>
      <c r="K106" s="8" t="s">
        <v>440</v>
      </c>
      <c r="L106" s="8" t="n">
        <v>40</v>
      </c>
      <c r="M106" s="8" t="s">
        <v>440</v>
      </c>
      <c r="N106" s="8" t="s">
        <v>440</v>
      </c>
      <c r="O106" s="8" t="s">
        <v>440</v>
      </c>
      <c r="P106" s="8" t="s">
        <v>440</v>
      </c>
      <c r="Q106" s="8" t="s">
        <v>440</v>
      </c>
      <c r="R106" s="8" t="s">
        <v>440</v>
      </c>
      <c r="S106" s="8" t="s">
        <v>440</v>
      </c>
      <c r="T106" s="8" t="s">
        <v>440</v>
      </c>
      <c r="U106" s="8" t="s">
        <v>440</v>
      </c>
      <c r="V106" s="8" t="s">
        <v>440</v>
      </c>
      <c r="W106" s="8" t="s">
        <v>440</v>
      </c>
    </row>
    <row r="107" customFormat="false" ht="15" hidden="false" customHeight="true" outlineLevel="0" collapsed="false">
      <c r="A107" s="8" t="n">
        <v>103</v>
      </c>
      <c r="B107" s="8" t="s">
        <v>606</v>
      </c>
      <c r="C107" s="9" t="s">
        <v>333</v>
      </c>
      <c r="D107" s="9" t="s">
        <v>623</v>
      </c>
      <c r="E107" s="8" t="s">
        <v>440</v>
      </c>
      <c r="F107" s="9" t="s">
        <v>440</v>
      </c>
      <c r="G107" s="8" t="s">
        <v>440</v>
      </c>
      <c r="H107" s="8" t="s">
        <v>440</v>
      </c>
      <c r="I107" s="8" t="s">
        <v>440</v>
      </c>
      <c r="J107" s="8" t="s">
        <v>440</v>
      </c>
      <c r="K107" s="8" t="s">
        <v>440</v>
      </c>
      <c r="L107" s="8" t="s">
        <v>440</v>
      </c>
      <c r="M107" s="8" t="s">
        <v>440</v>
      </c>
      <c r="N107" s="8" t="s">
        <v>440</v>
      </c>
      <c r="O107" s="8" t="s">
        <v>440</v>
      </c>
      <c r="P107" s="8" t="s">
        <v>440</v>
      </c>
      <c r="Q107" s="8" t="s">
        <v>440</v>
      </c>
      <c r="R107" s="8" t="s">
        <v>440</v>
      </c>
      <c r="S107" s="8" t="s">
        <v>440</v>
      </c>
      <c r="T107" s="8" t="s">
        <v>440</v>
      </c>
      <c r="U107" s="8" t="s">
        <v>440</v>
      </c>
      <c r="V107" s="8" t="s">
        <v>440</v>
      </c>
      <c r="W107" s="8" t="s">
        <v>440</v>
      </c>
    </row>
    <row r="108" customFormat="false" ht="23.25" hidden="false" customHeight="true" outlineLevel="0" collapsed="false">
      <c r="A108" s="8" t="n">
        <v>104</v>
      </c>
      <c r="B108" s="8" t="s">
        <v>606</v>
      </c>
      <c r="C108" s="9" t="s">
        <v>315</v>
      </c>
      <c r="D108" s="9" t="s">
        <v>624</v>
      </c>
      <c r="E108" s="8" t="n">
        <v>0.56</v>
      </c>
      <c r="F108" s="9" t="s">
        <v>777</v>
      </c>
      <c r="G108" s="8" t="s">
        <v>440</v>
      </c>
      <c r="H108" s="8" t="s">
        <v>440</v>
      </c>
      <c r="I108" s="8" t="s">
        <v>440</v>
      </c>
      <c r="J108" s="8" t="s">
        <v>440</v>
      </c>
      <c r="K108" s="8" t="s">
        <v>440</v>
      </c>
      <c r="L108" s="8" t="s">
        <v>440</v>
      </c>
      <c r="M108" s="8" t="s">
        <v>440</v>
      </c>
      <c r="N108" s="8" t="n">
        <v>30</v>
      </c>
      <c r="O108" s="8" t="s">
        <v>440</v>
      </c>
      <c r="P108" s="8" t="n">
        <v>32</v>
      </c>
      <c r="Q108" s="8" t="s">
        <v>440</v>
      </c>
      <c r="R108" s="8" t="s">
        <v>440</v>
      </c>
      <c r="S108" s="8" t="s">
        <v>440</v>
      </c>
      <c r="T108" s="8" t="s">
        <v>440</v>
      </c>
      <c r="U108" s="8" t="s">
        <v>440</v>
      </c>
      <c r="V108" s="8" t="s">
        <v>440</v>
      </c>
      <c r="W108" s="8" t="s">
        <v>440</v>
      </c>
    </row>
    <row r="109" customFormat="false" ht="15" hidden="false" customHeight="true" outlineLevel="0" collapsed="false">
      <c r="A109" s="8" t="n">
        <v>105</v>
      </c>
      <c r="B109" s="8" t="s">
        <v>606</v>
      </c>
      <c r="C109" s="9" t="s">
        <v>286</v>
      </c>
      <c r="D109" s="9" t="s">
        <v>627</v>
      </c>
      <c r="E109" s="8" t="n">
        <v>1</v>
      </c>
      <c r="F109" s="9" t="s">
        <v>627</v>
      </c>
      <c r="G109" s="8" t="s">
        <v>440</v>
      </c>
      <c r="H109" s="8" t="n">
        <v>98</v>
      </c>
      <c r="I109" s="8" t="s">
        <v>440</v>
      </c>
      <c r="J109" s="8" t="s">
        <v>440</v>
      </c>
      <c r="K109" s="8" t="n">
        <v>100</v>
      </c>
      <c r="L109" s="8" t="s">
        <v>440</v>
      </c>
      <c r="M109" s="8" t="s">
        <v>440</v>
      </c>
      <c r="N109" s="8" t="s">
        <v>440</v>
      </c>
      <c r="O109" s="8" t="n">
        <v>29</v>
      </c>
      <c r="P109" s="8" t="s">
        <v>440</v>
      </c>
      <c r="Q109" s="8" t="s">
        <v>440</v>
      </c>
      <c r="R109" s="8" t="s">
        <v>440</v>
      </c>
      <c r="S109" s="8" t="n">
        <v>27</v>
      </c>
      <c r="T109" s="8" t="s">
        <v>440</v>
      </c>
      <c r="U109" s="8" t="s">
        <v>440</v>
      </c>
      <c r="V109" s="8" t="s">
        <v>440</v>
      </c>
      <c r="W109" s="8" t="s">
        <v>440</v>
      </c>
    </row>
    <row r="110" customFormat="false" ht="15" hidden="false" customHeight="true" outlineLevel="0" collapsed="false">
      <c r="A110" s="8" t="n">
        <v>106</v>
      </c>
      <c r="B110" s="8" t="s">
        <v>606</v>
      </c>
      <c r="C110" s="9" t="s">
        <v>333</v>
      </c>
      <c r="D110" s="9" t="s">
        <v>628</v>
      </c>
      <c r="E110" s="8" t="s">
        <v>440</v>
      </c>
      <c r="F110" s="9" t="s">
        <v>440</v>
      </c>
      <c r="G110" s="8" t="s">
        <v>440</v>
      </c>
      <c r="H110" s="8" t="s">
        <v>440</v>
      </c>
      <c r="I110" s="8" t="s">
        <v>440</v>
      </c>
      <c r="J110" s="8" t="s">
        <v>440</v>
      </c>
      <c r="K110" s="8" t="s">
        <v>440</v>
      </c>
      <c r="L110" s="8" t="s">
        <v>440</v>
      </c>
      <c r="M110" s="8" t="s">
        <v>440</v>
      </c>
      <c r="N110" s="8" t="s">
        <v>440</v>
      </c>
      <c r="O110" s="8" t="s">
        <v>440</v>
      </c>
      <c r="P110" s="8" t="s">
        <v>440</v>
      </c>
      <c r="Q110" s="8" t="s">
        <v>440</v>
      </c>
      <c r="R110" s="8" t="s">
        <v>440</v>
      </c>
      <c r="S110" s="8" t="s">
        <v>440</v>
      </c>
      <c r="T110" s="8" t="s">
        <v>440</v>
      </c>
      <c r="U110" s="8" t="s">
        <v>440</v>
      </c>
      <c r="V110" s="8" t="s">
        <v>440</v>
      </c>
      <c r="W110" s="8" t="s">
        <v>440</v>
      </c>
    </row>
    <row r="111" customFormat="false" ht="15" hidden="false" customHeight="true" outlineLevel="0" collapsed="false">
      <c r="A111" s="8" t="n">
        <v>107</v>
      </c>
      <c r="B111" s="8" t="s">
        <v>606</v>
      </c>
      <c r="C111" s="9" t="s">
        <v>286</v>
      </c>
      <c r="D111" s="9" t="s">
        <v>630</v>
      </c>
      <c r="E111" s="8" t="s">
        <v>440</v>
      </c>
      <c r="F111" s="9" t="s">
        <v>440</v>
      </c>
      <c r="G111" s="8" t="s">
        <v>440</v>
      </c>
      <c r="H111" s="8" t="s">
        <v>440</v>
      </c>
      <c r="I111" s="8" t="s">
        <v>440</v>
      </c>
      <c r="J111" s="8" t="s">
        <v>440</v>
      </c>
      <c r="K111" s="8" t="s">
        <v>440</v>
      </c>
      <c r="L111" s="8" t="s">
        <v>440</v>
      </c>
      <c r="M111" s="8" t="s">
        <v>440</v>
      </c>
      <c r="N111" s="8" t="s">
        <v>440</v>
      </c>
      <c r="O111" s="8" t="s">
        <v>440</v>
      </c>
      <c r="P111" s="8" t="s">
        <v>440</v>
      </c>
      <c r="Q111" s="8" t="s">
        <v>440</v>
      </c>
      <c r="R111" s="8" t="s">
        <v>440</v>
      </c>
      <c r="S111" s="8" t="s">
        <v>440</v>
      </c>
      <c r="T111" s="8" t="s">
        <v>440</v>
      </c>
      <c r="U111" s="8" t="s">
        <v>440</v>
      </c>
      <c r="V111" s="8" t="s">
        <v>440</v>
      </c>
      <c r="W111" s="8" t="s">
        <v>440</v>
      </c>
    </row>
    <row r="112" customFormat="false" ht="15" hidden="false" customHeight="true" outlineLevel="0" collapsed="false">
      <c r="A112" s="8" t="n">
        <v>108</v>
      </c>
      <c r="B112" s="8" t="s">
        <v>606</v>
      </c>
      <c r="C112" s="9" t="s">
        <v>333</v>
      </c>
      <c r="D112" s="9" t="s">
        <v>631</v>
      </c>
      <c r="E112" s="8" t="n">
        <v>1</v>
      </c>
      <c r="F112" s="9" t="s">
        <v>631</v>
      </c>
      <c r="G112" s="8" t="s">
        <v>440</v>
      </c>
      <c r="H112" s="8" t="s">
        <v>440</v>
      </c>
      <c r="I112" s="8" t="s">
        <v>440</v>
      </c>
      <c r="J112" s="8" t="s">
        <v>440</v>
      </c>
      <c r="K112" s="8" t="s">
        <v>440</v>
      </c>
      <c r="L112" s="8" t="n">
        <v>55</v>
      </c>
      <c r="M112" s="8" t="s">
        <v>440</v>
      </c>
      <c r="N112" s="8" t="s">
        <v>440</v>
      </c>
      <c r="O112" s="8" t="n">
        <v>36</v>
      </c>
      <c r="P112" s="8" t="s">
        <v>440</v>
      </c>
      <c r="Q112" s="8" t="s">
        <v>440</v>
      </c>
      <c r="R112" s="8" t="s">
        <v>440</v>
      </c>
      <c r="S112" s="8" t="s">
        <v>440</v>
      </c>
      <c r="T112" s="8" t="s">
        <v>440</v>
      </c>
      <c r="U112" s="8" t="s">
        <v>440</v>
      </c>
      <c r="V112" s="8" t="s">
        <v>440</v>
      </c>
      <c r="W112" s="8" t="s">
        <v>440</v>
      </c>
    </row>
    <row r="113" customFormat="false" ht="15" hidden="false" customHeight="true" outlineLevel="0" collapsed="false">
      <c r="A113" s="8" t="n">
        <v>109</v>
      </c>
      <c r="B113" s="8" t="s">
        <v>606</v>
      </c>
      <c r="C113" s="9" t="s">
        <v>286</v>
      </c>
      <c r="D113" s="9" t="s">
        <v>632</v>
      </c>
      <c r="E113" s="8" t="s">
        <v>440</v>
      </c>
      <c r="F113" s="9" t="s">
        <v>440</v>
      </c>
      <c r="G113" s="8" t="s">
        <v>440</v>
      </c>
      <c r="H113" s="8" t="s">
        <v>440</v>
      </c>
      <c r="I113" s="8" t="s">
        <v>440</v>
      </c>
      <c r="J113" s="8" t="s">
        <v>440</v>
      </c>
      <c r="K113" s="8" t="s">
        <v>440</v>
      </c>
      <c r="L113" s="8" t="s">
        <v>440</v>
      </c>
      <c r="M113" s="8" t="s">
        <v>440</v>
      </c>
      <c r="N113" s="8" t="s">
        <v>440</v>
      </c>
      <c r="O113" s="8" t="s">
        <v>440</v>
      </c>
      <c r="P113" s="8" t="s">
        <v>440</v>
      </c>
      <c r="Q113" s="8" t="s">
        <v>440</v>
      </c>
      <c r="R113" s="8" t="s">
        <v>440</v>
      </c>
      <c r="S113" s="8" t="s">
        <v>440</v>
      </c>
      <c r="T113" s="8" t="s">
        <v>440</v>
      </c>
      <c r="U113" s="8" t="s">
        <v>440</v>
      </c>
      <c r="V113" s="8" t="s">
        <v>440</v>
      </c>
      <c r="W113" s="8" t="s">
        <v>440</v>
      </c>
    </row>
    <row r="114" customFormat="false" ht="15" hidden="false" customHeight="true" outlineLevel="0" collapsed="false">
      <c r="A114" s="8" t="n">
        <v>110</v>
      </c>
      <c r="B114" s="8" t="s">
        <v>606</v>
      </c>
      <c r="C114" s="9" t="s">
        <v>286</v>
      </c>
      <c r="D114" s="9" t="s">
        <v>634</v>
      </c>
      <c r="E114" s="8" t="n">
        <v>0.72</v>
      </c>
      <c r="F114" s="9" t="s">
        <v>786</v>
      </c>
      <c r="G114" s="8" t="s">
        <v>440</v>
      </c>
      <c r="H114" s="8" t="s">
        <v>440</v>
      </c>
      <c r="I114" s="8" t="s">
        <v>440</v>
      </c>
      <c r="J114" s="8" t="s">
        <v>440</v>
      </c>
      <c r="K114" s="8" t="s">
        <v>440</v>
      </c>
      <c r="L114" s="8" t="s">
        <v>440</v>
      </c>
      <c r="M114" s="8" t="s">
        <v>440</v>
      </c>
      <c r="N114" s="8" t="s">
        <v>440</v>
      </c>
      <c r="O114" s="8" t="s">
        <v>440</v>
      </c>
      <c r="P114" s="8" t="s">
        <v>440</v>
      </c>
      <c r="Q114" s="8" t="s">
        <v>440</v>
      </c>
      <c r="R114" s="8" t="s">
        <v>440</v>
      </c>
      <c r="S114" s="8" t="s">
        <v>440</v>
      </c>
      <c r="T114" s="8" t="s">
        <v>440</v>
      </c>
      <c r="U114" s="8" t="s">
        <v>440</v>
      </c>
      <c r="V114" s="8" t="s">
        <v>440</v>
      </c>
      <c r="W114" s="8" t="n">
        <v>27</v>
      </c>
    </row>
    <row r="115" customFormat="false" ht="15" hidden="false" customHeight="true" outlineLevel="0" collapsed="false">
      <c r="A115" s="8" t="n">
        <v>111</v>
      </c>
      <c r="B115" s="8" t="s">
        <v>636</v>
      </c>
      <c r="C115" s="9" t="s">
        <v>315</v>
      </c>
      <c r="D115" s="9" t="s">
        <v>637</v>
      </c>
      <c r="E115" s="8" t="n">
        <v>0.87</v>
      </c>
      <c r="F115" s="9" t="s">
        <v>787</v>
      </c>
      <c r="G115" s="8" t="n">
        <v>72</v>
      </c>
      <c r="H115" s="8" t="n">
        <v>48</v>
      </c>
      <c r="I115" s="8" t="s">
        <v>440</v>
      </c>
      <c r="J115" s="8" t="n">
        <v>52</v>
      </c>
      <c r="K115" s="8" t="n">
        <v>52</v>
      </c>
      <c r="L115" s="8" t="s">
        <v>440</v>
      </c>
      <c r="M115" s="8" t="s">
        <v>440</v>
      </c>
      <c r="N115" s="8" t="s">
        <v>440</v>
      </c>
      <c r="O115" s="8" t="s">
        <v>440</v>
      </c>
      <c r="P115" s="8" t="s">
        <v>440</v>
      </c>
      <c r="Q115" s="8" t="s">
        <v>440</v>
      </c>
      <c r="R115" s="8" t="s">
        <v>440</v>
      </c>
      <c r="S115" s="8" t="s">
        <v>440</v>
      </c>
      <c r="T115" s="8" t="s">
        <v>440</v>
      </c>
      <c r="U115" s="8" t="s">
        <v>440</v>
      </c>
      <c r="V115" s="8" t="s">
        <v>440</v>
      </c>
      <c r="W115" s="8" t="s">
        <v>440</v>
      </c>
    </row>
    <row r="116" customFormat="false" ht="15" hidden="false" customHeight="true" outlineLevel="0" collapsed="false">
      <c r="A116" s="8" t="n">
        <v>112</v>
      </c>
      <c r="B116" s="8" t="s">
        <v>636</v>
      </c>
      <c r="C116" s="9" t="s">
        <v>333</v>
      </c>
      <c r="D116" s="9" t="s">
        <v>638</v>
      </c>
      <c r="E116" s="8" t="n">
        <v>1</v>
      </c>
      <c r="F116" s="9" t="s">
        <v>788</v>
      </c>
      <c r="G116" s="8" t="n">
        <v>64</v>
      </c>
      <c r="H116" s="8" t="n">
        <v>45</v>
      </c>
      <c r="I116" s="8" t="n">
        <v>45</v>
      </c>
      <c r="J116" s="8" t="n">
        <v>43</v>
      </c>
      <c r="K116" s="8" t="n">
        <v>36</v>
      </c>
      <c r="L116" s="8" t="s">
        <v>440</v>
      </c>
      <c r="M116" s="8" t="s">
        <v>440</v>
      </c>
      <c r="N116" s="8" t="s">
        <v>440</v>
      </c>
      <c r="O116" s="8" t="n">
        <v>18</v>
      </c>
      <c r="P116" s="8" t="s">
        <v>440</v>
      </c>
      <c r="Q116" s="8" t="s">
        <v>440</v>
      </c>
      <c r="R116" s="8" t="s">
        <v>440</v>
      </c>
      <c r="S116" s="8" t="s">
        <v>440</v>
      </c>
      <c r="T116" s="8" t="s">
        <v>440</v>
      </c>
      <c r="U116" s="8" t="s">
        <v>440</v>
      </c>
      <c r="V116" s="8" t="s">
        <v>440</v>
      </c>
      <c r="W116" s="8" t="s">
        <v>440</v>
      </c>
    </row>
    <row r="117" customFormat="false" ht="15" hidden="false" customHeight="true" outlineLevel="0" collapsed="false">
      <c r="A117" s="8" t="n">
        <v>113</v>
      </c>
      <c r="B117" s="8" t="s">
        <v>636</v>
      </c>
      <c r="C117" s="9" t="s">
        <v>333</v>
      </c>
      <c r="D117" s="9" t="s">
        <v>642</v>
      </c>
      <c r="E117" s="8" t="n">
        <v>1.05</v>
      </c>
      <c r="F117" s="9" t="s">
        <v>642</v>
      </c>
      <c r="G117" s="8" t="s">
        <v>440</v>
      </c>
      <c r="H117" s="8" t="s">
        <v>440</v>
      </c>
      <c r="I117" s="8" t="s">
        <v>440</v>
      </c>
      <c r="J117" s="8" t="s">
        <v>440</v>
      </c>
      <c r="K117" s="8" t="s">
        <v>440</v>
      </c>
      <c r="L117" s="8" t="n">
        <v>75</v>
      </c>
      <c r="M117" s="8" t="s">
        <v>440</v>
      </c>
      <c r="N117" s="8" t="s">
        <v>440</v>
      </c>
      <c r="O117" s="8" t="s">
        <v>440</v>
      </c>
      <c r="P117" s="8" t="s">
        <v>440</v>
      </c>
      <c r="Q117" s="8" t="s">
        <v>440</v>
      </c>
      <c r="R117" s="8" t="s">
        <v>440</v>
      </c>
      <c r="S117" s="8" t="s">
        <v>440</v>
      </c>
      <c r="T117" s="8" t="s">
        <v>440</v>
      </c>
      <c r="U117" s="8" t="s">
        <v>440</v>
      </c>
      <c r="V117" s="8" t="s">
        <v>440</v>
      </c>
      <c r="W117" s="8" t="s">
        <v>440</v>
      </c>
    </row>
    <row r="118" customFormat="false" ht="15" hidden="false" customHeight="true" outlineLevel="0" collapsed="false">
      <c r="A118" s="8" t="n">
        <v>114</v>
      </c>
      <c r="B118" s="8" t="s">
        <v>335</v>
      </c>
      <c r="C118" s="9" t="s">
        <v>333</v>
      </c>
      <c r="D118" s="9" t="s">
        <v>644</v>
      </c>
      <c r="E118" s="8" t="s">
        <v>440</v>
      </c>
      <c r="F118" s="9" t="s">
        <v>440</v>
      </c>
      <c r="G118" s="8" t="s">
        <v>440</v>
      </c>
      <c r="H118" s="8" t="s">
        <v>440</v>
      </c>
      <c r="I118" s="8" t="s">
        <v>440</v>
      </c>
      <c r="J118" s="8" t="s">
        <v>440</v>
      </c>
      <c r="K118" s="8" t="s">
        <v>440</v>
      </c>
      <c r="L118" s="8" t="s">
        <v>440</v>
      </c>
      <c r="M118" s="8" t="s">
        <v>440</v>
      </c>
      <c r="N118" s="8" t="s">
        <v>440</v>
      </c>
      <c r="O118" s="8" t="s">
        <v>440</v>
      </c>
      <c r="P118" s="8" t="s">
        <v>440</v>
      </c>
      <c r="Q118" s="8" t="s">
        <v>440</v>
      </c>
      <c r="R118" s="8" t="s">
        <v>440</v>
      </c>
      <c r="S118" s="8" t="s">
        <v>440</v>
      </c>
      <c r="T118" s="8" t="s">
        <v>440</v>
      </c>
      <c r="U118" s="8" t="s">
        <v>440</v>
      </c>
      <c r="V118" s="8" t="s">
        <v>440</v>
      </c>
      <c r="W118" s="8" t="s">
        <v>440</v>
      </c>
    </row>
    <row r="119" customFormat="false" ht="15" hidden="false" customHeight="true" outlineLevel="0" collapsed="false">
      <c r="A119" s="8" t="n">
        <v>115</v>
      </c>
      <c r="B119" s="8" t="s">
        <v>382</v>
      </c>
      <c r="C119" s="9" t="s">
        <v>333</v>
      </c>
      <c r="D119" s="9" t="s">
        <v>648</v>
      </c>
      <c r="E119" s="8" t="s">
        <v>440</v>
      </c>
      <c r="F119" s="9" t="s">
        <v>440</v>
      </c>
      <c r="G119" s="8" t="s">
        <v>440</v>
      </c>
      <c r="H119" s="8" t="s">
        <v>440</v>
      </c>
      <c r="I119" s="8" t="s">
        <v>440</v>
      </c>
      <c r="J119" s="8" t="s">
        <v>440</v>
      </c>
      <c r="K119" s="8" t="s">
        <v>440</v>
      </c>
      <c r="L119" s="8" t="s">
        <v>440</v>
      </c>
      <c r="M119" s="8" t="s">
        <v>440</v>
      </c>
      <c r="N119" s="8" t="s">
        <v>440</v>
      </c>
      <c r="O119" s="8" t="s">
        <v>440</v>
      </c>
      <c r="P119" s="8" t="s">
        <v>440</v>
      </c>
      <c r="Q119" s="8" t="s">
        <v>440</v>
      </c>
      <c r="R119" s="8" t="s">
        <v>440</v>
      </c>
      <c r="S119" s="8" t="s">
        <v>440</v>
      </c>
      <c r="T119" s="8" t="s">
        <v>440</v>
      </c>
      <c r="U119" s="8" t="s">
        <v>440</v>
      </c>
      <c r="V119" s="8" t="s">
        <v>440</v>
      </c>
      <c r="W119" s="8" t="s">
        <v>440</v>
      </c>
    </row>
    <row r="120" customFormat="false" ht="15" hidden="false" customHeight="true" outlineLevel="0" collapsed="false">
      <c r="A120" s="8" t="n">
        <v>116</v>
      </c>
      <c r="B120" s="8" t="s">
        <v>402</v>
      </c>
      <c r="C120" s="9" t="s">
        <v>333</v>
      </c>
      <c r="D120" s="9" t="s">
        <v>654</v>
      </c>
      <c r="E120" s="8" t="s">
        <v>440</v>
      </c>
      <c r="F120" s="9" t="s">
        <v>440</v>
      </c>
      <c r="G120" s="8" t="s">
        <v>440</v>
      </c>
      <c r="H120" s="8" t="s">
        <v>440</v>
      </c>
      <c r="I120" s="8" t="s">
        <v>440</v>
      </c>
      <c r="J120" s="8" t="s">
        <v>440</v>
      </c>
      <c r="K120" s="8" t="s">
        <v>440</v>
      </c>
      <c r="L120" s="8" t="s">
        <v>440</v>
      </c>
      <c r="M120" s="8" t="s">
        <v>440</v>
      </c>
      <c r="N120" s="8" t="s">
        <v>440</v>
      </c>
      <c r="O120" s="8" t="s">
        <v>440</v>
      </c>
      <c r="P120" s="8" t="s">
        <v>440</v>
      </c>
      <c r="Q120" s="8" t="s">
        <v>440</v>
      </c>
      <c r="R120" s="8" t="s">
        <v>440</v>
      </c>
      <c r="S120" s="8" t="s">
        <v>440</v>
      </c>
      <c r="T120" s="8" t="s">
        <v>440</v>
      </c>
      <c r="U120" s="8" t="s">
        <v>440</v>
      </c>
      <c r="V120" s="8" t="s">
        <v>440</v>
      </c>
      <c r="W120" s="8" t="s">
        <v>440</v>
      </c>
    </row>
    <row r="121" customFormat="false" ht="15" hidden="false" customHeight="true" outlineLevel="0" collapsed="false">
      <c r="A121" s="8" t="n">
        <v>117</v>
      </c>
      <c r="B121" s="8" t="s">
        <v>422</v>
      </c>
      <c r="C121" s="9" t="s">
        <v>333</v>
      </c>
      <c r="D121" s="9" t="s">
        <v>657</v>
      </c>
      <c r="E121" s="8" t="s">
        <v>440</v>
      </c>
      <c r="F121" s="9" t="s">
        <v>440</v>
      </c>
      <c r="G121" s="8" t="s">
        <v>440</v>
      </c>
      <c r="H121" s="8" t="s">
        <v>440</v>
      </c>
      <c r="I121" s="8" t="s">
        <v>440</v>
      </c>
      <c r="J121" s="8" t="s">
        <v>440</v>
      </c>
      <c r="K121" s="8" t="s">
        <v>440</v>
      </c>
      <c r="L121" s="8" t="s">
        <v>440</v>
      </c>
      <c r="M121" s="8" t="s">
        <v>440</v>
      </c>
      <c r="N121" s="8" t="s">
        <v>440</v>
      </c>
      <c r="O121" s="8" t="s">
        <v>440</v>
      </c>
      <c r="P121" s="8" t="s">
        <v>440</v>
      </c>
      <c r="Q121" s="8" t="s">
        <v>440</v>
      </c>
      <c r="R121" s="8" t="s">
        <v>440</v>
      </c>
      <c r="S121" s="8" t="s">
        <v>440</v>
      </c>
      <c r="T121" s="8" t="s">
        <v>440</v>
      </c>
      <c r="U121" s="8" t="s">
        <v>440</v>
      </c>
      <c r="V121" s="8" t="s">
        <v>440</v>
      </c>
      <c r="W121" s="8" t="s">
        <v>440</v>
      </c>
    </row>
    <row r="122" customFormat="false" ht="15" hidden="false" customHeight="true" outlineLevel="0" collapsed="false">
      <c r="A122" s="8" t="n">
        <v>118</v>
      </c>
      <c r="B122" s="8" t="s">
        <v>543</v>
      </c>
      <c r="C122" s="9" t="s">
        <v>333</v>
      </c>
      <c r="D122" s="9" t="s">
        <v>660</v>
      </c>
      <c r="E122" s="8" t="s">
        <v>440</v>
      </c>
      <c r="F122" s="9" t="s">
        <v>440</v>
      </c>
      <c r="G122" s="8" t="s">
        <v>440</v>
      </c>
      <c r="H122" s="8" t="s">
        <v>440</v>
      </c>
      <c r="I122" s="8" t="s">
        <v>440</v>
      </c>
      <c r="J122" s="8" t="s">
        <v>440</v>
      </c>
      <c r="K122" s="8" t="s">
        <v>440</v>
      </c>
      <c r="L122" s="8" t="s">
        <v>440</v>
      </c>
      <c r="M122" s="8" t="s">
        <v>440</v>
      </c>
      <c r="N122" s="8" t="s">
        <v>440</v>
      </c>
      <c r="O122" s="8" t="s">
        <v>440</v>
      </c>
      <c r="P122" s="8" t="s">
        <v>440</v>
      </c>
      <c r="Q122" s="8" t="s">
        <v>440</v>
      </c>
      <c r="R122" s="8" t="s">
        <v>440</v>
      </c>
      <c r="S122" s="8" t="s">
        <v>440</v>
      </c>
      <c r="T122" s="8" t="s">
        <v>440</v>
      </c>
      <c r="U122" s="8" t="s">
        <v>440</v>
      </c>
      <c r="V122" s="8" t="s">
        <v>440</v>
      </c>
      <c r="W122" s="8" t="s">
        <v>440</v>
      </c>
    </row>
    <row r="123" customFormat="false" ht="15" hidden="false" customHeight="true" outlineLevel="0" collapsed="false">
      <c r="A123" s="8" t="n">
        <v>119</v>
      </c>
      <c r="B123" s="8" t="s">
        <v>557</v>
      </c>
      <c r="C123" s="9" t="s">
        <v>315</v>
      </c>
      <c r="D123" s="9" t="s">
        <v>664</v>
      </c>
      <c r="E123" s="8" t="s">
        <v>440</v>
      </c>
      <c r="F123" s="9" t="s">
        <v>440</v>
      </c>
      <c r="G123" s="8" t="s">
        <v>440</v>
      </c>
      <c r="H123" s="8" t="s">
        <v>440</v>
      </c>
      <c r="I123" s="8" t="s">
        <v>440</v>
      </c>
      <c r="J123" s="8" t="s">
        <v>440</v>
      </c>
      <c r="K123" s="8" t="s">
        <v>440</v>
      </c>
      <c r="L123" s="8" t="s">
        <v>440</v>
      </c>
      <c r="M123" s="8" t="s">
        <v>440</v>
      </c>
      <c r="N123" s="8" t="s">
        <v>440</v>
      </c>
      <c r="O123" s="8" t="s">
        <v>440</v>
      </c>
      <c r="P123" s="8" t="s">
        <v>440</v>
      </c>
      <c r="Q123" s="8" t="s">
        <v>440</v>
      </c>
      <c r="R123" s="8" t="s">
        <v>440</v>
      </c>
      <c r="S123" s="8" t="s">
        <v>440</v>
      </c>
      <c r="T123" s="8" t="s">
        <v>440</v>
      </c>
      <c r="U123" s="8" t="s">
        <v>440</v>
      </c>
      <c r="V123" s="8" t="s">
        <v>440</v>
      </c>
      <c r="W123" s="8" t="s">
        <v>440</v>
      </c>
    </row>
    <row r="124" customFormat="false" ht="15" hidden="false" customHeight="true" outlineLevel="0" collapsed="false">
      <c r="A124" s="8" t="n">
        <v>120</v>
      </c>
      <c r="B124" s="8" t="s">
        <v>606</v>
      </c>
      <c r="C124" s="9" t="s">
        <v>315</v>
      </c>
      <c r="D124" s="9" t="s">
        <v>675</v>
      </c>
      <c r="E124" s="8" t="s">
        <v>440</v>
      </c>
      <c r="F124" s="9" t="s">
        <v>440</v>
      </c>
      <c r="G124" s="8" t="s">
        <v>440</v>
      </c>
      <c r="H124" s="8" t="s">
        <v>440</v>
      </c>
      <c r="I124" s="8" t="s">
        <v>440</v>
      </c>
      <c r="J124" s="8" t="s">
        <v>440</v>
      </c>
      <c r="K124" s="8" t="s">
        <v>440</v>
      </c>
      <c r="L124" s="8" t="s">
        <v>440</v>
      </c>
      <c r="M124" s="8" t="s">
        <v>440</v>
      </c>
      <c r="N124" s="8" t="s">
        <v>440</v>
      </c>
      <c r="O124" s="8" t="s">
        <v>440</v>
      </c>
      <c r="P124" s="8" t="s">
        <v>440</v>
      </c>
      <c r="Q124" s="8" t="s">
        <v>440</v>
      </c>
      <c r="R124" s="8" t="s">
        <v>440</v>
      </c>
      <c r="S124" s="8" t="s">
        <v>440</v>
      </c>
      <c r="T124" s="8" t="s">
        <v>440</v>
      </c>
      <c r="U124" s="8" t="s">
        <v>440</v>
      </c>
      <c r="V124" s="8" t="s">
        <v>440</v>
      </c>
      <c r="W124" s="8" t="s">
        <v>440</v>
      </c>
    </row>
    <row r="125" customFormat="false" ht="15" hidden="false" customHeight="true" outlineLevel="0" collapsed="false">
      <c r="A125" s="8" t="n">
        <v>121</v>
      </c>
      <c r="B125" s="8" t="s">
        <v>606</v>
      </c>
      <c r="C125" s="9" t="s">
        <v>333</v>
      </c>
      <c r="D125" s="9" t="s">
        <v>677</v>
      </c>
      <c r="E125" s="8" t="s">
        <v>440</v>
      </c>
      <c r="F125" s="9" t="s">
        <v>440</v>
      </c>
      <c r="G125" s="8" t="s">
        <v>440</v>
      </c>
      <c r="H125" s="8" t="s">
        <v>440</v>
      </c>
      <c r="I125" s="8" t="s">
        <v>440</v>
      </c>
      <c r="J125" s="8" t="s">
        <v>440</v>
      </c>
      <c r="K125" s="8" t="s">
        <v>440</v>
      </c>
      <c r="L125" s="8" t="s">
        <v>440</v>
      </c>
      <c r="M125" s="8" t="s">
        <v>440</v>
      </c>
      <c r="N125" s="8" t="s">
        <v>440</v>
      </c>
      <c r="O125" s="8" t="s">
        <v>440</v>
      </c>
      <c r="P125" s="8" t="s">
        <v>440</v>
      </c>
      <c r="Q125" s="8" t="s">
        <v>440</v>
      </c>
      <c r="R125" s="8" t="s">
        <v>440</v>
      </c>
      <c r="S125" s="8" t="s">
        <v>440</v>
      </c>
      <c r="T125" s="8" t="s">
        <v>440</v>
      </c>
      <c r="U125" s="8" t="s">
        <v>440</v>
      </c>
      <c r="V125" s="8" t="s">
        <v>440</v>
      </c>
      <c r="W125" s="8" t="s">
        <v>440</v>
      </c>
    </row>
    <row r="126" customFormat="false" ht="15" hidden="false" customHeight="true" outlineLevel="0" collapsed="false">
      <c r="A126" s="8" t="n">
        <v>122</v>
      </c>
      <c r="B126" s="8" t="s">
        <v>606</v>
      </c>
      <c r="C126" s="9" t="s">
        <v>333</v>
      </c>
      <c r="D126" s="9" t="s">
        <v>681</v>
      </c>
      <c r="E126" s="8" t="s">
        <v>440</v>
      </c>
      <c r="F126" s="9" t="s">
        <v>440</v>
      </c>
      <c r="G126" s="8" t="s">
        <v>440</v>
      </c>
      <c r="H126" s="8" t="s">
        <v>440</v>
      </c>
      <c r="I126" s="8" t="s">
        <v>440</v>
      </c>
      <c r="J126" s="8" t="s">
        <v>440</v>
      </c>
      <c r="K126" s="8" t="s">
        <v>440</v>
      </c>
      <c r="L126" s="8" t="s">
        <v>440</v>
      </c>
      <c r="M126" s="8" t="s">
        <v>440</v>
      </c>
      <c r="N126" s="8" t="s">
        <v>440</v>
      </c>
      <c r="O126" s="8" t="s">
        <v>440</v>
      </c>
      <c r="P126" s="8" t="s">
        <v>440</v>
      </c>
      <c r="Q126" s="8" t="s">
        <v>440</v>
      </c>
      <c r="R126" s="8" t="s">
        <v>440</v>
      </c>
      <c r="S126" s="8" t="s">
        <v>440</v>
      </c>
      <c r="T126" s="8" t="s">
        <v>440</v>
      </c>
      <c r="U126" s="8" t="s">
        <v>440</v>
      </c>
      <c r="V126" s="8" t="s">
        <v>440</v>
      </c>
      <c r="W126" s="8" t="s">
        <v>440</v>
      </c>
    </row>
    <row r="127" customFormat="false" ht="15" hidden="false" customHeight="true" outlineLevel="0" collapsed="false">
      <c r="A127" s="8" t="n">
        <v>123</v>
      </c>
      <c r="B127" s="8" t="s">
        <v>606</v>
      </c>
      <c r="C127" s="9" t="s">
        <v>315</v>
      </c>
      <c r="D127" s="9" t="s">
        <v>684</v>
      </c>
      <c r="E127" s="8" t="s">
        <v>440</v>
      </c>
      <c r="F127" s="9" t="s">
        <v>440</v>
      </c>
      <c r="G127" s="8" t="s">
        <v>440</v>
      </c>
      <c r="H127" s="8" t="s">
        <v>440</v>
      </c>
      <c r="I127" s="8" t="s">
        <v>440</v>
      </c>
      <c r="J127" s="8" t="s">
        <v>440</v>
      </c>
      <c r="K127" s="8" t="s">
        <v>440</v>
      </c>
      <c r="L127" s="8" t="s">
        <v>440</v>
      </c>
      <c r="M127" s="8" t="s">
        <v>440</v>
      </c>
      <c r="N127" s="8" t="s">
        <v>440</v>
      </c>
      <c r="O127" s="8" t="s">
        <v>440</v>
      </c>
      <c r="P127" s="8" t="s">
        <v>440</v>
      </c>
      <c r="Q127" s="8" t="s">
        <v>440</v>
      </c>
      <c r="R127" s="8" t="s">
        <v>440</v>
      </c>
      <c r="S127" s="8" t="s">
        <v>440</v>
      </c>
      <c r="T127" s="8" t="s">
        <v>440</v>
      </c>
      <c r="U127" s="8" t="s">
        <v>440</v>
      </c>
      <c r="V127" s="8" t="s">
        <v>440</v>
      </c>
      <c r="W127" s="8" t="s">
        <v>440</v>
      </c>
    </row>
  </sheetData>
  <autoFilter ref="A4:W127"/>
  <mergeCells count="2">
    <mergeCell ref="A1:V1"/>
    <mergeCell ref="A2:V2"/>
  </mergeCells>
  <conditionalFormatting sqref="G5:G127">
    <cfRule type="cellIs" priority="2" operator="lessThanOrEqual" aboveAverage="0" equalAverage="0" bottom="0" percent="0" rank="0" text="" dxfId="15">
      <formula>10</formula>
    </cfRule>
    <cfRule type="cellIs" priority="3" operator="between" aboveAverage="0" equalAverage="0" bottom="0" percent="0" rank="0" text="" dxfId="18">
      <formula>11</formula>
      <formula>50</formula>
    </cfRule>
    <cfRule type="cellIs" priority="4" operator="between" aboveAverage="0" equalAverage="0" bottom="0" percent="0" rank="0" text="" dxfId="19">
      <formula>51</formula>
      <formula>100</formula>
    </cfRule>
  </conditionalFormatting>
  <conditionalFormatting sqref="H5:H127">
    <cfRule type="cellIs" priority="5" operator="lessThanOrEqual" aboveAverage="0" equalAverage="0" bottom="0" percent="0" rank="0" text="" dxfId="15">
      <formula>10</formula>
    </cfRule>
    <cfRule type="cellIs" priority="6" operator="between" aboveAverage="0" equalAverage="0" bottom="0" percent="0" rank="0" text="" dxfId="18">
      <formula>11</formula>
      <formula>50</formula>
    </cfRule>
    <cfRule type="cellIs" priority="7" operator="between" aboveAverage="0" equalAverage="0" bottom="0" percent="0" rank="0" text="" dxfId="19">
      <formula>51</formula>
      <formula>100</formula>
    </cfRule>
  </conditionalFormatting>
  <conditionalFormatting sqref="I5:I127">
    <cfRule type="cellIs" priority="8" operator="lessThanOrEqual" aboveAverage="0" equalAverage="0" bottom="0" percent="0" rank="0" text="" dxfId="15">
      <formula>10</formula>
    </cfRule>
    <cfRule type="cellIs" priority="9" operator="between" aboveAverage="0" equalAverage="0" bottom="0" percent="0" rank="0" text="" dxfId="18">
      <formula>11</formula>
      <formula>50</formula>
    </cfRule>
    <cfRule type="cellIs" priority="10" operator="between" aboveAverage="0" equalAverage="0" bottom="0" percent="0" rank="0" text="" dxfId="19">
      <formula>51</formula>
      <formula>100</formula>
    </cfRule>
  </conditionalFormatting>
  <conditionalFormatting sqref="J5:J127">
    <cfRule type="cellIs" priority="11" operator="lessThanOrEqual" aboveAverage="0" equalAverage="0" bottom="0" percent="0" rank="0" text="" dxfId="15">
      <formula>10</formula>
    </cfRule>
    <cfRule type="cellIs" priority="12" operator="between" aboveAverage="0" equalAverage="0" bottom="0" percent="0" rank="0" text="" dxfId="18">
      <formula>11</formula>
      <formula>50</formula>
    </cfRule>
    <cfRule type="cellIs" priority="13" operator="between" aboveAverage="0" equalAverage="0" bottom="0" percent="0" rank="0" text="" dxfId="19">
      <formula>51</formula>
      <formula>100</formula>
    </cfRule>
  </conditionalFormatting>
  <conditionalFormatting sqref="K5:K127">
    <cfRule type="cellIs" priority="14" operator="lessThanOrEqual" aboveAverage="0" equalAverage="0" bottom="0" percent="0" rank="0" text="" dxfId="15">
      <formula>10</formula>
    </cfRule>
    <cfRule type="cellIs" priority="15" operator="between" aboveAverage="0" equalAverage="0" bottom="0" percent="0" rank="0" text="" dxfId="18">
      <formula>11</formula>
      <formula>50</formula>
    </cfRule>
    <cfRule type="cellIs" priority="16" operator="between" aboveAverage="0" equalAverage="0" bottom="0" percent="0" rank="0" text="" dxfId="19">
      <formula>51</formula>
      <formula>100</formula>
    </cfRule>
  </conditionalFormatting>
  <conditionalFormatting sqref="L5:L127">
    <cfRule type="cellIs" priority="17" operator="lessThanOrEqual" aboveAverage="0" equalAverage="0" bottom="0" percent="0" rank="0" text="" dxfId="15">
      <formula>10</formula>
    </cfRule>
    <cfRule type="cellIs" priority="18" operator="between" aboveAverage="0" equalAverage="0" bottom="0" percent="0" rank="0" text="" dxfId="18">
      <formula>11</formula>
      <formula>50</formula>
    </cfRule>
    <cfRule type="cellIs" priority="19" operator="between" aboveAverage="0" equalAverage="0" bottom="0" percent="0" rank="0" text="" dxfId="19">
      <formula>51</formula>
      <formula>100</formula>
    </cfRule>
  </conditionalFormatting>
  <conditionalFormatting sqref="M5:M127">
    <cfRule type="cellIs" priority="20" operator="lessThanOrEqual" aboveAverage="0" equalAverage="0" bottom="0" percent="0" rank="0" text="" dxfId="15">
      <formula>10</formula>
    </cfRule>
    <cfRule type="cellIs" priority="21" operator="between" aboveAverage="0" equalAverage="0" bottom="0" percent="0" rank="0" text="" dxfId="18">
      <formula>11</formula>
      <formula>50</formula>
    </cfRule>
    <cfRule type="cellIs" priority="22" operator="between" aboveAverage="0" equalAverage="0" bottom="0" percent="0" rank="0" text="" dxfId="19">
      <formula>51</formula>
      <formula>100</formula>
    </cfRule>
  </conditionalFormatting>
  <conditionalFormatting sqref="N5:N127">
    <cfRule type="cellIs" priority="23" operator="lessThanOrEqual" aboveAverage="0" equalAverage="0" bottom="0" percent="0" rank="0" text="" dxfId="15">
      <formula>10</formula>
    </cfRule>
    <cfRule type="cellIs" priority="24" operator="between" aboveAverage="0" equalAverage="0" bottom="0" percent="0" rank="0" text="" dxfId="18">
      <formula>11</formula>
      <formula>50</formula>
    </cfRule>
    <cfRule type="cellIs" priority="25" operator="between" aboveAverage="0" equalAverage="0" bottom="0" percent="0" rank="0" text="" dxfId="19">
      <formula>51</formula>
      <formula>100</formula>
    </cfRule>
  </conditionalFormatting>
  <conditionalFormatting sqref="O5:O127">
    <cfRule type="cellIs" priority="26" operator="lessThanOrEqual" aboveAverage="0" equalAverage="0" bottom="0" percent="0" rank="0" text="" dxfId="15">
      <formula>10</formula>
    </cfRule>
    <cfRule type="cellIs" priority="27" operator="between" aboveAverage="0" equalAverage="0" bottom="0" percent="0" rank="0" text="" dxfId="18">
      <formula>11</formula>
      <formula>50</formula>
    </cfRule>
    <cfRule type="cellIs" priority="28" operator="between" aboveAverage="0" equalAverage="0" bottom="0" percent="0" rank="0" text="" dxfId="19">
      <formula>51</formula>
      <formula>100</formula>
    </cfRule>
  </conditionalFormatting>
  <conditionalFormatting sqref="P5:P127">
    <cfRule type="cellIs" priority="29" operator="lessThanOrEqual" aboveAverage="0" equalAverage="0" bottom="0" percent="0" rank="0" text="" dxfId="15">
      <formula>10</formula>
    </cfRule>
    <cfRule type="cellIs" priority="30" operator="between" aboveAverage="0" equalAverage="0" bottom="0" percent="0" rank="0" text="" dxfId="18">
      <formula>11</formula>
      <formula>50</formula>
    </cfRule>
    <cfRule type="cellIs" priority="31" operator="between" aboveAverage="0" equalAverage="0" bottom="0" percent="0" rank="0" text="" dxfId="19">
      <formula>51</formula>
      <formula>100</formula>
    </cfRule>
  </conditionalFormatting>
  <conditionalFormatting sqref="Q5:Q127">
    <cfRule type="cellIs" priority="32" operator="lessThanOrEqual" aboveAverage="0" equalAverage="0" bottom="0" percent="0" rank="0" text="" dxfId="15">
      <formula>10</formula>
    </cfRule>
    <cfRule type="cellIs" priority="33" operator="between" aboveAverage="0" equalAverage="0" bottom="0" percent="0" rank="0" text="" dxfId="18">
      <formula>11</formula>
      <formula>50</formula>
    </cfRule>
    <cfRule type="cellIs" priority="34" operator="between" aboveAverage="0" equalAverage="0" bottom="0" percent="0" rank="0" text="" dxfId="19">
      <formula>51</formula>
      <formula>100</formula>
    </cfRule>
  </conditionalFormatting>
  <conditionalFormatting sqref="R5:R127">
    <cfRule type="cellIs" priority="35" operator="lessThanOrEqual" aboveAverage="0" equalAverage="0" bottom="0" percent="0" rank="0" text="" dxfId="15">
      <formula>10</formula>
    </cfRule>
    <cfRule type="cellIs" priority="36" operator="between" aboveAverage="0" equalAverage="0" bottom="0" percent="0" rank="0" text="" dxfId="18">
      <formula>11</formula>
      <formula>50</formula>
    </cfRule>
    <cfRule type="cellIs" priority="37" operator="between" aboveAverage="0" equalAverage="0" bottom="0" percent="0" rank="0" text="" dxfId="19">
      <formula>51</formula>
      <formula>100</formula>
    </cfRule>
  </conditionalFormatting>
  <conditionalFormatting sqref="S5:S127">
    <cfRule type="cellIs" priority="38" operator="lessThanOrEqual" aboveAverage="0" equalAverage="0" bottom="0" percent="0" rank="0" text="" dxfId="15">
      <formula>10</formula>
    </cfRule>
    <cfRule type="cellIs" priority="39" operator="between" aboveAverage="0" equalAverage="0" bottom="0" percent="0" rank="0" text="" dxfId="18">
      <formula>11</formula>
      <formula>50</formula>
    </cfRule>
    <cfRule type="cellIs" priority="40" operator="between" aboveAverage="0" equalAverage="0" bottom="0" percent="0" rank="0" text="" dxfId="19">
      <formula>51</formula>
      <formula>100</formula>
    </cfRule>
  </conditionalFormatting>
  <conditionalFormatting sqref="T5:T127">
    <cfRule type="cellIs" priority="41" operator="lessThanOrEqual" aboveAverage="0" equalAverage="0" bottom="0" percent="0" rank="0" text="" dxfId="15">
      <formula>10</formula>
    </cfRule>
    <cfRule type="cellIs" priority="42" operator="between" aboveAverage="0" equalAverage="0" bottom="0" percent="0" rank="0" text="" dxfId="18">
      <formula>11</formula>
      <formula>50</formula>
    </cfRule>
    <cfRule type="cellIs" priority="43" operator="between" aboveAverage="0" equalAverage="0" bottom="0" percent="0" rank="0" text="" dxfId="19">
      <formula>51</formula>
      <formula>100</formula>
    </cfRule>
  </conditionalFormatting>
  <conditionalFormatting sqref="U5:U127">
    <cfRule type="cellIs" priority="44" operator="lessThanOrEqual" aboveAverage="0" equalAverage="0" bottom="0" percent="0" rank="0" text="" dxfId="15">
      <formula>10</formula>
    </cfRule>
    <cfRule type="cellIs" priority="45" operator="between" aboveAverage="0" equalAverage="0" bottom="0" percent="0" rank="0" text="" dxfId="18">
      <formula>11</formula>
      <formula>50</formula>
    </cfRule>
    <cfRule type="cellIs" priority="46" operator="between" aboveAverage="0" equalAverage="0" bottom="0" percent="0" rank="0" text="" dxfId="19">
      <formula>51</formula>
      <formula>100</formula>
    </cfRule>
  </conditionalFormatting>
  <conditionalFormatting sqref="V5:V127">
    <cfRule type="cellIs" priority="47" operator="lessThanOrEqual" aboveAverage="0" equalAverage="0" bottom="0" percent="0" rank="0" text="" dxfId="15">
      <formula>10</formula>
    </cfRule>
    <cfRule type="cellIs" priority="48" operator="between" aboveAverage="0" equalAverage="0" bottom="0" percent="0" rank="0" text="" dxfId="18">
      <formula>11</formula>
      <formula>50</formula>
    </cfRule>
    <cfRule type="cellIs" priority="49" operator="between" aboveAverage="0" equalAverage="0" bottom="0" percent="0" rank="0" text="" dxfId="19">
      <formula>51</formula>
      <formula>100</formula>
    </cfRule>
  </conditionalFormatting>
  <conditionalFormatting sqref="W5:W127">
    <cfRule type="cellIs" priority="50" operator="lessThanOrEqual" aboveAverage="0" equalAverage="0" bottom="0" percent="0" rank="0" text="" dxfId="15">
      <formula>10</formula>
    </cfRule>
    <cfRule type="cellIs" priority="51" operator="between" aboveAverage="0" equalAverage="0" bottom="0" percent="0" rank="0" text="" dxfId="18">
      <formula>11</formula>
      <formula>50</formula>
    </cfRule>
    <cfRule type="cellIs" priority="52" operator="between" aboveAverage="0" equalAverage="0" bottom="0" percent="0" rank="0" text="" dxfId="19">
      <formula>51</formula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19.7" hidden="false" customHeight="false" outlineLevel="0" collapsed="false">
      <c r="A1" s="23" t="s">
        <v>789</v>
      </c>
      <c r="B1" s="23"/>
      <c r="C1" s="23"/>
      <c r="D1" s="23"/>
      <c r="E1" s="23"/>
      <c r="F1" s="23"/>
    </row>
    <row r="2" customFormat="false" ht="39.75" hidden="false" customHeight="true" outlineLevel="0" collapsed="false">
      <c r="A2" s="24" t="s">
        <v>790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7" t="s">
        <v>791</v>
      </c>
      <c r="B4" s="7" t="s">
        <v>792</v>
      </c>
      <c r="C4" s="7" t="s">
        <v>793</v>
      </c>
      <c r="D4" s="7" t="s">
        <v>794</v>
      </c>
      <c r="E4" s="7" t="s">
        <v>795</v>
      </c>
      <c r="F4" s="7" t="s">
        <v>284</v>
      </c>
    </row>
    <row r="5" customFormat="false" ht="15" hidden="false" customHeight="false" outlineLevel="0" collapsed="false">
      <c r="A5" s="9" t="s">
        <v>497</v>
      </c>
      <c r="B5" s="8" t="s">
        <v>745</v>
      </c>
      <c r="C5" s="9" t="s">
        <v>796</v>
      </c>
      <c r="D5" s="8" t="n">
        <v>11</v>
      </c>
      <c r="E5" s="8" t="n">
        <v>67.9</v>
      </c>
      <c r="F5" s="9" t="s">
        <v>797</v>
      </c>
    </row>
    <row r="6" customFormat="false" ht="15" hidden="false" customHeight="false" outlineLevel="0" collapsed="false">
      <c r="A6" s="9" t="s">
        <v>497</v>
      </c>
      <c r="B6" s="8" t="s">
        <v>749</v>
      </c>
      <c r="C6" s="9" t="s">
        <v>798</v>
      </c>
      <c r="D6" s="8" t="n">
        <v>7</v>
      </c>
      <c r="E6" s="8" t="n">
        <v>74.07</v>
      </c>
      <c r="F6" s="9" t="s">
        <v>797</v>
      </c>
    </row>
    <row r="7" customFormat="false" ht="15" hidden="false" customHeight="false" outlineLevel="0" collapsed="false">
      <c r="A7" s="9" t="s">
        <v>434</v>
      </c>
      <c r="B7" s="8" t="s">
        <v>745</v>
      </c>
      <c r="C7" s="9" t="s">
        <v>799</v>
      </c>
      <c r="D7" s="8" t="n">
        <v>39</v>
      </c>
      <c r="E7" s="8" t="s">
        <v>440</v>
      </c>
      <c r="F7" s="9" t="s">
        <v>797</v>
      </c>
    </row>
    <row r="8" customFormat="false" ht="15" hidden="false" customHeight="false" outlineLevel="0" collapsed="false">
      <c r="A8" s="9" t="s">
        <v>434</v>
      </c>
      <c r="B8" s="8" t="s">
        <v>744</v>
      </c>
      <c r="C8" s="9" t="s">
        <v>800</v>
      </c>
      <c r="D8" s="8" t="n">
        <v>59</v>
      </c>
      <c r="E8" s="8" t="s">
        <v>440</v>
      </c>
      <c r="F8" s="9" t="s">
        <v>797</v>
      </c>
    </row>
    <row r="9" customFormat="false" ht="15" hidden="false" customHeight="false" outlineLevel="0" collapsed="false">
      <c r="A9" s="9" t="s">
        <v>434</v>
      </c>
      <c r="B9" s="8" t="s">
        <v>746</v>
      </c>
      <c r="C9" s="9" t="s">
        <v>801</v>
      </c>
      <c r="D9" s="8" t="n">
        <v>8</v>
      </c>
      <c r="E9" s="8" t="s">
        <v>440</v>
      </c>
      <c r="F9" s="9" t="s">
        <v>797</v>
      </c>
    </row>
    <row r="10" customFormat="false" ht="15" hidden="false" customHeight="false" outlineLevel="0" collapsed="false">
      <c r="A10" s="9" t="s">
        <v>434</v>
      </c>
      <c r="B10" s="8" t="s">
        <v>747</v>
      </c>
      <c r="C10" s="9" t="s">
        <v>802</v>
      </c>
      <c r="D10" s="8" t="n">
        <v>10</v>
      </c>
      <c r="E10" s="8" t="s">
        <v>440</v>
      </c>
      <c r="F10" s="9" t="s">
        <v>797</v>
      </c>
    </row>
    <row r="11" customFormat="false" ht="15" hidden="false" customHeight="false" outlineLevel="0" collapsed="false">
      <c r="A11" s="9" t="s">
        <v>434</v>
      </c>
      <c r="B11" s="8" t="s">
        <v>748</v>
      </c>
      <c r="C11" s="9" t="s">
        <v>803</v>
      </c>
      <c r="D11" s="8" t="n">
        <v>5</v>
      </c>
      <c r="E11" s="8" t="s">
        <v>440</v>
      </c>
      <c r="F11" s="9" t="s">
        <v>797</v>
      </c>
    </row>
    <row r="12" customFormat="false" ht="15" hidden="false" customHeight="false" outlineLevel="0" collapsed="false">
      <c r="A12" s="9" t="s">
        <v>434</v>
      </c>
      <c r="B12" s="8" t="s">
        <v>750</v>
      </c>
      <c r="C12" s="9" t="s">
        <v>804</v>
      </c>
      <c r="D12" s="8" t="n">
        <v>27</v>
      </c>
      <c r="E12" s="8" t="s">
        <v>440</v>
      </c>
      <c r="F12" s="9" t="s">
        <v>797</v>
      </c>
    </row>
    <row r="13" customFormat="false" ht="15" hidden="false" customHeight="false" outlineLevel="0" collapsed="false">
      <c r="A13" s="9" t="s">
        <v>429</v>
      </c>
      <c r="B13" s="8" t="s">
        <v>746</v>
      </c>
      <c r="C13" s="9" t="s">
        <v>805</v>
      </c>
      <c r="D13" s="8" t="n">
        <v>4</v>
      </c>
      <c r="E13" s="8" t="s">
        <v>440</v>
      </c>
      <c r="F13" s="9" t="s">
        <v>797</v>
      </c>
    </row>
    <row r="14" customFormat="false" ht="15" hidden="false" customHeight="false" outlineLevel="0" collapsed="false">
      <c r="A14" s="9" t="s">
        <v>429</v>
      </c>
      <c r="B14" s="8" t="s">
        <v>747</v>
      </c>
      <c r="C14" s="9" t="s">
        <v>806</v>
      </c>
      <c r="D14" s="8" t="n">
        <v>37</v>
      </c>
      <c r="E14" s="8" t="s">
        <v>440</v>
      </c>
      <c r="F14" s="9" t="s">
        <v>797</v>
      </c>
    </row>
    <row r="15" customFormat="false" ht="15" hidden="false" customHeight="false" outlineLevel="0" collapsed="false">
      <c r="A15" s="9" t="s">
        <v>429</v>
      </c>
      <c r="B15" s="8" t="s">
        <v>748</v>
      </c>
      <c r="C15" s="9" t="s">
        <v>807</v>
      </c>
      <c r="D15" s="8" t="n">
        <v>10</v>
      </c>
      <c r="E15" s="8" t="s">
        <v>440</v>
      </c>
      <c r="F15" s="9" t="s">
        <v>797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7" style="1" width="30"/>
    <col collapsed="false" customWidth="true" hidden="false" outlineLevel="0" max="8" min="8" style="1" width="12"/>
    <col collapsed="false" customWidth="true" hidden="false" outlineLevel="0" max="10" min="10" style="1" width="30"/>
    <col collapsed="false" customWidth="true" hidden="false" outlineLevel="0" max="11" min="11" style="1" width="12"/>
    <col collapsed="false" customWidth="true" hidden="false" outlineLevel="0" max="13" min="13" style="1" width="36"/>
    <col collapsed="false" customWidth="true" hidden="false" outlineLevel="0" max="14" min="14" style="1" width="10"/>
    <col collapsed="false" customWidth="true" hidden="false" outlineLevel="0" max="16" min="16" style="1" width="28"/>
    <col collapsed="false" customWidth="true" hidden="false" outlineLevel="0" max="17" min="17" style="1" width="13"/>
    <col collapsed="false" customWidth="true" hidden="false" outlineLevel="0" max="19" min="19" style="1" width="36"/>
    <col collapsed="false" customWidth="true" hidden="false" outlineLevel="0" max="20" min="20" style="1" width="13"/>
    <col collapsed="false" customWidth="true" hidden="false" outlineLevel="0" max="22" min="22" style="1" width="32"/>
    <col collapsed="false" customWidth="true" hidden="false" outlineLevel="0" max="23" min="23" style="1" width="12"/>
  </cols>
  <sheetData>
    <row r="1" customFormat="false" ht="19.5" hidden="false" customHeight="true" outlineLevel="0" collapsed="false">
      <c r="A1" s="2" t="s">
        <v>808</v>
      </c>
      <c r="B1" s="2"/>
      <c r="C1" s="2"/>
      <c r="D1" s="2"/>
    </row>
    <row r="3" customFormat="false" ht="15" hidden="false" customHeight="true" outlineLevel="0" collapsed="false">
      <c r="A3" s="25" t="s">
        <v>809</v>
      </c>
      <c r="B3" s="26" t="n">
        <f aca="false">COUNTA(Master_Online!F2:F2000)</f>
        <v>796</v>
      </c>
    </row>
    <row r="4" customFormat="false" ht="15" hidden="false" customHeight="true" outlineLevel="0" collapsed="false">
      <c r="A4" s="25" t="s">
        <v>810</v>
      </c>
      <c r="B4" s="26" t="n">
        <f aca="false">SUMPRODUCT(1/COUNTIF(Master_Online!E2:E2000,Master_Online!E2:E2000&amp;""))</f>
        <v>124</v>
      </c>
    </row>
    <row r="6" customFormat="false" ht="26.25" hidden="false" customHeight="true" outlineLevel="0" collapsed="false">
      <c r="A6" s="27" t="s">
        <v>811</v>
      </c>
      <c r="B6" s="28" t="s">
        <v>812</v>
      </c>
      <c r="D6" s="27" t="s">
        <v>813</v>
      </c>
      <c r="E6" s="28" t="s">
        <v>812</v>
      </c>
      <c r="G6" s="28" t="s">
        <v>814</v>
      </c>
      <c r="H6" s="28" t="s">
        <v>812</v>
      </c>
      <c r="J6" s="28" t="s">
        <v>815</v>
      </c>
      <c r="K6" s="28" t="s">
        <v>812</v>
      </c>
      <c r="M6" s="28" t="s">
        <v>816</v>
      </c>
      <c r="N6" s="28" t="s">
        <v>812</v>
      </c>
      <c r="P6" s="28" t="s">
        <v>817</v>
      </c>
      <c r="Q6" s="28" t="s">
        <v>818</v>
      </c>
      <c r="S6" s="28" t="s">
        <v>819</v>
      </c>
      <c r="T6" s="28" t="s">
        <v>818</v>
      </c>
      <c r="V6" s="28" t="s">
        <v>820</v>
      </c>
      <c r="W6" s="28" t="s">
        <v>818</v>
      </c>
    </row>
    <row r="7" customFormat="false" ht="15" hidden="false" customHeight="true" outlineLevel="0" collapsed="false">
      <c r="A7" s="29" t="s">
        <v>285</v>
      </c>
      <c r="B7" s="8" t="n">
        <f aca="false">COUNTIF(Master_Online!C:C,A7)</f>
        <v>31</v>
      </c>
      <c r="D7" s="29" t="s">
        <v>372</v>
      </c>
      <c r="E7" s="8" t="n">
        <f aca="false">COUNTIF(Master_Online!G:G,D7)</f>
        <v>3</v>
      </c>
      <c r="G7" s="29" t="s">
        <v>293</v>
      </c>
      <c r="H7" s="8" t="n">
        <f aca="false">COUNTIF(Master_Online!K:K,"Notice 1 (Jan 2026)")</f>
        <v>750</v>
      </c>
      <c r="J7" s="29" t="s">
        <v>821</v>
      </c>
      <c r="K7" s="8" t="n">
        <f aca="false">COUNTIF(Master_Online!O:O,"Yes")</f>
        <v>111</v>
      </c>
      <c r="M7" s="29" t="s">
        <v>822</v>
      </c>
      <c r="N7" s="8" t="n">
        <f aca="false">COUNTA(NIRF_All_Rankings!E5:E200)-COUNTIF(NIRF_All_Rankings!E5:E200,"—")</f>
        <v>80</v>
      </c>
      <c r="P7" s="29" t="s">
        <v>296</v>
      </c>
      <c r="Q7" s="8" t="n">
        <f aca="false">COUNTIF(University_Summary!H:H,"A++")</f>
        <v>49</v>
      </c>
      <c r="S7" s="29" t="s">
        <v>823</v>
      </c>
      <c r="T7" s="8" t="n">
        <f aca="false">COUNTIF(University_Summary!N:N,"Accredited")</f>
        <v>7</v>
      </c>
      <c r="V7" s="29" t="s">
        <v>824</v>
      </c>
      <c r="W7" s="8" t="n">
        <f aca="false">COUNTA(University_Summary!O2:O200)</f>
        <v>24</v>
      </c>
    </row>
    <row r="8" customFormat="false" ht="15" hidden="false" customHeight="true" outlineLevel="0" collapsed="false">
      <c r="A8" s="29" t="s">
        <v>335</v>
      </c>
      <c r="B8" s="8" t="n">
        <f aca="false">COUNTIF(Master_Online!C:C,A8)</f>
        <v>6</v>
      </c>
      <c r="D8" s="29" t="s">
        <v>289</v>
      </c>
      <c r="E8" s="8" t="n">
        <f aca="false">COUNTIF(Master_Online!G:G,D8)</f>
        <v>71</v>
      </c>
      <c r="G8" s="29" t="s">
        <v>645</v>
      </c>
      <c r="H8" s="8" t="n">
        <f aca="false">COUNTIF(Master_Online!K:K,"Notice 2 (Dec 2025)")</f>
        <v>46</v>
      </c>
      <c r="J8" s="29" t="s">
        <v>825</v>
      </c>
      <c r="K8" s="8" t="n">
        <f aca="false">COUNTIF(Master_Online!O:O,"N/A")</f>
        <v>442</v>
      </c>
      <c r="M8" s="29" t="s">
        <v>826</v>
      </c>
      <c r="N8" s="8" t="n">
        <f aca="false">COUNT(NIRF_All_Rankings!G5:G200)</f>
        <v>38</v>
      </c>
      <c r="P8" s="29" t="s">
        <v>327</v>
      </c>
      <c r="Q8" s="8" t="n">
        <f aca="false">COUNTIF(University_Summary!H:H,"A+")</f>
        <v>49</v>
      </c>
      <c r="S8" s="29" t="s">
        <v>827</v>
      </c>
      <c r="T8" s="8" t="n">
        <f aca="false">COUNTIF(University_Summary!N:N,"Member-Only")</f>
        <v>0</v>
      </c>
      <c r="V8" s="29" t="s">
        <v>828</v>
      </c>
      <c r="W8" s="8" t="n">
        <f aca="false">COUNTIF(University_Summary!P:P,"All Valid")</f>
        <v>9</v>
      </c>
    </row>
    <row r="9" customFormat="false" ht="15" hidden="false" customHeight="true" outlineLevel="0" collapsed="false">
      <c r="A9" s="29" t="s">
        <v>337</v>
      </c>
      <c r="B9" s="8" t="n">
        <f aca="false">COUNTIF(Master_Online!C:C,A9)</f>
        <v>18</v>
      </c>
      <c r="D9" s="29" t="s">
        <v>499</v>
      </c>
      <c r="E9" s="8" t="n">
        <f aca="false">COUNTIF(Master_Online!G:G,D9)</f>
        <v>2</v>
      </c>
      <c r="J9" s="29" t="s">
        <v>829</v>
      </c>
      <c r="K9" s="8" t="n">
        <f aca="false">COUNTIF(Master_Online!O:O,"No")</f>
        <v>243</v>
      </c>
      <c r="M9" s="29" t="s">
        <v>830</v>
      </c>
      <c r="N9" s="8" t="n">
        <f aca="false">COUNT(NIRF_All_Rankings!H5:H200)</f>
        <v>57</v>
      </c>
      <c r="P9" s="29" t="s">
        <v>424</v>
      </c>
      <c r="Q9" s="8" t="n">
        <f aca="false">COUNTIF(University_Summary!H:H,"A")</f>
        <v>16</v>
      </c>
      <c r="S9" s="29" t="s">
        <v>831</v>
      </c>
      <c r="T9" s="8" t="n">
        <v>30</v>
      </c>
      <c r="V9" s="29" t="s">
        <v>832</v>
      </c>
      <c r="W9" s="8" t="n">
        <f aca="false">COUNTIF(University_Summary!P:P,"Mixed")</f>
        <v>9</v>
      </c>
    </row>
    <row r="10" customFormat="false" ht="26.25" hidden="false" customHeight="true" outlineLevel="0" collapsed="false">
      <c r="A10" s="29" t="s">
        <v>350</v>
      </c>
      <c r="B10" s="8" t="n">
        <f aca="false">COUNTIF(Master_Online!C:C,A10)</f>
        <v>32</v>
      </c>
      <c r="D10" s="29" t="s">
        <v>298</v>
      </c>
      <c r="E10" s="8" t="n">
        <f aca="false">COUNTIF(Master_Online!G:G,D10)</f>
        <v>45</v>
      </c>
      <c r="G10" s="28" t="s">
        <v>833</v>
      </c>
      <c r="H10" s="28" t="s">
        <v>812</v>
      </c>
      <c r="J10" s="29" t="s">
        <v>834</v>
      </c>
      <c r="K10" s="8" t="n">
        <f aca="false">COUNTBLANK(Master_Online!O2:O796)</f>
        <v>0</v>
      </c>
      <c r="M10" s="29" t="s">
        <v>835</v>
      </c>
      <c r="N10" s="8" t="n">
        <f aca="false">COUNT(NIRF_All_Rankings!I5:I200)</f>
        <v>13</v>
      </c>
      <c r="P10" s="29" t="s">
        <v>836</v>
      </c>
      <c r="Q10" s="8" t="n">
        <f aca="false">COUNTIF(University_Summary!H:H,"B++")</f>
        <v>0</v>
      </c>
      <c r="V10" s="29" t="s">
        <v>837</v>
      </c>
      <c r="W10" s="8" t="n">
        <f aca="false">COUNTIF(University_Summary!P:P,"All Expired")</f>
        <v>6</v>
      </c>
    </row>
    <row r="11" customFormat="false" ht="15" hidden="false" customHeight="true" outlineLevel="0" collapsed="false">
      <c r="A11" s="29" t="s">
        <v>382</v>
      </c>
      <c r="B11" s="8" t="n">
        <f aca="false">COUNTIF(Master_Online!C:C,A11)</f>
        <v>52</v>
      </c>
      <c r="D11" s="29" t="s">
        <v>318</v>
      </c>
      <c r="E11" s="8" t="n">
        <f aca="false">COUNTIF(Master_Online!G:G,D11)</f>
        <v>81</v>
      </c>
      <c r="G11" s="29" t="s">
        <v>838</v>
      </c>
      <c r="H11" s="8" t="n">
        <f aca="false">COUNTIF(Master_Online!N:N,G11)</f>
        <v>31</v>
      </c>
      <c r="M11" s="29" t="s">
        <v>839</v>
      </c>
      <c r="N11" s="8" t="n">
        <f aca="false">COUNT(NIRF_All_Rankings!J5:J200)</f>
        <v>25</v>
      </c>
      <c r="P11" s="29" t="s">
        <v>454</v>
      </c>
      <c r="Q11" s="8" t="n">
        <f aca="false">COUNTIF(University_Summary!H:H,"B+")</f>
        <v>2</v>
      </c>
      <c r="V11" s="29" t="s">
        <v>840</v>
      </c>
      <c r="W11" s="8" t="n">
        <v>3584</v>
      </c>
    </row>
    <row r="12" customFormat="false" ht="15" hidden="false" customHeight="true" outlineLevel="0" collapsed="false">
      <c r="A12" s="29" t="s">
        <v>402</v>
      </c>
      <c r="B12" s="8" t="n">
        <f aca="false">COUNTIF(Master_Online!C:C,A12)</f>
        <v>48</v>
      </c>
      <c r="D12" s="29" t="s">
        <v>320</v>
      </c>
      <c r="E12" s="8" t="n">
        <f aca="false">COUNTIF(Master_Online!G:G,D12)</f>
        <v>59</v>
      </c>
      <c r="G12" s="29" t="s">
        <v>841</v>
      </c>
      <c r="H12" s="8" t="n">
        <f aca="false">COUNTIF(Master_Online!N:N,G12)</f>
        <v>750</v>
      </c>
      <c r="M12" s="29" t="s">
        <v>842</v>
      </c>
      <c r="N12" s="8" t="n">
        <f aca="false">COUNT(NIRF_All_Rankings!K5:K200)</f>
        <v>26</v>
      </c>
      <c r="P12" s="29" t="s">
        <v>843</v>
      </c>
      <c r="Q12" s="8" t="n">
        <f aca="false">COUNTIF(University_Summary!H:H,"B")</f>
        <v>0</v>
      </c>
      <c r="V12" s="29" t="s">
        <v>844</v>
      </c>
      <c r="W12" s="8" t="n">
        <v>991</v>
      </c>
    </row>
    <row r="13" customFormat="false" ht="15" hidden="false" customHeight="true" outlineLevel="0" collapsed="false">
      <c r="A13" s="29" t="s">
        <v>415</v>
      </c>
      <c r="B13" s="8" t="n">
        <f aca="false">COUNTIF(Master_Online!C:C,A13)</f>
        <v>13</v>
      </c>
      <c r="D13" s="29" t="s">
        <v>342</v>
      </c>
      <c r="E13" s="8" t="n">
        <f aca="false">COUNTIF(Master_Online!G:G,D13)</f>
        <v>1</v>
      </c>
      <c r="G13" s="29" t="s">
        <v>845</v>
      </c>
      <c r="H13" s="8" t="n">
        <f aca="false">COUNTIF(Master_Online!N:N,G13)</f>
        <v>0</v>
      </c>
      <c r="M13" s="29" t="s">
        <v>846</v>
      </c>
      <c r="N13" s="8" t="n">
        <f aca="false">COUNT(NIRF_All_Rankings!L5:L200)</f>
        <v>26</v>
      </c>
      <c r="P13" s="29" t="s">
        <v>847</v>
      </c>
      <c r="Q13" s="8" t="n">
        <f aca="false">COUNTIF(University_Summary!H:H,"C")</f>
        <v>0</v>
      </c>
    </row>
    <row r="14" customFormat="false" ht="15" hidden="false" customHeight="true" outlineLevel="0" collapsed="false">
      <c r="A14" s="29" t="s">
        <v>420</v>
      </c>
      <c r="B14" s="8" t="n">
        <f aca="false">COUNTIF(Master_Online!C:C,A14)</f>
        <v>2</v>
      </c>
      <c r="D14" s="29" t="s">
        <v>309</v>
      </c>
      <c r="E14" s="8" t="n">
        <f aca="false">COUNTIF(Master_Online!G:G,D14)</f>
        <v>56</v>
      </c>
      <c r="G14" s="29" t="s">
        <v>848</v>
      </c>
      <c r="H14" s="8" t="n">
        <f aca="false">COUNTIF(Master_Online!N:N,G14)</f>
        <v>15</v>
      </c>
      <c r="M14" s="29" t="s">
        <v>849</v>
      </c>
      <c r="N14" s="8" t="n">
        <f aca="false">COUNT(NIRF_All_Rankings!M5:M200)</f>
        <v>11</v>
      </c>
      <c r="P14" s="29" t="s">
        <v>850</v>
      </c>
      <c r="Q14" s="8" t="n">
        <f aca="false">COUNTBLANK(University_Summary!H2:H124)</f>
        <v>7</v>
      </c>
    </row>
    <row r="15" customFormat="false" ht="15" hidden="false" customHeight="true" outlineLevel="0" collapsed="false">
      <c r="A15" s="29" t="s">
        <v>422</v>
      </c>
      <c r="B15" s="8" t="n">
        <f aca="false">COUNTIF(Master_Online!C:C,A15)</f>
        <v>6</v>
      </c>
      <c r="D15" s="29" t="s">
        <v>386</v>
      </c>
      <c r="E15" s="8" t="n">
        <f aca="false">COUNTIF(Master_Online!G:G,D15)</f>
        <v>46</v>
      </c>
      <c r="M15" s="29" t="s">
        <v>851</v>
      </c>
      <c r="N15" s="8" t="n">
        <f aca="false">COUNT(NIRF_All_Rankings!N5:N200)</f>
        <v>13</v>
      </c>
    </row>
    <row r="16" customFormat="false" ht="15" hidden="false" customHeight="true" outlineLevel="0" collapsed="false">
      <c r="A16" s="29" t="s">
        <v>425</v>
      </c>
      <c r="B16" s="8" t="n">
        <f aca="false">COUNTIF(Master_Online!C:C,A16)</f>
        <v>88</v>
      </c>
      <c r="D16" s="29" t="s">
        <v>301</v>
      </c>
      <c r="E16" s="8" t="n">
        <f aca="false">COUNTIF(Master_Online!G:G,D16)</f>
        <v>203</v>
      </c>
      <c r="M16" s="29" t="s">
        <v>852</v>
      </c>
      <c r="N16" s="8" t="n">
        <f aca="false">COUNT(NIRF_All_Rankings!O5:O200)</f>
        <v>15</v>
      </c>
    </row>
    <row r="17" customFormat="false" ht="15" hidden="false" customHeight="true" outlineLevel="0" collapsed="false">
      <c r="A17" s="29" t="s">
        <v>476</v>
      </c>
      <c r="B17" s="8" t="n">
        <f aca="false">COUNTIF(Master_Online!C:C,A17)</f>
        <v>17</v>
      </c>
      <c r="D17" s="29" t="s">
        <v>304</v>
      </c>
      <c r="E17" s="8" t="n">
        <f aca="false">COUNTIF(Master_Online!G:G,D17)</f>
        <v>133</v>
      </c>
      <c r="M17" s="29" t="s">
        <v>853</v>
      </c>
      <c r="N17" s="8" t="n">
        <f aca="false">COUNT(NIRF_All_Rankings!P5:P200)</f>
        <v>14</v>
      </c>
    </row>
    <row r="18" customFormat="false" ht="15" hidden="false" customHeight="true" outlineLevel="0" collapsed="false">
      <c r="A18" s="29" t="s">
        <v>488</v>
      </c>
      <c r="B18" s="8" t="n">
        <f aca="false">COUNTIF(Master_Online!C:C,A18)</f>
        <v>12</v>
      </c>
      <c r="D18" s="29" t="s">
        <v>307</v>
      </c>
      <c r="E18" s="8" t="n">
        <f aca="false">COUNTIF(Master_Online!G:G,D18)</f>
        <v>73</v>
      </c>
      <c r="M18" s="29" t="s">
        <v>854</v>
      </c>
      <c r="N18" s="8" t="n">
        <f aca="false">COUNT(NIRF_All_Rankings!Q5:Q200)</f>
        <v>3</v>
      </c>
    </row>
    <row r="19" customFormat="false" ht="15" hidden="false" customHeight="true" outlineLevel="0" collapsed="false">
      <c r="A19" s="29" t="s">
        <v>494</v>
      </c>
      <c r="B19" s="8" t="n">
        <f aca="false">COUNTIF(Master_Online!C:C,A19)</f>
        <v>39</v>
      </c>
      <c r="D19" s="29" t="s">
        <v>346</v>
      </c>
      <c r="E19" s="8" t="n">
        <f aca="false">COUNTIF(Master_Online!G:G,D19)</f>
        <v>6</v>
      </c>
      <c r="M19" s="29" t="s">
        <v>855</v>
      </c>
      <c r="N19" s="8" t="n">
        <f aca="false">COUNT(NIRF_All_Rankings!R5:R200)</f>
        <v>1</v>
      </c>
    </row>
    <row r="20" customFormat="false" ht="15" hidden="false" customHeight="true" outlineLevel="0" collapsed="false">
      <c r="A20" s="29" t="s">
        <v>516</v>
      </c>
      <c r="B20" s="8" t="n">
        <f aca="false">COUNTIF(Master_Online!C:C,A20)</f>
        <v>6</v>
      </c>
      <c r="D20" s="29" t="s">
        <v>344</v>
      </c>
      <c r="E20" s="8" t="n">
        <f aca="false">COUNTIF(Master_Online!G:G,D20)</f>
        <v>5</v>
      </c>
      <c r="M20" s="29" t="s">
        <v>856</v>
      </c>
      <c r="N20" s="8" t="n">
        <f aca="false">COUNT(NIRF_All_Rankings!S5:S200)</f>
        <v>24</v>
      </c>
    </row>
    <row r="21" customFormat="false" ht="15" hidden="false" customHeight="true" outlineLevel="0" collapsed="false">
      <c r="A21" s="29" t="s">
        <v>522</v>
      </c>
      <c r="B21" s="8" t="n">
        <f aca="false">COUNTIF(Master_Online!C:C,A21)</f>
        <v>14</v>
      </c>
      <c r="D21" s="29" t="s">
        <v>462</v>
      </c>
      <c r="E21" s="8" t="n">
        <f aca="false">COUNTIF(Master_Online!G:G,D21)</f>
        <v>8</v>
      </c>
      <c r="M21" s="29" t="s">
        <v>857</v>
      </c>
      <c r="N21" s="8" t="n">
        <f aca="false">COUNT(NIRF_All_Rankings!T5:T200)</f>
        <v>1</v>
      </c>
    </row>
    <row r="22" customFormat="false" ht="15" hidden="false" customHeight="true" outlineLevel="0" collapsed="false">
      <c r="A22" s="29" t="s">
        <v>530</v>
      </c>
      <c r="B22" s="8" t="n">
        <f aca="false">COUNTIF(Master_Online!C:C,A22)</f>
        <v>61</v>
      </c>
      <c r="D22" s="29" t="s">
        <v>369</v>
      </c>
      <c r="E22" s="8" t="n">
        <f aca="false">COUNTIF(Master_Online!G:G,D22)</f>
        <v>3</v>
      </c>
      <c r="M22" s="29" t="s">
        <v>858</v>
      </c>
      <c r="N22" s="8" t="n">
        <f aca="false">COUNT(NIRF_All_Rankings!U5:U200)</f>
        <v>0</v>
      </c>
    </row>
    <row r="23" customFormat="false" ht="15" hidden="false" customHeight="true" outlineLevel="0" collapsed="false">
      <c r="A23" s="29" t="s">
        <v>543</v>
      </c>
      <c r="B23" s="8" t="n">
        <f aca="false">COUNTIF(Master_Online!C:C,A23)</f>
        <v>57</v>
      </c>
      <c r="M23" s="29" t="s">
        <v>859</v>
      </c>
      <c r="N23" s="8" t="n">
        <f aca="false">COUNT(NIRF_All_Rankings!V5:V200)</f>
        <v>4</v>
      </c>
    </row>
    <row r="24" customFormat="false" ht="15" hidden="false" customHeight="true" outlineLevel="0" collapsed="false">
      <c r="A24" s="29" t="s">
        <v>553</v>
      </c>
      <c r="B24" s="8" t="n">
        <f aca="false">COUNTIF(Master_Online!C:C,A24)</f>
        <v>15</v>
      </c>
      <c r="M24" s="29" t="s">
        <v>860</v>
      </c>
      <c r="N24" s="8" t="n">
        <f aca="false">COUNT(NIRF_All_Rankings!W5:W200)</f>
        <v>1</v>
      </c>
    </row>
    <row r="25" customFormat="false" ht="15" hidden="false" customHeight="true" outlineLevel="0" collapsed="false">
      <c r="A25" s="29" t="s">
        <v>557</v>
      </c>
      <c r="B25" s="8" t="n">
        <f aca="false">COUNTIF(Master_Online!C:C,A25)</f>
        <v>128</v>
      </c>
    </row>
    <row r="26" customFormat="false" ht="15" hidden="false" customHeight="true" outlineLevel="0" collapsed="false">
      <c r="A26" s="29" t="s">
        <v>601</v>
      </c>
      <c r="B26" s="8" t="n">
        <f aca="false">COUNTIF(Master_Online!C:C,A26)</f>
        <v>3</v>
      </c>
    </row>
    <row r="27" customFormat="false" ht="15" hidden="false" customHeight="true" outlineLevel="0" collapsed="false">
      <c r="A27" s="29" t="s">
        <v>606</v>
      </c>
      <c r="B27" s="8" t="n">
        <f aca="false">COUNTIF(Master_Online!C:C,A27)</f>
        <v>130</v>
      </c>
    </row>
    <row r="28" customFormat="false" ht="15" hidden="false" customHeight="true" outlineLevel="0" collapsed="false">
      <c r="A28" s="29" t="s">
        <v>636</v>
      </c>
      <c r="B28" s="8" t="n">
        <f aca="false">COUNTIF(Master_Online!C:C,A28)</f>
        <v>18</v>
      </c>
    </row>
    <row r="31" customFormat="false" ht="15" hidden="false" customHeight="true" outlineLevel="0" collapsed="false">
      <c r="A31" s="27" t="s">
        <v>861</v>
      </c>
      <c r="B31" s="28" t="s">
        <v>812</v>
      </c>
    </row>
    <row r="32" customFormat="false" ht="15" hidden="false" customHeight="true" outlineLevel="0" collapsed="false">
      <c r="A32" s="29" t="s">
        <v>338</v>
      </c>
      <c r="B32" s="8" t="n">
        <f aca="false">COUNTIF(Master_Online!D:D,A32)</f>
        <v>54</v>
      </c>
    </row>
    <row r="33" customFormat="false" ht="15" hidden="false" customHeight="true" outlineLevel="0" collapsed="false">
      <c r="A33" s="29" t="s">
        <v>315</v>
      </c>
      <c r="B33" s="8" t="n">
        <f aca="false">COUNTIF(Master_Online!D:D,A33)</f>
        <v>212</v>
      </c>
    </row>
    <row r="34" customFormat="false" ht="15" hidden="false" customHeight="true" outlineLevel="0" collapsed="false">
      <c r="A34" s="29" t="s">
        <v>333</v>
      </c>
      <c r="B34" s="8" t="n">
        <f aca="false">COUNTIF(Master_Online!D:D,A34)</f>
        <v>298</v>
      </c>
    </row>
    <row r="35" customFormat="false" ht="15" hidden="false" customHeight="true" outlineLevel="0" collapsed="false">
      <c r="A35" s="29" t="s">
        <v>388</v>
      </c>
      <c r="B35" s="8" t="n">
        <f aca="false">COUNTIF(Master_Online!D:D,A35)</f>
        <v>20</v>
      </c>
    </row>
    <row r="36" customFormat="false" ht="15" hidden="false" customHeight="true" outlineLevel="0" collapsed="false">
      <c r="A36" s="29" t="s">
        <v>286</v>
      </c>
      <c r="B36" s="8" t="n">
        <f aca="false">COUNTIF(Master_Online!D:D,A36)</f>
        <v>212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38"/>
    <col collapsed="false" customWidth="true" hidden="false" outlineLevel="0" max="4" min="4" style="1" width="13"/>
    <col collapsed="false" customWidth="true" hidden="false" outlineLevel="0" max="5" min="5" style="1" width="22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9"/>
    <col collapsed="false" customWidth="true" hidden="false" outlineLevel="0" max="9" min="9" style="1" width="28"/>
    <col collapsed="false" customWidth="true" hidden="false" outlineLevel="0" max="10" min="10" style="1" width="32"/>
    <col collapsed="false" customWidth="true" hidden="false" outlineLevel="0" max="11" min="11" style="1" width="11"/>
    <col collapsed="false" customWidth="true" hidden="false" outlineLevel="0" max="12" min="12" style="1" width="40"/>
  </cols>
  <sheetData>
    <row r="1" customFormat="false" ht="19.5" hidden="false" customHeight="true" outlineLevel="0" collapsed="false">
      <c r="A1" s="2" t="s">
        <v>862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863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6" t="s">
        <v>864</v>
      </c>
      <c r="B4" s="6" t="s">
        <v>865</v>
      </c>
      <c r="C4" s="6" t="s">
        <v>866</v>
      </c>
      <c r="D4" s="6" t="s">
        <v>240</v>
      </c>
      <c r="E4" s="6" t="s">
        <v>867</v>
      </c>
      <c r="F4" s="6" t="s">
        <v>868</v>
      </c>
      <c r="G4" s="6" t="s">
        <v>869</v>
      </c>
      <c r="H4" s="6" t="s">
        <v>870</v>
      </c>
      <c r="I4" s="6" t="s">
        <v>871</v>
      </c>
      <c r="J4" s="6" t="s">
        <v>872</v>
      </c>
      <c r="K4" s="6" t="s">
        <v>873</v>
      </c>
      <c r="L4" s="6" t="s">
        <v>284</v>
      </c>
    </row>
    <row r="5" customFormat="false" ht="23.25" hidden="false" customHeight="true" outlineLevel="0" collapsed="false">
      <c r="A5" s="8" t="n">
        <v>1</v>
      </c>
      <c r="B5" s="8" t="s">
        <v>874</v>
      </c>
      <c r="C5" s="9" t="s">
        <v>875</v>
      </c>
      <c r="D5" s="8" t="s">
        <v>285</v>
      </c>
      <c r="E5" s="8" t="s">
        <v>876</v>
      </c>
      <c r="F5" s="9" t="s">
        <v>307</v>
      </c>
      <c r="G5" s="8" t="s">
        <v>307</v>
      </c>
      <c r="H5" s="8" t="n">
        <v>540</v>
      </c>
      <c r="I5" s="8" t="s">
        <v>877</v>
      </c>
      <c r="J5" s="9" t="s">
        <v>316</v>
      </c>
      <c r="K5" s="8" t="n">
        <v>1</v>
      </c>
      <c r="L5" s="9"/>
    </row>
    <row r="6" customFormat="false" ht="23.25" hidden="false" customHeight="true" outlineLevel="0" collapsed="false">
      <c r="A6" s="8" t="n">
        <v>2</v>
      </c>
      <c r="B6" s="8" t="s">
        <v>874</v>
      </c>
      <c r="C6" s="9" t="s">
        <v>875</v>
      </c>
      <c r="D6" s="8" t="s">
        <v>285</v>
      </c>
      <c r="E6" s="8" t="s">
        <v>876</v>
      </c>
      <c r="F6" s="9" t="s">
        <v>319</v>
      </c>
      <c r="G6" s="8" t="s">
        <v>320</v>
      </c>
      <c r="H6" s="8" t="n">
        <v>540</v>
      </c>
      <c r="I6" s="8" t="s">
        <v>877</v>
      </c>
      <c r="J6" s="9" t="s">
        <v>316</v>
      </c>
      <c r="K6" s="8" t="n">
        <v>1</v>
      </c>
      <c r="L6" s="9"/>
    </row>
    <row r="7" customFormat="false" ht="23.25" hidden="false" customHeight="true" outlineLevel="0" collapsed="false">
      <c r="A7" s="8" t="n">
        <v>3</v>
      </c>
      <c r="B7" s="8" t="s">
        <v>874</v>
      </c>
      <c r="C7" s="9" t="s">
        <v>875</v>
      </c>
      <c r="D7" s="8" t="s">
        <v>285</v>
      </c>
      <c r="E7" s="8" t="s">
        <v>745</v>
      </c>
      <c r="F7" s="9" t="s">
        <v>878</v>
      </c>
      <c r="G7" s="8" t="s">
        <v>304</v>
      </c>
      <c r="H7" s="8" t="n">
        <v>1200</v>
      </c>
      <c r="I7" s="8" t="s">
        <v>877</v>
      </c>
      <c r="J7" s="9" t="s">
        <v>316</v>
      </c>
      <c r="K7" s="8" t="n">
        <v>1</v>
      </c>
      <c r="L7" s="9"/>
    </row>
    <row r="8" customFormat="false" ht="23.25" hidden="false" customHeight="true" outlineLevel="0" collapsed="false">
      <c r="A8" s="8" t="n">
        <v>4</v>
      </c>
      <c r="B8" s="8" t="s">
        <v>874</v>
      </c>
      <c r="C8" s="9" t="s">
        <v>875</v>
      </c>
      <c r="D8" s="8" t="s">
        <v>285</v>
      </c>
      <c r="E8" s="8" t="s">
        <v>745</v>
      </c>
      <c r="F8" s="9" t="s">
        <v>879</v>
      </c>
      <c r="G8" s="8" t="s">
        <v>304</v>
      </c>
      <c r="H8" s="8" t="n">
        <v>100</v>
      </c>
      <c r="I8" s="8" t="s">
        <v>877</v>
      </c>
      <c r="J8" s="9" t="s">
        <v>316</v>
      </c>
      <c r="K8" s="8" t="n">
        <v>1</v>
      </c>
      <c r="L8" s="9"/>
    </row>
    <row r="9" customFormat="false" ht="23.25" hidden="false" customHeight="true" outlineLevel="0" collapsed="false">
      <c r="A9" s="8" t="n">
        <v>5</v>
      </c>
      <c r="B9" s="8" t="s">
        <v>874</v>
      </c>
      <c r="C9" s="9" t="s">
        <v>875</v>
      </c>
      <c r="D9" s="8" t="s">
        <v>285</v>
      </c>
      <c r="E9" s="8" t="s">
        <v>745</v>
      </c>
      <c r="F9" s="9" t="s">
        <v>880</v>
      </c>
      <c r="G9" s="8" t="s">
        <v>304</v>
      </c>
      <c r="H9" s="8" t="n">
        <v>100</v>
      </c>
      <c r="I9" s="8" t="s">
        <v>877</v>
      </c>
      <c r="J9" s="9" t="s">
        <v>316</v>
      </c>
      <c r="K9" s="8" t="n">
        <v>1</v>
      </c>
      <c r="L9" s="9"/>
    </row>
    <row r="10" customFormat="false" ht="23.25" hidden="false" customHeight="true" outlineLevel="0" collapsed="false">
      <c r="A10" s="8" t="n">
        <v>6</v>
      </c>
      <c r="B10" s="8" t="s">
        <v>874</v>
      </c>
      <c r="C10" s="9" t="s">
        <v>875</v>
      </c>
      <c r="D10" s="8" t="s">
        <v>285</v>
      </c>
      <c r="E10" s="8" t="s">
        <v>745</v>
      </c>
      <c r="F10" s="9" t="s">
        <v>881</v>
      </c>
      <c r="G10" s="8" t="s">
        <v>304</v>
      </c>
      <c r="H10" s="8" t="n">
        <v>500</v>
      </c>
      <c r="I10" s="8" t="s">
        <v>877</v>
      </c>
      <c r="J10" s="9" t="s">
        <v>316</v>
      </c>
      <c r="K10" s="8" t="n">
        <v>1</v>
      </c>
      <c r="L10" s="9"/>
    </row>
    <row r="11" customFormat="false" ht="23.25" hidden="false" customHeight="true" outlineLevel="0" collapsed="false">
      <c r="A11" s="8" t="n">
        <v>7</v>
      </c>
      <c r="B11" s="8" t="s">
        <v>874</v>
      </c>
      <c r="C11" s="9" t="s">
        <v>875</v>
      </c>
      <c r="D11" s="8" t="s">
        <v>285</v>
      </c>
      <c r="E11" s="8" t="s">
        <v>745</v>
      </c>
      <c r="F11" s="9" t="s">
        <v>882</v>
      </c>
      <c r="G11" s="8" t="s">
        <v>304</v>
      </c>
      <c r="H11" s="8" t="n">
        <v>100</v>
      </c>
      <c r="I11" s="8" t="s">
        <v>877</v>
      </c>
      <c r="J11" s="9" t="s">
        <v>316</v>
      </c>
      <c r="K11" s="8" t="n">
        <v>1</v>
      </c>
      <c r="L11" s="9"/>
    </row>
    <row r="12" customFormat="false" ht="23.25" hidden="false" customHeight="true" outlineLevel="0" collapsed="false">
      <c r="A12" s="8" t="n">
        <v>8</v>
      </c>
      <c r="B12" s="8" t="s">
        <v>874</v>
      </c>
      <c r="C12" s="9" t="s">
        <v>875</v>
      </c>
      <c r="D12" s="8" t="s">
        <v>285</v>
      </c>
      <c r="E12" s="8" t="s">
        <v>745</v>
      </c>
      <c r="F12" s="9" t="s">
        <v>317</v>
      </c>
      <c r="G12" s="8" t="s">
        <v>318</v>
      </c>
      <c r="H12" s="8" t="n">
        <v>600</v>
      </c>
      <c r="I12" s="8" t="s">
        <v>877</v>
      </c>
      <c r="J12" s="9" t="s">
        <v>316</v>
      </c>
      <c r="K12" s="8" t="n">
        <v>1</v>
      </c>
      <c r="L12" s="9"/>
    </row>
    <row r="13" customFormat="false" ht="23.25" hidden="false" customHeight="true" outlineLevel="0" collapsed="false">
      <c r="A13" s="8" t="n">
        <v>9</v>
      </c>
      <c r="B13" s="8" t="s">
        <v>883</v>
      </c>
      <c r="C13" s="9" t="s">
        <v>884</v>
      </c>
      <c r="D13" s="8" t="s">
        <v>285</v>
      </c>
      <c r="E13" s="8" t="s">
        <v>876</v>
      </c>
      <c r="F13" s="9" t="s">
        <v>307</v>
      </c>
      <c r="G13" s="8" t="s">
        <v>307</v>
      </c>
      <c r="H13" s="8" t="n">
        <v>3000</v>
      </c>
      <c r="I13" s="8" t="s">
        <v>877</v>
      </c>
      <c r="J13" s="9" t="s">
        <v>325</v>
      </c>
      <c r="K13" s="8" t="n">
        <v>1</v>
      </c>
      <c r="L13" s="9"/>
    </row>
    <row r="14" customFormat="false" ht="23.25" hidden="false" customHeight="true" outlineLevel="0" collapsed="false">
      <c r="A14" s="8" t="n">
        <v>10</v>
      </c>
      <c r="B14" s="8" t="s">
        <v>883</v>
      </c>
      <c r="C14" s="9" t="s">
        <v>884</v>
      </c>
      <c r="D14" s="8" t="s">
        <v>285</v>
      </c>
      <c r="E14" s="8" t="s">
        <v>876</v>
      </c>
      <c r="F14" s="9" t="s">
        <v>320</v>
      </c>
      <c r="G14" s="8" t="s">
        <v>320</v>
      </c>
      <c r="H14" s="8" t="n">
        <v>1000</v>
      </c>
      <c r="I14" s="8" t="s">
        <v>877</v>
      </c>
      <c r="J14" s="9" t="s">
        <v>325</v>
      </c>
      <c r="K14" s="8" t="n">
        <v>1</v>
      </c>
      <c r="L14" s="9"/>
    </row>
    <row r="15" customFormat="false" ht="23.25" hidden="false" customHeight="true" outlineLevel="0" collapsed="false">
      <c r="A15" s="8" t="n">
        <v>11</v>
      </c>
      <c r="B15" s="8" t="s">
        <v>883</v>
      </c>
      <c r="C15" s="9" t="s">
        <v>884</v>
      </c>
      <c r="D15" s="8" t="s">
        <v>285</v>
      </c>
      <c r="E15" s="8" t="s">
        <v>745</v>
      </c>
      <c r="F15" s="9" t="s">
        <v>885</v>
      </c>
      <c r="G15" s="8" t="s">
        <v>304</v>
      </c>
      <c r="H15" s="8" t="n">
        <v>2000</v>
      </c>
      <c r="I15" s="8" t="s">
        <v>877</v>
      </c>
      <c r="J15" s="9" t="s">
        <v>325</v>
      </c>
      <c r="K15" s="8" t="n">
        <v>1</v>
      </c>
      <c r="L15" s="9"/>
    </row>
    <row r="16" customFormat="false" ht="23.25" hidden="false" customHeight="true" outlineLevel="0" collapsed="false">
      <c r="A16" s="8" t="n">
        <v>12</v>
      </c>
      <c r="B16" s="8" t="s">
        <v>883</v>
      </c>
      <c r="C16" s="9" t="s">
        <v>884</v>
      </c>
      <c r="D16" s="8" t="s">
        <v>285</v>
      </c>
      <c r="E16" s="8" t="s">
        <v>745</v>
      </c>
      <c r="F16" s="9" t="s">
        <v>886</v>
      </c>
      <c r="G16" s="8" t="s">
        <v>304</v>
      </c>
      <c r="H16" s="8" t="n">
        <v>1000</v>
      </c>
      <c r="I16" s="8" t="s">
        <v>877</v>
      </c>
      <c r="J16" s="9" t="s">
        <v>325</v>
      </c>
      <c r="K16" s="8" t="n">
        <v>1</v>
      </c>
      <c r="L16" s="9"/>
    </row>
    <row r="17" customFormat="false" ht="23.25" hidden="false" customHeight="true" outlineLevel="0" collapsed="false">
      <c r="A17" s="8" t="n">
        <v>13</v>
      </c>
      <c r="B17" s="8" t="s">
        <v>883</v>
      </c>
      <c r="C17" s="9" t="s">
        <v>884</v>
      </c>
      <c r="D17" s="8" t="s">
        <v>285</v>
      </c>
      <c r="E17" s="8" t="s">
        <v>745</v>
      </c>
      <c r="F17" s="9" t="s">
        <v>887</v>
      </c>
      <c r="G17" s="8" t="s">
        <v>304</v>
      </c>
      <c r="H17" s="8" t="n">
        <v>1000</v>
      </c>
      <c r="I17" s="8" t="s">
        <v>877</v>
      </c>
      <c r="J17" s="9" t="s">
        <v>325</v>
      </c>
      <c r="K17" s="8" t="n">
        <v>1</v>
      </c>
      <c r="L17" s="9"/>
    </row>
    <row r="18" customFormat="false" ht="23.25" hidden="false" customHeight="true" outlineLevel="0" collapsed="false">
      <c r="A18" s="8" t="n">
        <v>14</v>
      </c>
      <c r="B18" s="8" t="s">
        <v>883</v>
      </c>
      <c r="C18" s="9" t="s">
        <v>884</v>
      </c>
      <c r="D18" s="8" t="s">
        <v>285</v>
      </c>
      <c r="E18" s="8" t="s">
        <v>745</v>
      </c>
      <c r="F18" s="9" t="s">
        <v>318</v>
      </c>
      <c r="G18" s="8" t="s">
        <v>318</v>
      </c>
      <c r="H18" s="8" t="n">
        <v>1000</v>
      </c>
      <c r="I18" s="8" t="s">
        <v>877</v>
      </c>
      <c r="J18" s="9" t="s">
        <v>325</v>
      </c>
      <c r="K18" s="8" t="n">
        <v>1</v>
      </c>
      <c r="L18" s="9"/>
    </row>
    <row r="19" customFormat="false" ht="34.5" hidden="false" customHeight="true" outlineLevel="0" collapsed="false">
      <c r="A19" s="8" t="n">
        <v>15</v>
      </c>
      <c r="B19" s="8" t="s">
        <v>888</v>
      </c>
      <c r="C19" s="9" t="s">
        <v>889</v>
      </c>
      <c r="D19" s="8" t="s">
        <v>350</v>
      </c>
      <c r="E19" s="8" t="s">
        <v>745</v>
      </c>
      <c r="F19" s="9" t="s">
        <v>890</v>
      </c>
      <c r="G19" s="8" t="s">
        <v>890</v>
      </c>
      <c r="H19" s="8" t="n">
        <v>300</v>
      </c>
      <c r="I19" s="8" t="s">
        <v>891</v>
      </c>
      <c r="J19" s="9" t="s">
        <v>440</v>
      </c>
      <c r="K19" s="8" t="s">
        <v>440</v>
      </c>
      <c r="L19" s="9" t="s">
        <v>892</v>
      </c>
    </row>
    <row r="20" customFormat="false" ht="15" hidden="false" customHeight="true" outlineLevel="0" collapsed="false">
      <c r="A20" s="8" t="n">
        <v>16</v>
      </c>
      <c r="B20" s="8" t="s">
        <v>893</v>
      </c>
      <c r="C20" s="9" t="s">
        <v>894</v>
      </c>
      <c r="D20" s="8" t="s">
        <v>350</v>
      </c>
      <c r="E20" s="8" t="s">
        <v>745</v>
      </c>
      <c r="F20" s="9" t="s">
        <v>895</v>
      </c>
      <c r="G20" s="8" t="s">
        <v>304</v>
      </c>
      <c r="H20" s="8" t="n">
        <v>600</v>
      </c>
      <c r="I20" s="8" t="s">
        <v>877</v>
      </c>
      <c r="J20" s="9" t="s">
        <v>378</v>
      </c>
      <c r="K20" s="8" t="n">
        <v>1</v>
      </c>
      <c r="L20" s="9"/>
    </row>
    <row r="21" customFormat="false" ht="23.25" hidden="false" customHeight="true" outlineLevel="0" collapsed="false">
      <c r="A21" s="8" t="n">
        <v>17</v>
      </c>
      <c r="B21" s="8" t="s">
        <v>893</v>
      </c>
      <c r="C21" s="9" t="s">
        <v>894</v>
      </c>
      <c r="D21" s="8" t="s">
        <v>350</v>
      </c>
      <c r="E21" s="8" t="s">
        <v>745</v>
      </c>
      <c r="F21" s="9" t="s">
        <v>896</v>
      </c>
      <c r="G21" s="8" t="s">
        <v>890</v>
      </c>
      <c r="H21" s="8" t="n">
        <v>100</v>
      </c>
      <c r="I21" s="8" t="s">
        <v>897</v>
      </c>
      <c r="J21" s="9" t="s">
        <v>378</v>
      </c>
      <c r="K21" s="8" t="n">
        <v>1</v>
      </c>
      <c r="L21" s="9" t="s">
        <v>898</v>
      </c>
    </row>
    <row r="22" customFormat="false" ht="34.5" hidden="false" customHeight="true" outlineLevel="0" collapsed="false">
      <c r="A22" s="8" t="n">
        <v>18</v>
      </c>
      <c r="B22" s="8" t="s">
        <v>899</v>
      </c>
      <c r="C22" s="9" t="s">
        <v>900</v>
      </c>
      <c r="D22" s="8" t="s">
        <v>350</v>
      </c>
      <c r="E22" s="8" t="s">
        <v>745</v>
      </c>
      <c r="F22" s="9" t="s">
        <v>901</v>
      </c>
      <c r="G22" s="8" t="s">
        <v>902</v>
      </c>
      <c r="H22" s="8" t="n">
        <v>60</v>
      </c>
      <c r="I22" s="8" t="s">
        <v>891</v>
      </c>
      <c r="J22" s="9" t="s">
        <v>440</v>
      </c>
      <c r="K22" s="8" t="s">
        <v>440</v>
      </c>
      <c r="L22" s="9" t="s">
        <v>892</v>
      </c>
    </row>
    <row r="23" customFormat="false" ht="34.5" hidden="false" customHeight="true" outlineLevel="0" collapsed="false">
      <c r="A23" s="8" t="n">
        <v>19</v>
      </c>
      <c r="B23" s="8" t="s">
        <v>899</v>
      </c>
      <c r="C23" s="9" t="s">
        <v>900</v>
      </c>
      <c r="D23" s="8" t="s">
        <v>350</v>
      </c>
      <c r="E23" s="8" t="s">
        <v>745</v>
      </c>
      <c r="F23" s="9" t="s">
        <v>903</v>
      </c>
      <c r="G23" s="8" t="s">
        <v>902</v>
      </c>
      <c r="H23" s="8" t="n">
        <v>60</v>
      </c>
      <c r="I23" s="8" t="s">
        <v>891</v>
      </c>
      <c r="J23" s="9" t="s">
        <v>440</v>
      </c>
      <c r="K23" s="8" t="s">
        <v>440</v>
      </c>
      <c r="L23" s="9" t="s">
        <v>892</v>
      </c>
    </row>
    <row r="24" customFormat="false" ht="34.5" hidden="false" customHeight="true" outlineLevel="0" collapsed="false">
      <c r="A24" s="8" t="n">
        <v>20</v>
      </c>
      <c r="B24" s="8" t="s">
        <v>899</v>
      </c>
      <c r="C24" s="9" t="s">
        <v>900</v>
      </c>
      <c r="D24" s="8" t="s">
        <v>350</v>
      </c>
      <c r="E24" s="8" t="s">
        <v>745</v>
      </c>
      <c r="F24" s="9" t="s">
        <v>904</v>
      </c>
      <c r="G24" s="8" t="s">
        <v>902</v>
      </c>
      <c r="H24" s="8" t="n">
        <v>60</v>
      </c>
      <c r="I24" s="8" t="s">
        <v>891</v>
      </c>
      <c r="J24" s="9" t="s">
        <v>440</v>
      </c>
      <c r="K24" s="8" t="s">
        <v>440</v>
      </c>
      <c r="L24" s="9" t="s">
        <v>892</v>
      </c>
    </row>
    <row r="25" customFormat="false" ht="15" hidden="false" customHeight="true" outlineLevel="0" collapsed="false">
      <c r="A25" s="8" t="n">
        <v>21</v>
      </c>
      <c r="B25" s="8" t="s">
        <v>905</v>
      </c>
      <c r="C25" s="9" t="s">
        <v>906</v>
      </c>
      <c r="D25" s="8" t="s">
        <v>350</v>
      </c>
      <c r="E25" s="8" t="s">
        <v>876</v>
      </c>
      <c r="F25" s="9" t="s">
        <v>307</v>
      </c>
      <c r="G25" s="8" t="s">
        <v>307</v>
      </c>
      <c r="H25" s="8" t="n">
        <v>500</v>
      </c>
      <c r="I25" s="8" t="s">
        <v>877</v>
      </c>
      <c r="J25" s="9" t="s">
        <v>351</v>
      </c>
      <c r="K25" s="8" t="n">
        <v>1</v>
      </c>
      <c r="L25" s="9"/>
    </row>
    <row r="26" customFormat="false" ht="15" hidden="false" customHeight="true" outlineLevel="0" collapsed="false">
      <c r="A26" s="8" t="n">
        <v>22</v>
      </c>
      <c r="B26" s="8" t="s">
        <v>905</v>
      </c>
      <c r="C26" s="9" t="s">
        <v>906</v>
      </c>
      <c r="D26" s="8" t="s">
        <v>350</v>
      </c>
      <c r="E26" s="8" t="s">
        <v>876</v>
      </c>
      <c r="F26" s="9" t="s">
        <v>320</v>
      </c>
      <c r="G26" s="8" t="s">
        <v>320</v>
      </c>
      <c r="H26" s="8" t="n">
        <v>1000</v>
      </c>
      <c r="I26" s="8" t="s">
        <v>877</v>
      </c>
      <c r="J26" s="9" t="s">
        <v>351</v>
      </c>
      <c r="K26" s="8" t="n">
        <v>1</v>
      </c>
      <c r="L26" s="9"/>
    </row>
    <row r="27" customFormat="false" ht="15" hidden="false" customHeight="true" outlineLevel="0" collapsed="false">
      <c r="A27" s="8" t="n">
        <v>23</v>
      </c>
      <c r="B27" s="8" t="s">
        <v>905</v>
      </c>
      <c r="C27" s="9" t="s">
        <v>906</v>
      </c>
      <c r="D27" s="8" t="s">
        <v>350</v>
      </c>
      <c r="E27" s="8" t="s">
        <v>745</v>
      </c>
      <c r="F27" s="9" t="s">
        <v>304</v>
      </c>
      <c r="G27" s="8" t="s">
        <v>304</v>
      </c>
      <c r="H27" s="8" t="n">
        <v>800</v>
      </c>
      <c r="I27" s="8" t="s">
        <v>877</v>
      </c>
      <c r="J27" s="9" t="s">
        <v>351</v>
      </c>
      <c r="K27" s="8" t="n">
        <v>1</v>
      </c>
      <c r="L27" s="9"/>
    </row>
    <row r="28" customFormat="false" ht="15" hidden="false" customHeight="true" outlineLevel="0" collapsed="false">
      <c r="A28" s="8" t="n">
        <v>24</v>
      </c>
      <c r="B28" s="8" t="s">
        <v>905</v>
      </c>
      <c r="C28" s="9" t="s">
        <v>906</v>
      </c>
      <c r="D28" s="8" t="s">
        <v>350</v>
      </c>
      <c r="E28" s="8" t="s">
        <v>745</v>
      </c>
      <c r="F28" s="9" t="s">
        <v>318</v>
      </c>
      <c r="G28" s="8" t="s">
        <v>318</v>
      </c>
      <c r="H28" s="8" t="n">
        <v>1000</v>
      </c>
      <c r="I28" s="8" t="s">
        <v>877</v>
      </c>
      <c r="J28" s="9" t="s">
        <v>351</v>
      </c>
      <c r="K28" s="8" t="n">
        <v>1</v>
      </c>
      <c r="L28" s="9"/>
    </row>
    <row r="29" customFormat="false" ht="34.5" hidden="false" customHeight="true" outlineLevel="0" collapsed="false">
      <c r="A29" s="8" t="n">
        <v>25</v>
      </c>
      <c r="B29" s="8" t="s">
        <v>907</v>
      </c>
      <c r="C29" s="9" t="s">
        <v>908</v>
      </c>
      <c r="D29" s="8" t="s">
        <v>350</v>
      </c>
      <c r="E29" s="8" t="s">
        <v>745</v>
      </c>
      <c r="F29" s="9" t="s">
        <v>745</v>
      </c>
      <c r="G29" s="8" t="s">
        <v>902</v>
      </c>
      <c r="H29" s="8" t="n">
        <v>1500</v>
      </c>
      <c r="I29" s="8" t="s">
        <v>891</v>
      </c>
      <c r="J29" s="9" t="s">
        <v>440</v>
      </c>
      <c r="K29" s="8" t="s">
        <v>440</v>
      </c>
      <c r="L29" s="9" t="s">
        <v>892</v>
      </c>
    </row>
    <row r="30" customFormat="false" ht="34.5" hidden="false" customHeight="true" outlineLevel="0" collapsed="false">
      <c r="A30" s="8" t="n">
        <v>26</v>
      </c>
      <c r="B30" s="8" t="s">
        <v>907</v>
      </c>
      <c r="C30" s="9" t="s">
        <v>908</v>
      </c>
      <c r="D30" s="8" t="s">
        <v>350</v>
      </c>
      <c r="E30" s="8" t="s">
        <v>745</v>
      </c>
      <c r="F30" s="9" t="s">
        <v>890</v>
      </c>
      <c r="G30" s="8" t="s">
        <v>890</v>
      </c>
      <c r="H30" s="8" t="n">
        <v>3500</v>
      </c>
      <c r="I30" s="8" t="s">
        <v>891</v>
      </c>
      <c r="J30" s="9" t="s">
        <v>440</v>
      </c>
      <c r="K30" s="8" t="s">
        <v>440</v>
      </c>
      <c r="L30" s="9" t="s">
        <v>892</v>
      </c>
    </row>
    <row r="31" customFormat="false" ht="34.5" hidden="false" customHeight="true" outlineLevel="0" collapsed="false">
      <c r="A31" s="8" t="n">
        <v>27</v>
      </c>
      <c r="B31" s="8" t="s">
        <v>909</v>
      </c>
      <c r="C31" s="9" t="s">
        <v>910</v>
      </c>
      <c r="D31" s="8" t="s">
        <v>911</v>
      </c>
      <c r="E31" s="8" t="s">
        <v>745</v>
      </c>
      <c r="F31" s="9" t="s">
        <v>890</v>
      </c>
      <c r="G31" s="8" t="s">
        <v>890</v>
      </c>
      <c r="H31" s="8" t="n">
        <v>240</v>
      </c>
      <c r="I31" s="8" t="s">
        <v>891</v>
      </c>
      <c r="J31" s="9" t="s">
        <v>440</v>
      </c>
      <c r="K31" s="8" t="s">
        <v>440</v>
      </c>
      <c r="L31" s="9" t="s">
        <v>892</v>
      </c>
    </row>
    <row r="32" customFormat="false" ht="34.5" hidden="false" customHeight="true" outlineLevel="0" collapsed="false">
      <c r="A32" s="8" t="n">
        <v>28</v>
      </c>
      <c r="B32" s="8" t="s">
        <v>909</v>
      </c>
      <c r="C32" s="9" t="s">
        <v>910</v>
      </c>
      <c r="D32" s="8" t="s">
        <v>911</v>
      </c>
      <c r="E32" s="8" t="s">
        <v>745</v>
      </c>
      <c r="F32" s="9" t="s">
        <v>912</v>
      </c>
      <c r="G32" s="8" t="s">
        <v>890</v>
      </c>
      <c r="H32" s="8" t="n">
        <v>120</v>
      </c>
      <c r="I32" s="8" t="s">
        <v>891</v>
      </c>
      <c r="J32" s="9" t="s">
        <v>440</v>
      </c>
      <c r="K32" s="8" t="s">
        <v>440</v>
      </c>
      <c r="L32" s="9" t="s">
        <v>892</v>
      </c>
    </row>
    <row r="33" customFormat="false" ht="34.5" hidden="false" customHeight="true" outlineLevel="0" collapsed="false">
      <c r="A33" s="8" t="n">
        <v>29</v>
      </c>
      <c r="B33" s="8" t="s">
        <v>913</v>
      </c>
      <c r="C33" s="9" t="s">
        <v>914</v>
      </c>
      <c r="D33" s="8" t="s">
        <v>382</v>
      </c>
      <c r="E33" s="8" t="s">
        <v>745</v>
      </c>
      <c r="F33" s="9" t="s">
        <v>890</v>
      </c>
      <c r="G33" s="8" t="s">
        <v>890</v>
      </c>
      <c r="H33" s="8" t="n">
        <v>300</v>
      </c>
      <c r="I33" s="8" t="s">
        <v>891</v>
      </c>
      <c r="J33" s="9" t="s">
        <v>440</v>
      </c>
      <c r="K33" s="8" t="s">
        <v>440</v>
      </c>
      <c r="L33" s="9" t="s">
        <v>892</v>
      </c>
    </row>
    <row r="34" customFormat="false" ht="23.25" hidden="false" customHeight="true" outlineLevel="0" collapsed="false">
      <c r="A34" s="8" t="n">
        <v>30</v>
      </c>
      <c r="B34" s="8" t="s">
        <v>915</v>
      </c>
      <c r="C34" s="9" t="s">
        <v>916</v>
      </c>
      <c r="D34" s="8" t="s">
        <v>382</v>
      </c>
      <c r="E34" s="8" t="s">
        <v>745</v>
      </c>
      <c r="F34" s="9" t="s">
        <v>304</v>
      </c>
      <c r="G34" s="8" t="s">
        <v>304</v>
      </c>
      <c r="H34" s="8" t="n">
        <v>1000</v>
      </c>
      <c r="I34" s="8" t="s">
        <v>891</v>
      </c>
      <c r="J34" s="9" t="s">
        <v>440</v>
      </c>
      <c r="K34" s="8" t="s">
        <v>440</v>
      </c>
      <c r="L34" s="9" t="s">
        <v>917</v>
      </c>
    </row>
    <row r="35" customFormat="false" ht="23.25" hidden="false" customHeight="true" outlineLevel="0" collapsed="false">
      <c r="A35" s="8" t="n">
        <v>31</v>
      </c>
      <c r="B35" s="8" t="s">
        <v>915</v>
      </c>
      <c r="C35" s="9" t="s">
        <v>916</v>
      </c>
      <c r="D35" s="8" t="s">
        <v>382</v>
      </c>
      <c r="E35" s="8" t="s">
        <v>745</v>
      </c>
      <c r="F35" s="9" t="s">
        <v>318</v>
      </c>
      <c r="G35" s="8" t="s">
        <v>318</v>
      </c>
      <c r="H35" s="8" t="n">
        <v>1000</v>
      </c>
      <c r="I35" s="8" t="s">
        <v>891</v>
      </c>
      <c r="J35" s="9" t="s">
        <v>440</v>
      </c>
      <c r="K35" s="8" t="s">
        <v>440</v>
      </c>
      <c r="L35" s="9" t="s">
        <v>917</v>
      </c>
    </row>
    <row r="36" customFormat="false" ht="23.25" hidden="false" customHeight="true" outlineLevel="0" collapsed="false">
      <c r="A36" s="8" t="n">
        <v>32</v>
      </c>
      <c r="B36" s="8" t="s">
        <v>918</v>
      </c>
      <c r="C36" s="9" t="s">
        <v>919</v>
      </c>
      <c r="D36" s="8" t="s">
        <v>382</v>
      </c>
      <c r="E36" s="8" t="s">
        <v>876</v>
      </c>
      <c r="F36" s="9" t="s">
        <v>307</v>
      </c>
      <c r="G36" s="8" t="s">
        <v>307</v>
      </c>
      <c r="H36" s="8" t="n">
        <v>60</v>
      </c>
      <c r="I36" s="8" t="s">
        <v>891</v>
      </c>
      <c r="J36" s="9" t="s">
        <v>440</v>
      </c>
      <c r="K36" s="8" t="s">
        <v>440</v>
      </c>
      <c r="L36" s="9" t="s">
        <v>917</v>
      </c>
    </row>
    <row r="37" customFormat="false" ht="23.25" hidden="false" customHeight="true" outlineLevel="0" collapsed="false">
      <c r="A37" s="8" t="n">
        <v>33</v>
      </c>
      <c r="B37" s="8" t="s">
        <v>918</v>
      </c>
      <c r="C37" s="9" t="s">
        <v>919</v>
      </c>
      <c r="D37" s="8" t="s">
        <v>382</v>
      </c>
      <c r="E37" s="8" t="s">
        <v>745</v>
      </c>
      <c r="F37" s="9" t="s">
        <v>304</v>
      </c>
      <c r="G37" s="8" t="s">
        <v>304</v>
      </c>
      <c r="H37" s="8" t="n">
        <v>60</v>
      </c>
      <c r="I37" s="8" t="s">
        <v>891</v>
      </c>
      <c r="J37" s="9" t="s">
        <v>440</v>
      </c>
      <c r="K37" s="8" t="s">
        <v>440</v>
      </c>
      <c r="L37" s="9" t="s">
        <v>917</v>
      </c>
    </row>
    <row r="38" customFormat="false" ht="34.5" hidden="false" customHeight="true" outlineLevel="0" collapsed="false">
      <c r="A38" s="8" t="n">
        <v>34</v>
      </c>
      <c r="B38" s="8" t="s">
        <v>920</v>
      </c>
      <c r="C38" s="9" t="s">
        <v>921</v>
      </c>
      <c r="D38" s="8" t="s">
        <v>382</v>
      </c>
      <c r="E38" s="8" t="s">
        <v>876</v>
      </c>
      <c r="F38" s="9" t="s">
        <v>307</v>
      </c>
      <c r="G38" s="8" t="s">
        <v>307</v>
      </c>
      <c r="H38" s="8" t="n">
        <v>1000</v>
      </c>
      <c r="I38" s="8" t="s">
        <v>891</v>
      </c>
      <c r="J38" s="9" t="s">
        <v>440</v>
      </c>
      <c r="K38" s="8" t="s">
        <v>440</v>
      </c>
      <c r="L38" s="9" t="s">
        <v>917</v>
      </c>
    </row>
    <row r="39" customFormat="false" ht="34.5" hidden="false" customHeight="true" outlineLevel="0" collapsed="false">
      <c r="A39" s="8" t="n">
        <v>35</v>
      </c>
      <c r="B39" s="8" t="s">
        <v>920</v>
      </c>
      <c r="C39" s="9" t="s">
        <v>921</v>
      </c>
      <c r="D39" s="8" t="s">
        <v>382</v>
      </c>
      <c r="E39" s="8" t="s">
        <v>876</v>
      </c>
      <c r="F39" s="9" t="s">
        <v>320</v>
      </c>
      <c r="G39" s="8" t="s">
        <v>320</v>
      </c>
      <c r="H39" s="8" t="n">
        <v>1000</v>
      </c>
      <c r="I39" s="8" t="s">
        <v>891</v>
      </c>
      <c r="J39" s="9" t="s">
        <v>440</v>
      </c>
      <c r="K39" s="8" t="s">
        <v>440</v>
      </c>
      <c r="L39" s="9" t="s">
        <v>917</v>
      </c>
    </row>
    <row r="40" customFormat="false" ht="34.5" hidden="false" customHeight="true" outlineLevel="0" collapsed="false">
      <c r="A40" s="8" t="n">
        <v>36</v>
      </c>
      <c r="B40" s="8" t="s">
        <v>922</v>
      </c>
      <c r="C40" s="9" t="s">
        <v>923</v>
      </c>
      <c r="D40" s="8" t="s">
        <v>402</v>
      </c>
      <c r="E40" s="8" t="s">
        <v>745</v>
      </c>
      <c r="F40" s="9" t="s">
        <v>924</v>
      </c>
      <c r="G40" s="8" t="s">
        <v>902</v>
      </c>
      <c r="H40" s="8" t="n">
        <v>1000</v>
      </c>
      <c r="I40" s="8" t="s">
        <v>891</v>
      </c>
      <c r="J40" s="9" t="s">
        <v>440</v>
      </c>
      <c r="K40" s="8" t="s">
        <v>440</v>
      </c>
      <c r="L40" s="9" t="s">
        <v>892</v>
      </c>
    </row>
    <row r="41" customFormat="false" ht="34.5" hidden="false" customHeight="true" outlineLevel="0" collapsed="false">
      <c r="A41" s="8" t="n">
        <v>37</v>
      </c>
      <c r="B41" s="8" t="s">
        <v>922</v>
      </c>
      <c r="C41" s="9" t="s">
        <v>923</v>
      </c>
      <c r="D41" s="8" t="s">
        <v>402</v>
      </c>
      <c r="E41" s="8" t="s">
        <v>745</v>
      </c>
      <c r="F41" s="9" t="s">
        <v>890</v>
      </c>
      <c r="G41" s="8" t="s">
        <v>890</v>
      </c>
      <c r="H41" s="8" t="n">
        <v>5000</v>
      </c>
      <c r="I41" s="8" t="s">
        <v>891</v>
      </c>
      <c r="J41" s="9" t="s">
        <v>440</v>
      </c>
      <c r="K41" s="8" t="s">
        <v>440</v>
      </c>
      <c r="L41" s="9" t="s">
        <v>892</v>
      </c>
    </row>
    <row r="42" customFormat="false" ht="23.25" hidden="false" customHeight="true" outlineLevel="0" collapsed="false">
      <c r="A42" s="8" t="n">
        <v>38</v>
      </c>
      <c r="B42" s="8" t="s">
        <v>925</v>
      </c>
      <c r="C42" s="9" t="s">
        <v>926</v>
      </c>
      <c r="D42" s="8" t="s">
        <v>402</v>
      </c>
      <c r="E42" s="8" t="s">
        <v>876</v>
      </c>
      <c r="F42" s="9" t="s">
        <v>307</v>
      </c>
      <c r="G42" s="8" t="s">
        <v>307</v>
      </c>
      <c r="H42" s="8" t="n">
        <v>180</v>
      </c>
      <c r="I42" s="8" t="s">
        <v>891</v>
      </c>
      <c r="J42" s="9" t="s">
        <v>440</v>
      </c>
      <c r="K42" s="8" t="s">
        <v>440</v>
      </c>
      <c r="L42" s="9" t="s">
        <v>917</v>
      </c>
    </row>
    <row r="43" customFormat="false" ht="23.25" hidden="false" customHeight="true" outlineLevel="0" collapsed="false">
      <c r="A43" s="8" t="n">
        <v>39</v>
      </c>
      <c r="B43" s="8" t="s">
        <v>925</v>
      </c>
      <c r="C43" s="9" t="s">
        <v>926</v>
      </c>
      <c r="D43" s="8" t="s">
        <v>402</v>
      </c>
      <c r="E43" s="8" t="s">
        <v>876</v>
      </c>
      <c r="F43" s="9" t="s">
        <v>320</v>
      </c>
      <c r="G43" s="8" t="s">
        <v>320</v>
      </c>
      <c r="H43" s="8" t="n">
        <v>600</v>
      </c>
      <c r="I43" s="8" t="s">
        <v>891</v>
      </c>
      <c r="J43" s="9" t="s">
        <v>440</v>
      </c>
      <c r="K43" s="8" t="s">
        <v>440</v>
      </c>
      <c r="L43" s="9" t="s">
        <v>917</v>
      </c>
    </row>
    <row r="44" customFormat="false" ht="23.25" hidden="false" customHeight="true" outlineLevel="0" collapsed="false">
      <c r="A44" s="8" t="n">
        <v>40</v>
      </c>
      <c r="B44" s="8" t="s">
        <v>927</v>
      </c>
      <c r="C44" s="9" t="s">
        <v>928</v>
      </c>
      <c r="D44" s="8" t="s">
        <v>402</v>
      </c>
      <c r="E44" s="8" t="s">
        <v>745</v>
      </c>
      <c r="F44" s="9" t="s">
        <v>304</v>
      </c>
      <c r="G44" s="8" t="s">
        <v>304</v>
      </c>
      <c r="H44" s="8" t="n">
        <v>360</v>
      </c>
      <c r="I44" s="8" t="s">
        <v>877</v>
      </c>
      <c r="J44" s="9" t="s">
        <v>411</v>
      </c>
      <c r="K44" s="8" t="n">
        <v>1</v>
      </c>
      <c r="L44" s="9"/>
    </row>
    <row r="45" customFormat="false" ht="23.25" hidden="false" customHeight="true" outlineLevel="0" collapsed="false">
      <c r="A45" s="8" t="n">
        <v>41</v>
      </c>
      <c r="B45" s="8" t="s">
        <v>927</v>
      </c>
      <c r="C45" s="9" t="s">
        <v>928</v>
      </c>
      <c r="D45" s="8" t="s">
        <v>402</v>
      </c>
      <c r="E45" s="8" t="s">
        <v>745</v>
      </c>
      <c r="F45" s="9" t="s">
        <v>318</v>
      </c>
      <c r="G45" s="8" t="s">
        <v>318</v>
      </c>
      <c r="H45" s="8" t="n">
        <v>330</v>
      </c>
      <c r="I45" s="8" t="s">
        <v>877</v>
      </c>
      <c r="J45" s="9" t="s">
        <v>411</v>
      </c>
      <c r="K45" s="8" t="n">
        <v>1</v>
      </c>
      <c r="L45" s="9"/>
    </row>
    <row r="46" customFormat="false" ht="34.5" hidden="false" customHeight="true" outlineLevel="0" collapsed="false">
      <c r="A46" s="8" t="n">
        <v>42</v>
      </c>
      <c r="B46" s="8" t="s">
        <v>929</v>
      </c>
      <c r="C46" s="9" t="s">
        <v>930</v>
      </c>
      <c r="D46" s="8" t="s">
        <v>402</v>
      </c>
      <c r="E46" s="8" t="s">
        <v>745</v>
      </c>
      <c r="F46" s="9" t="s">
        <v>890</v>
      </c>
      <c r="G46" s="8" t="s">
        <v>890</v>
      </c>
      <c r="H46" s="8" t="n">
        <v>180</v>
      </c>
      <c r="I46" s="8" t="s">
        <v>891</v>
      </c>
      <c r="J46" s="9" t="s">
        <v>440</v>
      </c>
      <c r="K46" s="8" t="s">
        <v>440</v>
      </c>
      <c r="L46" s="9" t="s">
        <v>892</v>
      </c>
    </row>
    <row r="47" customFormat="false" ht="34.5" hidden="false" customHeight="true" outlineLevel="0" collapsed="false">
      <c r="A47" s="8" t="n">
        <v>43</v>
      </c>
      <c r="B47" s="8" t="s">
        <v>931</v>
      </c>
      <c r="C47" s="9" t="s">
        <v>932</v>
      </c>
      <c r="D47" s="8" t="s">
        <v>402</v>
      </c>
      <c r="E47" s="8" t="s">
        <v>876</v>
      </c>
      <c r="F47" s="9" t="s">
        <v>306</v>
      </c>
      <c r="G47" s="8" t="s">
        <v>307</v>
      </c>
      <c r="H47" s="8" t="n">
        <v>360</v>
      </c>
      <c r="I47" s="8" t="s">
        <v>877</v>
      </c>
      <c r="J47" s="9" t="s">
        <v>412</v>
      </c>
      <c r="K47" s="8" t="n">
        <v>1</v>
      </c>
      <c r="L47" s="9"/>
    </row>
    <row r="48" customFormat="false" ht="34.5" hidden="false" customHeight="true" outlineLevel="0" collapsed="false">
      <c r="A48" s="8" t="n">
        <v>44</v>
      </c>
      <c r="B48" s="8" t="s">
        <v>931</v>
      </c>
      <c r="C48" s="9" t="s">
        <v>932</v>
      </c>
      <c r="D48" s="8" t="s">
        <v>402</v>
      </c>
      <c r="E48" s="8" t="s">
        <v>876</v>
      </c>
      <c r="F48" s="9" t="s">
        <v>320</v>
      </c>
      <c r="G48" s="8" t="s">
        <v>320</v>
      </c>
      <c r="H48" s="8" t="n">
        <v>720</v>
      </c>
      <c r="I48" s="8" t="s">
        <v>877</v>
      </c>
      <c r="J48" s="9" t="s">
        <v>412</v>
      </c>
      <c r="K48" s="8" t="n">
        <v>1</v>
      </c>
      <c r="L48" s="9"/>
    </row>
    <row r="49" customFormat="false" ht="34.5" hidden="false" customHeight="true" outlineLevel="0" collapsed="false">
      <c r="A49" s="8" t="n">
        <v>45</v>
      </c>
      <c r="B49" s="8" t="s">
        <v>931</v>
      </c>
      <c r="C49" s="9" t="s">
        <v>932</v>
      </c>
      <c r="D49" s="8" t="s">
        <v>402</v>
      </c>
      <c r="E49" s="8" t="s">
        <v>745</v>
      </c>
      <c r="F49" s="9" t="s">
        <v>933</v>
      </c>
      <c r="G49" s="8" t="s">
        <v>304</v>
      </c>
      <c r="H49" s="8" t="n">
        <v>360</v>
      </c>
      <c r="I49" s="8" t="s">
        <v>877</v>
      </c>
      <c r="J49" s="9" t="s">
        <v>412</v>
      </c>
      <c r="K49" s="8" t="n">
        <v>1</v>
      </c>
      <c r="L49" s="9"/>
    </row>
    <row r="50" customFormat="false" ht="34.5" hidden="false" customHeight="true" outlineLevel="0" collapsed="false">
      <c r="A50" s="8" t="n">
        <v>46</v>
      </c>
      <c r="B50" s="8" t="s">
        <v>931</v>
      </c>
      <c r="C50" s="9" t="s">
        <v>932</v>
      </c>
      <c r="D50" s="8" t="s">
        <v>402</v>
      </c>
      <c r="E50" s="8" t="s">
        <v>745</v>
      </c>
      <c r="F50" s="9" t="s">
        <v>318</v>
      </c>
      <c r="G50" s="8" t="s">
        <v>318</v>
      </c>
      <c r="H50" s="8" t="n">
        <v>720</v>
      </c>
      <c r="I50" s="8" t="s">
        <v>877</v>
      </c>
      <c r="J50" s="9" t="s">
        <v>412</v>
      </c>
      <c r="K50" s="8" t="n">
        <v>1</v>
      </c>
      <c r="L50" s="9"/>
    </row>
    <row r="51" customFormat="false" ht="15" hidden="false" customHeight="true" outlineLevel="0" collapsed="false">
      <c r="A51" s="8" t="n">
        <v>47</v>
      </c>
      <c r="B51" s="8" t="s">
        <v>934</v>
      </c>
      <c r="C51" s="9" t="s">
        <v>935</v>
      </c>
      <c r="D51" s="8" t="s">
        <v>422</v>
      </c>
      <c r="E51" s="8" t="s">
        <v>745</v>
      </c>
      <c r="F51" s="9" t="s">
        <v>745</v>
      </c>
      <c r="G51" s="8" t="s">
        <v>304</v>
      </c>
      <c r="H51" s="8" t="n">
        <v>100</v>
      </c>
      <c r="I51" s="8" t="s">
        <v>877</v>
      </c>
      <c r="J51" s="9" t="s">
        <v>423</v>
      </c>
      <c r="K51" s="8" t="n">
        <v>1</v>
      </c>
      <c r="L51" s="9"/>
    </row>
    <row r="52" customFormat="false" ht="34.5" hidden="false" customHeight="true" outlineLevel="0" collapsed="false">
      <c r="A52" s="8" t="n">
        <v>48</v>
      </c>
      <c r="B52" s="8" t="s">
        <v>936</v>
      </c>
      <c r="C52" s="9" t="s">
        <v>937</v>
      </c>
      <c r="D52" s="8" t="s">
        <v>422</v>
      </c>
      <c r="E52" s="8" t="s">
        <v>745</v>
      </c>
      <c r="F52" s="9" t="s">
        <v>938</v>
      </c>
      <c r="G52" s="8" t="s">
        <v>902</v>
      </c>
      <c r="H52" s="8" t="n">
        <v>500</v>
      </c>
      <c r="I52" s="8" t="s">
        <v>891</v>
      </c>
      <c r="J52" s="9" t="s">
        <v>440</v>
      </c>
      <c r="K52" s="8" t="s">
        <v>440</v>
      </c>
      <c r="L52" s="9" t="s">
        <v>892</v>
      </c>
    </row>
    <row r="53" customFormat="false" ht="34.5" hidden="false" customHeight="true" outlineLevel="0" collapsed="false">
      <c r="A53" s="8" t="n">
        <v>49</v>
      </c>
      <c r="B53" s="8" t="s">
        <v>936</v>
      </c>
      <c r="C53" s="9" t="s">
        <v>937</v>
      </c>
      <c r="D53" s="8" t="s">
        <v>422</v>
      </c>
      <c r="E53" s="8" t="s">
        <v>745</v>
      </c>
      <c r="F53" s="9" t="s">
        <v>939</v>
      </c>
      <c r="G53" s="8" t="s">
        <v>902</v>
      </c>
      <c r="H53" s="8" t="n">
        <v>400</v>
      </c>
      <c r="I53" s="8" t="s">
        <v>891</v>
      </c>
      <c r="J53" s="9" t="s">
        <v>440</v>
      </c>
      <c r="K53" s="8" t="s">
        <v>440</v>
      </c>
      <c r="L53" s="9" t="s">
        <v>892</v>
      </c>
    </row>
    <row r="54" customFormat="false" ht="34.5" hidden="false" customHeight="true" outlineLevel="0" collapsed="false">
      <c r="A54" s="8" t="n">
        <v>50</v>
      </c>
      <c r="B54" s="8" t="s">
        <v>936</v>
      </c>
      <c r="C54" s="9" t="s">
        <v>937</v>
      </c>
      <c r="D54" s="8" t="s">
        <v>422</v>
      </c>
      <c r="E54" s="8" t="s">
        <v>745</v>
      </c>
      <c r="F54" s="9" t="s">
        <v>940</v>
      </c>
      <c r="G54" s="8" t="s">
        <v>902</v>
      </c>
      <c r="H54" s="8" t="n">
        <v>120</v>
      </c>
      <c r="I54" s="8" t="s">
        <v>891</v>
      </c>
      <c r="J54" s="9" t="s">
        <v>440</v>
      </c>
      <c r="K54" s="8" t="s">
        <v>440</v>
      </c>
      <c r="L54" s="9" t="s">
        <v>892</v>
      </c>
    </row>
    <row r="55" customFormat="false" ht="34.5" hidden="false" customHeight="true" outlineLevel="0" collapsed="false">
      <c r="A55" s="8" t="n">
        <v>51</v>
      </c>
      <c r="B55" s="8" t="s">
        <v>936</v>
      </c>
      <c r="C55" s="9" t="s">
        <v>937</v>
      </c>
      <c r="D55" s="8" t="s">
        <v>422</v>
      </c>
      <c r="E55" s="8" t="s">
        <v>745</v>
      </c>
      <c r="F55" s="9" t="s">
        <v>941</v>
      </c>
      <c r="G55" s="8" t="s">
        <v>902</v>
      </c>
      <c r="H55" s="8" t="n">
        <v>120</v>
      </c>
      <c r="I55" s="8" t="s">
        <v>891</v>
      </c>
      <c r="J55" s="9" t="s">
        <v>440</v>
      </c>
      <c r="K55" s="8" t="s">
        <v>440</v>
      </c>
      <c r="L55" s="9" t="s">
        <v>892</v>
      </c>
    </row>
    <row r="56" customFormat="false" ht="34.5" hidden="false" customHeight="true" outlineLevel="0" collapsed="false">
      <c r="A56" s="8" t="n">
        <v>52</v>
      </c>
      <c r="B56" s="8" t="s">
        <v>936</v>
      </c>
      <c r="C56" s="9" t="s">
        <v>937</v>
      </c>
      <c r="D56" s="8" t="s">
        <v>422</v>
      </c>
      <c r="E56" s="8" t="s">
        <v>745</v>
      </c>
      <c r="F56" s="9" t="s">
        <v>942</v>
      </c>
      <c r="G56" s="8" t="s">
        <v>902</v>
      </c>
      <c r="H56" s="8" t="n">
        <v>120</v>
      </c>
      <c r="I56" s="8" t="s">
        <v>891</v>
      </c>
      <c r="J56" s="9" t="s">
        <v>440</v>
      </c>
      <c r="K56" s="8" t="s">
        <v>440</v>
      </c>
      <c r="L56" s="9" t="s">
        <v>892</v>
      </c>
    </row>
    <row r="57" customFormat="false" ht="34.5" hidden="false" customHeight="true" outlineLevel="0" collapsed="false">
      <c r="A57" s="8" t="n">
        <v>53</v>
      </c>
      <c r="B57" s="8" t="s">
        <v>936</v>
      </c>
      <c r="C57" s="9" t="s">
        <v>937</v>
      </c>
      <c r="D57" s="8" t="s">
        <v>422</v>
      </c>
      <c r="E57" s="8" t="s">
        <v>745</v>
      </c>
      <c r="F57" s="9" t="s">
        <v>943</v>
      </c>
      <c r="G57" s="8" t="s">
        <v>902</v>
      </c>
      <c r="H57" s="8" t="n">
        <v>120</v>
      </c>
      <c r="I57" s="8" t="s">
        <v>891</v>
      </c>
      <c r="J57" s="9" t="s">
        <v>440</v>
      </c>
      <c r="K57" s="8" t="s">
        <v>440</v>
      </c>
      <c r="L57" s="9" t="s">
        <v>892</v>
      </c>
    </row>
    <row r="58" customFormat="false" ht="34.5" hidden="false" customHeight="true" outlineLevel="0" collapsed="false">
      <c r="A58" s="8" t="n">
        <v>54</v>
      </c>
      <c r="B58" s="8" t="s">
        <v>936</v>
      </c>
      <c r="C58" s="9" t="s">
        <v>937</v>
      </c>
      <c r="D58" s="8" t="s">
        <v>422</v>
      </c>
      <c r="E58" s="8" t="s">
        <v>745</v>
      </c>
      <c r="F58" s="9" t="s">
        <v>944</v>
      </c>
      <c r="G58" s="8" t="s">
        <v>890</v>
      </c>
      <c r="H58" s="8" t="n">
        <v>300</v>
      </c>
      <c r="I58" s="8" t="s">
        <v>891</v>
      </c>
      <c r="J58" s="9" t="s">
        <v>440</v>
      </c>
      <c r="K58" s="8" t="s">
        <v>440</v>
      </c>
      <c r="L58" s="9" t="s">
        <v>892</v>
      </c>
    </row>
    <row r="59" customFormat="false" ht="34.5" hidden="false" customHeight="true" outlineLevel="0" collapsed="false">
      <c r="A59" s="8" t="n">
        <v>55</v>
      </c>
      <c r="B59" s="8" t="s">
        <v>936</v>
      </c>
      <c r="C59" s="9" t="s">
        <v>937</v>
      </c>
      <c r="D59" s="8" t="s">
        <v>422</v>
      </c>
      <c r="E59" s="8" t="s">
        <v>745</v>
      </c>
      <c r="F59" s="9" t="s">
        <v>945</v>
      </c>
      <c r="G59" s="8" t="s">
        <v>890</v>
      </c>
      <c r="H59" s="8" t="n">
        <v>200</v>
      </c>
      <c r="I59" s="8" t="s">
        <v>891</v>
      </c>
      <c r="J59" s="9" t="s">
        <v>440</v>
      </c>
      <c r="K59" s="8" t="s">
        <v>440</v>
      </c>
      <c r="L59" s="9" t="s">
        <v>892</v>
      </c>
    </row>
    <row r="60" customFormat="false" ht="34.5" hidden="false" customHeight="true" outlineLevel="0" collapsed="false">
      <c r="A60" s="8" t="n">
        <v>56</v>
      </c>
      <c r="B60" s="8" t="s">
        <v>936</v>
      </c>
      <c r="C60" s="9" t="s">
        <v>937</v>
      </c>
      <c r="D60" s="8" t="s">
        <v>422</v>
      </c>
      <c r="E60" s="8" t="s">
        <v>745</v>
      </c>
      <c r="F60" s="9" t="s">
        <v>946</v>
      </c>
      <c r="G60" s="8" t="s">
        <v>890</v>
      </c>
      <c r="H60" s="8" t="n">
        <v>120</v>
      </c>
      <c r="I60" s="8" t="s">
        <v>891</v>
      </c>
      <c r="J60" s="9" t="s">
        <v>440</v>
      </c>
      <c r="K60" s="8" t="s">
        <v>440</v>
      </c>
      <c r="L60" s="9" t="s">
        <v>892</v>
      </c>
    </row>
    <row r="61" customFormat="false" ht="34.5" hidden="false" customHeight="true" outlineLevel="0" collapsed="false">
      <c r="A61" s="8" t="n">
        <v>57</v>
      </c>
      <c r="B61" s="8" t="s">
        <v>936</v>
      </c>
      <c r="C61" s="9" t="s">
        <v>937</v>
      </c>
      <c r="D61" s="8" t="s">
        <v>422</v>
      </c>
      <c r="E61" s="8" t="s">
        <v>745</v>
      </c>
      <c r="F61" s="9" t="s">
        <v>947</v>
      </c>
      <c r="G61" s="8" t="s">
        <v>890</v>
      </c>
      <c r="H61" s="8" t="n">
        <v>120</v>
      </c>
      <c r="I61" s="8" t="s">
        <v>891</v>
      </c>
      <c r="J61" s="9" t="s">
        <v>440</v>
      </c>
      <c r="K61" s="8" t="s">
        <v>440</v>
      </c>
      <c r="L61" s="9" t="s">
        <v>892</v>
      </c>
    </row>
    <row r="62" customFormat="false" ht="34.5" hidden="false" customHeight="true" outlineLevel="0" collapsed="false">
      <c r="A62" s="8" t="n">
        <v>58</v>
      </c>
      <c r="B62" s="8" t="s">
        <v>936</v>
      </c>
      <c r="C62" s="9" t="s">
        <v>937</v>
      </c>
      <c r="D62" s="8" t="s">
        <v>422</v>
      </c>
      <c r="E62" s="8" t="s">
        <v>745</v>
      </c>
      <c r="F62" s="9" t="s">
        <v>948</v>
      </c>
      <c r="G62" s="8" t="s">
        <v>890</v>
      </c>
      <c r="H62" s="8" t="n">
        <v>60</v>
      </c>
      <c r="I62" s="8" t="s">
        <v>891</v>
      </c>
      <c r="J62" s="9" t="s">
        <v>440</v>
      </c>
      <c r="K62" s="8" t="s">
        <v>440</v>
      </c>
      <c r="L62" s="9" t="s">
        <v>892</v>
      </c>
    </row>
    <row r="63" customFormat="false" ht="34.5" hidden="false" customHeight="true" outlineLevel="0" collapsed="false">
      <c r="A63" s="8" t="n">
        <v>59</v>
      </c>
      <c r="B63" s="8" t="s">
        <v>936</v>
      </c>
      <c r="C63" s="9" t="s">
        <v>937</v>
      </c>
      <c r="D63" s="8" t="s">
        <v>422</v>
      </c>
      <c r="E63" s="8" t="s">
        <v>745</v>
      </c>
      <c r="F63" s="9" t="s">
        <v>949</v>
      </c>
      <c r="G63" s="8" t="s">
        <v>890</v>
      </c>
      <c r="H63" s="8" t="n">
        <v>60</v>
      </c>
      <c r="I63" s="8" t="s">
        <v>891</v>
      </c>
      <c r="J63" s="9" t="s">
        <v>440</v>
      </c>
      <c r="K63" s="8" t="s">
        <v>440</v>
      </c>
      <c r="L63" s="9" t="s">
        <v>892</v>
      </c>
    </row>
    <row r="64" customFormat="false" ht="34.5" hidden="false" customHeight="true" outlineLevel="0" collapsed="false">
      <c r="A64" s="8" t="n">
        <v>60</v>
      </c>
      <c r="B64" s="8" t="s">
        <v>936</v>
      </c>
      <c r="C64" s="9" t="s">
        <v>937</v>
      </c>
      <c r="D64" s="8" t="s">
        <v>422</v>
      </c>
      <c r="E64" s="8" t="s">
        <v>745</v>
      </c>
      <c r="F64" s="9" t="s">
        <v>950</v>
      </c>
      <c r="G64" s="8" t="s">
        <v>890</v>
      </c>
      <c r="H64" s="8" t="n">
        <v>60</v>
      </c>
      <c r="I64" s="8" t="s">
        <v>891</v>
      </c>
      <c r="J64" s="9" t="s">
        <v>440</v>
      </c>
      <c r="K64" s="8" t="s">
        <v>440</v>
      </c>
      <c r="L64" s="9" t="s">
        <v>892</v>
      </c>
    </row>
    <row r="65" customFormat="false" ht="34.5" hidden="false" customHeight="true" outlineLevel="0" collapsed="false">
      <c r="A65" s="8" t="n">
        <v>61</v>
      </c>
      <c r="B65" s="8" t="s">
        <v>936</v>
      </c>
      <c r="C65" s="9" t="s">
        <v>937</v>
      </c>
      <c r="D65" s="8" t="s">
        <v>422</v>
      </c>
      <c r="E65" s="8" t="s">
        <v>745</v>
      </c>
      <c r="F65" s="9" t="s">
        <v>951</v>
      </c>
      <c r="G65" s="8" t="s">
        <v>890</v>
      </c>
      <c r="H65" s="8" t="n">
        <v>60</v>
      </c>
      <c r="I65" s="8" t="s">
        <v>891</v>
      </c>
      <c r="J65" s="9" t="s">
        <v>440</v>
      </c>
      <c r="K65" s="8" t="s">
        <v>440</v>
      </c>
      <c r="L65" s="9" t="s">
        <v>892</v>
      </c>
    </row>
    <row r="66" customFormat="false" ht="15" hidden="false" customHeight="true" outlineLevel="0" collapsed="false">
      <c r="A66" s="8" t="n">
        <v>62</v>
      </c>
      <c r="B66" s="8" t="s">
        <v>952</v>
      </c>
      <c r="C66" s="9" t="s">
        <v>953</v>
      </c>
      <c r="D66" s="8" t="s">
        <v>425</v>
      </c>
      <c r="E66" s="8" t="s">
        <v>745</v>
      </c>
      <c r="F66" s="9" t="s">
        <v>303</v>
      </c>
      <c r="G66" s="8" t="s">
        <v>304</v>
      </c>
      <c r="H66" s="8" t="n">
        <v>1800</v>
      </c>
      <c r="I66" s="8" t="s">
        <v>877</v>
      </c>
      <c r="J66" s="9" t="s">
        <v>473</v>
      </c>
      <c r="K66" s="8" t="n">
        <v>1</v>
      </c>
      <c r="L66" s="9"/>
    </row>
    <row r="67" customFormat="false" ht="23.25" hidden="false" customHeight="true" outlineLevel="0" collapsed="false">
      <c r="A67" s="8" t="n">
        <v>63</v>
      </c>
      <c r="B67" s="8" t="s">
        <v>954</v>
      </c>
      <c r="C67" s="9" t="s">
        <v>955</v>
      </c>
      <c r="D67" s="8" t="s">
        <v>425</v>
      </c>
      <c r="E67" s="8" t="s">
        <v>876</v>
      </c>
      <c r="F67" s="9" t="s">
        <v>307</v>
      </c>
      <c r="G67" s="8" t="s">
        <v>307</v>
      </c>
      <c r="H67" s="8" t="n">
        <v>300</v>
      </c>
      <c r="I67" s="8" t="s">
        <v>877</v>
      </c>
      <c r="J67" s="9" t="s">
        <v>468</v>
      </c>
      <c r="K67" s="8" t="n">
        <v>1</v>
      </c>
      <c r="L67" s="9"/>
    </row>
    <row r="68" customFormat="false" ht="23.25" hidden="false" customHeight="true" outlineLevel="0" collapsed="false">
      <c r="A68" s="8" t="n">
        <v>64</v>
      </c>
      <c r="B68" s="8" t="s">
        <v>954</v>
      </c>
      <c r="C68" s="9" t="s">
        <v>955</v>
      </c>
      <c r="D68" s="8" t="s">
        <v>425</v>
      </c>
      <c r="E68" s="8" t="s">
        <v>876</v>
      </c>
      <c r="F68" s="9" t="s">
        <v>320</v>
      </c>
      <c r="G68" s="8" t="s">
        <v>320</v>
      </c>
      <c r="H68" s="8" t="n">
        <v>300</v>
      </c>
      <c r="I68" s="8" t="s">
        <v>877</v>
      </c>
      <c r="J68" s="9" t="s">
        <v>468</v>
      </c>
      <c r="K68" s="8" t="n">
        <v>1</v>
      </c>
      <c r="L68" s="9"/>
    </row>
    <row r="69" customFormat="false" ht="34.5" hidden="false" customHeight="true" outlineLevel="0" collapsed="false">
      <c r="A69" s="8" t="n">
        <v>65</v>
      </c>
      <c r="B69" s="8" t="s">
        <v>956</v>
      </c>
      <c r="C69" s="9" t="s">
        <v>957</v>
      </c>
      <c r="D69" s="8" t="s">
        <v>425</v>
      </c>
      <c r="E69" s="8" t="s">
        <v>958</v>
      </c>
      <c r="F69" s="9" t="s">
        <v>958</v>
      </c>
      <c r="G69" s="8" t="s">
        <v>959</v>
      </c>
      <c r="H69" s="8" t="n">
        <v>150</v>
      </c>
      <c r="I69" s="8" t="s">
        <v>897</v>
      </c>
      <c r="J69" s="9" t="s">
        <v>605</v>
      </c>
      <c r="K69" s="8" t="n">
        <v>0.76</v>
      </c>
      <c r="L69" s="9" t="s">
        <v>960</v>
      </c>
    </row>
    <row r="70" customFormat="false" ht="34.5" hidden="false" customHeight="true" outlineLevel="0" collapsed="false">
      <c r="A70" s="8" t="n">
        <v>66</v>
      </c>
      <c r="B70" s="8" t="s">
        <v>961</v>
      </c>
      <c r="C70" s="9" t="s">
        <v>962</v>
      </c>
      <c r="D70" s="8" t="s">
        <v>425</v>
      </c>
      <c r="E70" s="8" t="s">
        <v>745</v>
      </c>
      <c r="F70" s="9" t="s">
        <v>963</v>
      </c>
      <c r="G70" s="8" t="s">
        <v>890</v>
      </c>
      <c r="H70" s="8" t="n">
        <v>1000</v>
      </c>
      <c r="I70" s="8" t="s">
        <v>891</v>
      </c>
      <c r="J70" s="9" t="s">
        <v>440</v>
      </c>
      <c r="K70" s="8" t="s">
        <v>440</v>
      </c>
      <c r="L70" s="9" t="s">
        <v>892</v>
      </c>
    </row>
    <row r="71" customFormat="false" ht="34.5" hidden="false" customHeight="true" outlineLevel="0" collapsed="false">
      <c r="A71" s="8" t="n">
        <v>67</v>
      </c>
      <c r="B71" s="8" t="s">
        <v>964</v>
      </c>
      <c r="C71" s="9" t="s">
        <v>965</v>
      </c>
      <c r="D71" s="8" t="s">
        <v>425</v>
      </c>
      <c r="E71" s="8" t="s">
        <v>745</v>
      </c>
      <c r="F71" s="9" t="s">
        <v>890</v>
      </c>
      <c r="G71" s="8" t="s">
        <v>890</v>
      </c>
      <c r="H71" s="8" t="n">
        <v>600</v>
      </c>
      <c r="I71" s="8" t="s">
        <v>891</v>
      </c>
      <c r="J71" s="9" t="s">
        <v>440</v>
      </c>
      <c r="K71" s="8" t="s">
        <v>440</v>
      </c>
      <c r="L71" s="9" t="s">
        <v>892</v>
      </c>
    </row>
    <row r="72" customFormat="false" ht="23.25" hidden="false" customHeight="true" outlineLevel="0" collapsed="false">
      <c r="A72" s="8" t="n">
        <v>68</v>
      </c>
      <c r="B72" s="8" t="s">
        <v>966</v>
      </c>
      <c r="C72" s="9" t="s">
        <v>967</v>
      </c>
      <c r="D72" s="8" t="s">
        <v>425</v>
      </c>
      <c r="E72" s="8" t="s">
        <v>745</v>
      </c>
      <c r="F72" s="9" t="s">
        <v>317</v>
      </c>
      <c r="G72" s="8" t="s">
        <v>318</v>
      </c>
      <c r="H72" s="8" t="n">
        <v>8000</v>
      </c>
      <c r="I72" s="8" t="s">
        <v>877</v>
      </c>
      <c r="J72" s="9" t="s">
        <v>426</v>
      </c>
      <c r="K72" s="8" t="n">
        <v>1</v>
      </c>
      <c r="L72" s="9"/>
    </row>
    <row r="73" customFormat="false" ht="23.25" hidden="false" customHeight="true" outlineLevel="0" collapsed="false">
      <c r="A73" s="8" t="n">
        <v>69</v>
      </c>
      <c r="B73" s="8" t="s">
        <v>968</v>
      </c>
      <c r="C73" s="9" t="s">
        <v>969</v>
      </c>
      <c r="D73" s="8" t="s">
        <v>425</v>
      </c>
      <c r="E73" s="8" t="s">
        <v>745</v>
      </c>
      <c r="F73" s="9" t="s">
        <v>933</v>
      </c>
      <c r="G73" s="8" t="s">
        <v>304</v>
      </c>
      <c r="H73" s="8" t="n">
        <v>40000</v>
      </c>
      <c r="I73" s="8" t="s">
        <v>877</v>
      </c>
      <c r="J73" s="9" t="s">
        <v>426</v>
      </c>
      <c r="K73" s="8" t="n">
        <v>1</v>
      </c>
      <c r="L73" s="9"/>
    </row>
    <row r="74" customFormat="false" ht="34.5" hidden="false" customHeight="true" outlineLevel="0" collapsed="false">
      <c r="A74" s="8" t="n">
        <v>70</v>
      </c>
      <c r="B74" s="8" t="s">
        <v>970</v>
      </c>
      <c r="C74" s="9" t="s">
        <v>971</v>
      </c>
      <c r="D74" s="8" t="s">
        <v>425</v>
      </c>
      <c r="E74" s="8" t="s">
        <v>876</v>
      </c>
      <c r="F74" s="9" t="s">
        <v>307</v>
      </c>
      <c r="G74" s="8" t="s">
        <v>307</v>
      </c>
      <c r="H74" s="8" t="n">
        <v>20000</v>
      </c>
      <c r="I74" s="8" t="s">
        <v>877</v>
      </c>
      <c r="J74" s="9" t="s">
        <v>426</v>
      </c>
      <c r="K74" s="8" t="n">
        <v>1</v>
      </c>
      <c r="L74" s="9"/>
    </row>
    <row r="75" customFormat="false" ht="34.5" hidden="false" customHeight="true" outlineLevel="0" collapsed="false">
      <c r="A75" s="8" t="n">
        <v>71</v>
      </c>
      <c r="B75" s="8" t="s">
        <v>970</v>
      </c>
      <c r="C75" s="9" t="s">
        <v>971</v>
      </c>
      <c r="D75" s="8" t="s">
        <v>425</v>
      </c>
      <c r="E75" s="8" t="s">
        <v>876</v>
      </c>
      <c r="F75" s="9" t="s">
        <v>320</v>
      </c>
      <c r="G75" s="8" t="s">
        <v>320</v>
      </c>
      <c r="H75" s="8" t="n">
        <v>5000</v>
      </c>
      <c r="I75" s="8" t="s">
        <v>877</v>
      </c>
      <c r="J75" s="9" t="s">
        <v>426</v>
      </c>
      <c r="K75" s="8" t="n">
        <v>1</v>
      </c>
      <c r="L75" s="9"/>
    </row>
    <row r="76" customFormat="false" ht="23.25" hidden="false" customHeight="true" outlineLevel="0" collapsed="false">
      <c r="A76" s="8" t="n">
        <v>72</v>
      </c>
      <c r="B76" s="8" t="s">
        <v>972</v>
      </c>
      <c r="C76" s="9" t="s">
        <v>973</v>
      </c>
      <c r="D76" s="8" t="s">
        <v>425</v>
      </c>
      <c r="E76" s="8" t="s">
        <v>745</v>
      </c>
      <c r="F76" s="9" t="s">
        <v>974</v>
      </c>
      <c r="G76" s="8" t="s">
        <v>304</v>
      </c>
      <c r="H76" s="8" t="n">
        <v>180</v>
      </c>
      <c r="I76" s="8" t="s">
        <v>877</v>
      </c>
      <c r="J76" s="9" t="s">
        <v>429</v>
      </c>
      <c r="K76" s="8" t="n">
        <v>1</v>
      </c>
      <c r="L76" s="9"/>
    </row>
    <row r="77" customFormat="false" ht="23.25" hidden="false" customHeight="true" outlineLevel="0" collapsed="false">
      <c r="A77" s="8" t="n">
        <v>73</v>
      </c>
      <c r="B77" s="8" t="s">
        <v>972</v>
      </c>
      <c r="C77" s="9" t="s">
        <v>973</v>
      </c>
      <c r="D77" s="8" t="s">
        <v>425</v>
      </c>
      <c r="E77" s="8" t="s">
        <v>745</v>
      </c>
      <c r="F77" s="9" t="s">
        <v>975</v>
      </c>
      <c r="G77" s="8" t="s">
        <v>304</v>
      </c>
      <c r="H77" s="8" t="n">
        <v>180</v>
      </c>
      <c r="I77" s="8" t="s">
        <v>877</v>
      </c>
      <c r="J77" s="9" t="s">
        <v>429</v>
      </c>
      <c r="K77" s="8" t="n">
        <v>1</v>
      </c>
      <c r="L77" s="9"/>
    </row>
    <row r="78" customFormat="false" ht="23.25" hidden="false" customHeight="true" outlineLevel="0" collapsed="false">
      <c r="A78" s="8" t="n">
        <v>74</v>
      </c>
      <c r="B78" s="8" t="s">
        <v>972</v>
      </c>
      <c r="C78" s="9" t="s">
        <v>973</v>
      </c>
      <c r="D78" s="8" t="s">
        <v>425</v>
      </c>
      <c r="E78" s="8" t="s">
        <v>745</v>
      </c>
      <c r="F78" s="9" t="s">
        <v>318</v>
      </c>
      <c r="G78" s="8" t="s">
        <v>318</v>
      </c>
      <c r="H78" s="8" t="n">
        <v>180</v>
      </c>
      <c r="I78" s="8" t="s">
        <v>877</v>
      </c>
      <c r="J78" s="9" t="s">
        <v>429</v>
      </c>
      <c r="K78" s="8" t="n">
        <v>1</v>
      </c>
      <c r="L78" s="9"/>
    </row>
    <row r="79" customFormat="false" ht="34.5" hidden="false" customHeight="true" outlineLevel="0" collapsed="false">
      <c r="A79" s="8" t="n">
        <v>75</v>
      </c>
      <c r="B79" s="8" t="s">
        <v>976</v>
      </c>
      <c r="C79" s="9" t="s">
        <v>977</v>
      </c>
      <c r="D79" s="8" t="s">
        <v>425</v>
      </c>
      <c r="E79" s="8" t="s">
        <v>745</v>
      </c>
      <c r="F79" s="9" t="s">
        <v>924</v>
      </c>
      <c r="G79" s="8" t="s">
        <v>902</v>
      </c>
      <c r="H79" s="8" t="n">
        <v>500</v>
      </c>
      <c r="I79" s="8" t="s">
        <v>891</v>
      </c>
      <c r="J79" s="9" t="s">
        <v>440</v>
      </c>
      <c r="K79" s="8" t="s">
        <v>440</v>
      </c>
      <c r="L79" s="9" t="s">
        <v>892</v>
      </c>
    </row>
    <row r="80" customFormat="false" ht="34.5" hidden="false" customHeight="true" outlineLevel="0" collapsed="false">
      <c r="A80" s="8" t="n">
        <v>76</v>
      </c>
      <c r="B80" s="8" t="s">
        <v>976</v>
      </c>
      <c r="C80" s="9" t="s">
        <v>977</v>
      </c>
      <c r="D80" s="8" t="s">
        <v>425</v>
      </c>
      <c r="E80" s="8" t="s">
        <v>745</v>
      </c>
      <c r="F80" s="9" t="s">
        <v>890</v>
      </c>
      <c r="G80" s="8" t="s">
        <v>890</v>
      </c>
      <c r="H80" s="8" t="n">
        <v>500</v>
      </c>
      <c r="I80" s="8" t="s">
        <v>891</v>
      </c>
      <c r="J80" s="9" t="s">
        <v>440</v>
      </c>
      <c r="K80" s="8" t="s">
        <v>440</v>
      </c>
      <c r="L80" s="9" t="s">
        <v>892</v>
      </c>
    </row>
    <row r="81" customFormat="false" ht="23.25" hidden="false" customHeight="true" outlineLevel="0" collapsed="false">
      <c r="A81" s="8" t="n">
        <v>77</v>
      </c>
      <c r="B81" s="8" t="s">
        <v>978</v>
      </c>
      <c r="C81" s="9" t="s">
        <v>979</v>
      </c>
      <c r="D81" s="8" t="s">
        <v>425</v>
      </c>
      <c r="E81" s="8" t="s">
        <v>876</v>
      </c>
      <c r="F81" s="9" t="s">
        <v>980</v>
      </c>
      <c r="G81" s="8" t="s">
        <v>307</v>
      </c>
      <c r="H81" s="8" t="n">
        <v>500</v>
      </c>
      <c r="I81" s="8" t="s">
        <v>877</v>
      </c>
      <c r="J81" s="9" t="s">
        <v>434</v>
      </c>
      <c r="K81" s="8" t="n">
        <v>1</v>
      </c>
      <c r="L81" s="9"/>
    </row>
    <row r="82" customFormat="false" ht="23.25" hidden="false" customHeight="true" outlineLevel="0" collapsed="false">
      <c r="A82" s="8" t="n">
        <v>78</v>
      </c>
      <c r="B82" s="8" t="s">
        <v>978</v>
      </c>
      <c r="C82" s="9" t="s">
        <v>979</v>
      </c>
      <c r="D82" s="8" t="s">
        <v>425</v>
      </c>
      <c r="E82" s="8" t="s">
        <v>745</v>
      </c>
      <c r="F82" s="9" t="s">
        <v>981</v>
      </c>
      <c r="G82" s="8" t="s">
        <v>304</v>
      </c>
      <c r="H82" s="8" t="n">
        <v>800</v>
      </c>
      <c r="I82" s="8" t="s">
        <v>877</v>
      </c>
      <c r="J82" s="9" t="s">
        <v>434</v>
      </c>
      <c r="K82" s="8" t="n">
        <v>1</v>
      </c>
      <c r="L82" s="9"/>
    </row>
    <row r="83" customFormat="false" ht="23.25" hidden="false" customHeight="true" outlineLevel="0" collapsed="false">
      <c r="A83" s="8" t="n">
        <v>79</v>
      </c>
      <c r="B83" s="8" t="s">
        <v>978</v>
      </c>
      <c r="C83" s="9" t="s">
        <v>979</v>
      </c>
      <c r="D83" s="8" t="s">
        <v>425</v>
      </c>
      <c r="E83" s="8" t="s">
        <v>745</v>
      </c>
      <c r="F83" s="9" t="s">
        <v>933</v>
      </c>
      <c r="G83" s="8" t="s">
        <v>304</v>
      </c>
      <c r="H83" s="8" t="n">
        <v>4000</v>
      </c>
      <c r="I83" s="8" t="s">
        <v>877</v>
      </c>
      <c r="J83" s="9" t="s">
        <v>434</v>
      </c>
      <c r="K83" s="8" t="n">
        <v>1</v>
      </c>
      <c r="L83" s="9"/>
    </row>
    <row r="84" customFormat="false" ht="23.25" hidden="false" customHeight="true" outlineLevel="0" collapsed="false">
      <c r="A84" s="8" t="n">
        <v>80</v>
      </c>
      <c r="B84" s="8" t="s">
        <v>978</v>
      </c>
      <c r="C84" s="9" t="s">
        <v>979</v>
      </c>
      <c r="D84" s="8" t="s">
        <v>425</v>
      </c>
      <c r="E84" s="8" t="s">
        <v>745</v>
      </c>
      <c r="F84" s="9" t="s">
        <v>982</v>
      </c>
      <c r="G84" s="8" t="s">
        <v>304</v>
      </c>
      <c r="H84" s="8" t="n">
        <v>1000</v>
      </c>
      <c r="I84" s="8" t="s">
        <v>877</v>
      </c>
      <c r="J84" s="9" t="s">
        <v>434</v>
      </c>
      <c r="K84" s="8" t="n">
        <v>1</v>
      </c>
      <c r="L84" s="9"/>
    </row>
    <row r="85" customFormat="false" ht="23.25" hidden="false" customHeight="true" outlineLevel="0" collapsed="false">
      <c r="A85" s="8" t="n">
        <v>81</v>
      </c>
      <c r="B85" s="8" t="s">
        <v>978</v>
      </c>
      <c r="C85" s="9" t="s">
        <v>979</v>
      </c>
      <c r="D85" s="8" t="s">
        <v>425</v>
      </c>
      <c r="E85" s="8" t="s">
        <v>745</v>
      </c>
      <c r="F85" s="9" t="s">
        <v>983</v>
      </c>
      <c r="G85" s="8" t="s">
        <v>318</v>
      </c>
      <c r="H85" s="8" t="n">
        <v>500</v>
      </c>
      <c r="I85" s="8" t="s">
        <v>877</v>
      </c>
      <c r="J85" s="9" t="s">
        <v>434</v>
      </c>
      <c r="K85" s="8" t="n">
        <v>1</v>
      </c>
      <c r="L85" s="9"/>
    </row>
    <row r="86" customFormat="false" ht="15" hidden="false" customHeight="true" outlineLevel="0" collapsed="false">
      <c r="A86" s="8" t="n">
        <v>82</v>
      </c>
      <c r="B86" s="8" t="s">
        <v>984</v>
      </c>
      <c r="C86" s="9" t="s">
        <v>985</v>
      </c>
      <c r="D86" s="8" t="s">
        <v>425</v>
      </c>
      <c r="E86" s="8" t="s">
        <v>876</v>
      </c>
      <c r="F86" s="9" t="s">
        <v>307</v>
      </c>
      <c r="G86" s="8" t="s">
        <v>307</v>
      </c>
      <c r="H86" s="8" t="n">
        <v>1000</v>
      </c>
      <c r="I86" s="8" t="s">
        <v>891</v>
      </c>
      <c r="J86" s="9" t="s">
        <v>440</v>
      </c>
      <c r="K86" s="8" t="s">
        <v>440</v>
      </c>
      <c r="L86" s="9" t="s">
        <v>917</v>
      </c>
    </row>
    <row r="87" customFormat="false" ht="15" hidden="false" customHeight="true" outlineLevel="0" collapsed="false">
      <c r="A87" s="8" t="n">
        <v>83</v>
      </c>
      <c r="B87" s="8" t="s">
        <v>984</v>
      </c>
      <c r="C87" s="9" t="s">
        <v>985</v>
      </c>
      <c r="D87" s="8" t="s">
        <v>425</v>
      </c>
      <c r="E87" s="8" t="s">
        <v>745</v>
      </c>
      <c r="F87" s="9" t="s">
        <v>304</v>
      </c>
      <c r="G87" s="8" t="s">
        <v>304</v>
      </c>
      <c r="H87" s="8" t="n">
        <v>1000</v>
      </c>
      <c r="I87" s="8" t="s">
        <v>891</v>
      </c>
      <c r="J87" s="9" t="s">
        <v>440</v>
      </c>
      <c r="K87" s="8" t="s">
        <v>440</v>
      </c>
      <c r="L87" s="9" t="s">
        <v>917</v>
      </c>
    </row>
    <row r="88" customFormat="false" ht="23.25" hidden="false" customHeight="true" outlineLevel="0" collapsed="false">
      <c r="A88" s="8" t="n">
        <v>84</v>
      </c>
      <c r="B88" s="8" t="s">
        <v>986</v>
      </c>
      <c r="C88" s="9" t="s">
        <v>987</v>
      </c>
      <c r="D88" s="8" t="s">
        <v>425</v>
      </c>
      <c r="E88" s="8" t="s">
        <v>876</v>
      </c>
      <c r="F88" s="9" t="s">
        <v>307</v>
      </c>
      <c r="G88" s="8" t="s">
        <v>307</v>
      </c>
      <c r="H88" s="8" t="n">
        <v>500</v>
      </c>
      <c r="I88" s="8" t="s">
        <v>891</v>
      </c>
      <c r="J88" s="9" t="s">
        <v>440</v>
      </c>
      <c r="K88" s="8" t="s">
        <v>440</v>
      </c>
      <c r="L88" s="9" t="s">
        <v>917</v>
      </c>
    </row>
    <row r="89" customFormat="false" ht="15" hidden="false" customHeight="true" outlineLevel="0" collapsed="false">
      <c r="A89" s="8" t="n">
        <v>85</v>
      </c>
      <c r="B89" s="8" t="s">
        <v>988</v>
      </c>
      <c r="C89" s="9" t="s">
        <v>989</v>
      </c>
      <c r="D89" s="8" t="s">
        <v>425</v>
      </c>
      <c r="E89" s="8" t="s">
        <v>876</v>
      </c>
      <c r="F89" s="9" t="s">
        <v>418</v>
      </c>
      <c r="G89" s="8" t="s">
        <v>307</v>
      </c>
      <c r="H89" s="8" t="n">
        <v>1000</v>
      </c>
      <c r="I89" s="8" t="s">
        <v>891</v>
      </c>
      <c r="J89" s="9" t="s">
        <v>440</v>
      </c>
      <c r="K89" s="8" t="s">
        <v>440</v>
      </c>
      <c r="L89" s="9" t="s">
        <v>917</v>
      </c>
    </row>
    <row r="90" customFormat="false" ht="15" hidden="false" customHeight="true" outlineLevel="0" collapsed="false">
      <c r="A90" s="8" t="n">
        <v>86</v>
      </c>
      <c r="B90" s="8" t="s">
        <v>988</v>
      </c>
      <c r="C90" s="9" t="s">
        <v>989</v>
      </c>
      <c r="D90" s="8" t="s">
        <v>425</v>
      </c>
      <c r="E90" s="8" t="s">
        <v>876</v>
      </c>
      <c r="F90" s="9" t="s">
        <v>538</v>
      </c>
      <c r="G90" s="8" t="s">
        <v>320</v>
      </c>
      <c r="H90" s="8" t="n">
        <v>500</v>
      </c>
      <c r="I90" s="8" t="s">
        <v>891</v>
      </c>
      <c r="J90" s="9" t="s">
        <v>440</v>
      </c>
      <c r="K90" s="8" t="s">
        <v>440</v>
      </c>
      <c r="L90" s="9" t="s">
        <v>917</v>
      </c>
    </row>
    <row r="91" customFormat="false" ht="15" hidden="false" customHeight="true" outlineLevel="0" collapsed="false">
      <c r="A91" s="8" t="n">
        <v>87</v>
      </c>
      <c r="B91" s="8" t="s">
        <v>988</v>
      </c>
      <c r="C91" s="9" t="s">
        <v>989</v>
      </c>
      <c r="D91" s="8" t="s">
        <v>425</v>
      </c>
      <c r="E91" s="8" t="s">
        <v>745</v>
      </c>
      <c r="F91" s="9" t="s">
        <v>303</v>
      </c>
      <c r="G91" s="8" t="s">
        <v>304</v>
      </c>
      <c r="H91" s="8" t="n">
        <v>2000</v>
      </c>
      <c r="I91" s="8" t="s">
        <v>891</v>
      </c>
      <c r="J91" s="9" t="s">
        <v>440</v>
      </c>
      <c r="K91" s="8" t="s">
        <v>440</v>
      </c>
      <c r="L91" s="9" t="s">
        <v>917</v>
      </c>
    </row>
    <row r="92" customFormat="false" ht="15" hidden="false" customHeight="true" outlineLevel="0" collapsed="false">
      <c r="A92" s="8" t="n">
        <v>88</v>
      </c>
      <c r="B92" s="8" t="s">
        <v>988</v>
      </c>
      <c r="C92" s="9" t="s">
        <v>989</v>
      </c>
      <c r="D92" s="8" t="s">
        <v>425</v>
      </c>
      <c r="E92" s="8" t="s">
        <v>745</v>
      </c>
      <c r="F92" s="9" t="s">
        <v>317</v>
      </c>
      <c r="G92" s="8" t="s">
        <v>318</v>
      </c>
      <c r="H92" s="8" t="n">
        <v>500</v>
      </c>
      <c r="I92" s="8" t="s">
        <v>891</v>
      </c>
      <c r="J92" s="9" t="s">
        <v>440</v>
      </c>
      <c r="K92" s="8" t="s">
        <v>440</v>
      </c>
      <c r="L92" s="9" t="s">
        <v>917</v>
      </c>
    </row>
    <row r="93" customFormat="false" ht="15" hidden="false" customHeight="true" outlineLevel="0" collapsed="false">
      <c r="A93" s="8" t="n">
        <v>89</v>
      </c>
      <c r="B93" s="8" t="s">
        <v>990</v>
      </c>
      <c r="C93" s="9" t="s">
        <v>991</v>
      </c>
      <c r="D93" s="8" t="s">
        <v>425</v>
      </c>
      <c r="E93" s="8" t="s">
        <v>876</v>
      </c>
      <c r="F93" s="9" t="s">
        <v>307</v>
      </c>
      <c r="G93" s="8" t="s">
        <v>307</v>
      </c>
      <c r="H93" s="8" t="n">
        <v>1000</v>
      </c>
      <c r="I93" s="8" t="s">
        <v>877</v>
      </c>
      <c r="J93" s="9" t="s">
        <v>451</v>
      </c>
      <c r="K93" s="8" t="n">
        <v>1</v>
      </c>
      <c r="L93" s="9"/>
    </row>
    <row r="94" customFormat="false" ht="15" hidden="false" customHeight="true" outlineLevel="0" collapsed="false">
      <c r="A94" s="8" t="n">
        <v>90</v>
      </c>
      <c r="B94" s="8" t="s">
        <v>990</v>
      </c>
      <c r="C94" s="9" t="s">
        <v>991</v>
      </c>
      <c r="D94" s="8" t="s">
        <v>425</v>
      </c>
      <c r="E94" s="8" t="s">
        <v>876</v>
      </c>
      <c r="F94" s="9" t="s">
        <v>320</v>
      </c>
      <c r="G94" s="8" t="s">
        <v>320</v>
      </c>
      <c r="H94" s="8" t="n">
        <v>750</v>
      </c>
      <c r="I94" s="8" t="s">
        <v>877</v>
      </c>
      <c r="J94" s="9" t="s">
        <v>451</v>
      </c>
      <c r="K94" s="8" t="n">
        <v>1</v>
      </c>
      <c r="L94" s="9"/>
    </row>
    <row r="95" customFormat="false" ht="15" hidden="false" customHeight="true" outlineLevel="0" collapsed="false">
      <c r="A95" s="8" t="n">
        <v>91</v>
      </c>
      <c r="B95" s="8" t="s">
        <v>990</v>
      </c>
      <c r="C95" s="9" t="s">
        <v>991</v>
      </c>
      <c r="D95" s="8" t="s">
        <v>425</v>
      </c>
      <c r="E95" s="8" t="s">
        <v>745</v>
      </c>
      <c r="F95" s="9" t="s">
        <v>745</v>
      </c>
      <c r="G95" s="8" t="s">
        <v>304</v>
      </c>
      <c r="H95" s="8" t="n">
        <v>10000</v>
      </c>
      <c r="I95" s="8" t="s">
        <v>877</v>
      </c>
      <c r="J95" s="9" t="s">
        <v>451</v>
      </c>
      <c r="K95" s="8" t="n">
        <v>1</v>
      </c>
      <c r="L95" s="9"/>
    </row>
    <row r="96" customFormat="false" ht="15" hidden="false" customHeight="true" outlineLevel="0" collapsed="false">
      <c r="A96" s="8" t="n">
        <v>92</v>
      </c>
      <c r="B96" s="8" t="s">
        <v>990</v>
      </c>
      <c r="C96" s="9" t="s">
        <v>991</v>
      </c>
      <c r="D96" s="8" t="s">
        <v>425</v>
      </c>
      <c r="E96" s="8" t="s">
        <v>745</v>
      </c>
      <c r="F96" s="9" t="s">
        <v>318</v>
      </c>
      <c r="G96" s="8" t="s">
        <v>318</v>
      </c>
      <c r="H96" s="8" t="n">
        <v>750</v>
      </c>
      <c r="I96" s="8" t="s">
        <v>877</v>
      </c>
      <c r="J96" s="9" t="s">
        <v>451</v>
      </c>
      <c r="K96" s="8" t="n">
        <v>1</v>
      </c>
      <c r="L96" s="9"/>
    </row>
    <row r="97" customFormat="false" ht="23.25" hidden="false" customHeight="true" outlineLevel="0" collapsed="false">
      <c r="A97" s="8" t="n">
        <v>93</v>
      </c>
      <c r="B97" s="8" t="s">
        <v>992</v>
      </c>
      <c r="C97" s="9" t="s">
        <v>993</v>
      </c>
      <c r="D97" s="8" t="s">
        <v>476</v>
      </c>
      <c r="E97" s="8" t="s">
        <v>745</v>
      </c>
      <c r="F97" s="9" t="s">
        <v>745</v>
      </c>
      <c r="G97" s="8" t="s">
        <v>304</v>
      </c>
      <c r="H97" s="8" t="n">
        <v>60</v>
      </c>
      <c r="I97" s="8" t="s">
        <v>891</v>
      </c>
      <c r="J97" s="9" t="s">
        <v>440</v>
      </c>
      <c r="K97" s="8" t="s">
        <v>440</v>
      </c>
      <c r="L97" s="9" t="s">
        <v>917</v>
      </c>
    </row>
    <row r="98" customFormat="false" ht="23.25" hidden="false" customHeight="true" outlineLevel="0" collapsed="false">
      <c r="A98" s="8" t="n">
        <v>94</v>
      </c>
      <c r="B98" s="8" t="s">
        <v>994</v>
      </c>
      <c r="C98" s="9" t="s">
        <v>995</v>
      </c>
      <c r="D98" s="8" t="s">
        <v>494</v>
      </c>
      <c r="E98" s="8" t="s">
        <v>876</v>
      </c>
      <c r="F98" s="9" t="s">
        <v>306</v>
      </c>
      <c r="G98" s="8" t="s">
        <v>307</v>
      </c>
      <c r="H98" s="8" t="n">
        <v>1000</v>
      </c>
      <c r="I98" s="8" t="s">
        <v>877</v>
      </c>
      <c r="J98" s="9" t="s">
        <v>507</v>
      </c>
      <c r="K98" s="8" t="n">
        <v>1</v>
      </c>
      <c r="L98" s="9"/>
    </row>
    <row r="99" customFormat="false" ht="23.25" hidden="false" customHeight="true" outlineLevel="0" collapsed="false">
      <c r="A99" s="8" t="n">
        <v>95</v>
      </c>
      <c r="B99" s="8" t="s">
        <v>994</v>
      </c>
      <c r="C99" s="9" t="s">
        <v>995</v>
      </c>
      <c r="D99" s="8" t="s">
        <v>494</v>
      </c>
      <c r="E99" s="8" t="s">
        <v>745</v>
      </c>
      <c r="F99" s="9" t="s">
        <v>303</v>
      </c>
      <c r="G99" s="8" t="s">
        <v>304</v>
      </c>
      <c r="H99" s="8" t="n">
        <v>7000</v>
      </c>
      <c r="I99" s="8" t="s">
        <v>877</v>
      </c>
      <c r="J99" s="9" t="s">
        <v>507</v>
      </c>
      <c r="K99" s="8" t="n">
        <v>1</v>
      </c>
      <c r="L99" s="9"/>
    </row>
    <row r="100" customFormat="false" ht="23.25" hidden="false" customHeight="true" outlineLevel="0" collapsed="false">
      <c r="A100" s="8" t="n">
        <v>96</v>
      </c>
      <c r="B100" s="8" t="s">
        <v>994</v>
      </c>
      <c r="C100" s="9" t="s">
        <v>995</v>
      </c>
      <c r="D100" s="8" t="s">
        <v>494</v>
      </c>
      <c r="E100" s="8" t="s">
        <v>745</v>
      </c>
      <c r="F100" s="9" t="s">
        <v>317</v>
      </c>
      <c r="G100" s="8" t="s">
        <v>318</v>
      </c>
      <c r="H100" s="8" t="n">
        <v>1000</v>
      </c>
      <c r="I100" s="8" t="s">
        <v>877</v>
      </c>
      <c r="J100" s="9" t="s">
        <v>507</v>
      </c>
      <c r="K100" s="8" t="n">
        <v>1</v>
      </c>
      <c r="L100" s="9"/>
    </row>
    <row r="101" customFormat="false" ht="23.25" hidden="false" customHeight="true" outlineLevel="0" collapsed="false">
      <c r="A101" s="8" t="n">
        <v>97</v>
      </c>
      <c r="B101" s="8" t="s">
        <v>994</v>
      </c>
      <c r="C101" s="9" t="s">
        <v>995</v>
      </c>
      <c r="D101" s="8" t="s">
        <v>494</v>
      </c>
      <c r="E101" s="8" t="s">
        <v>745</v>
      </c>
      <c r="F101" s="9" t="s">
        <v>319</v>
      </c>
      <c r="G101" s="8" t="s">
        <v>320</v>
      </c>
      <c r="H101" s="8" t="n">
        <v>1000</v>
      </c>
      <c r="I101" s="8" t="s">
        <v>877</v>
      </c>
      <c r="J101" s="9" t="s">
        <v>507</v>
      </c>
      <c r="K101" s="8" t="n">
        <v>1</v>
      </c>
      <c r="L101" s="9"/>
    </row>
    <row r="102" customFormat="false" ht="34.5" hidden="false" customHeight="true" outlineLevel="0" collapsed="false">
      <c r="A102" s="8" t="n">
        <v>98</v>
      </c>
      <c r="B102" s="8" t="s">
        <v>996</v>
      </c>
      <c r="C102" s="9" t="s">
        <v>997</v>
      </c>
      <c r="D102" s="8" t="s">
        <v>494</v>
      </c>
      <c r="E102" s="8" t="s">
        <v>876</v>
      </c>
      <c r="F102" s="9" t="s">
        <v>306</v>
      </c>
      <c r="G102" s="8" t="s">
        <v>307</v>
      </c>
      <c r="H102" s="8" t="n">
        <v>60</v>
      </c>
      <c r="I102" s="8" t="s">
        <v>877</v>
      </c>
      <c r="J102" s="9" t="s">
        <v>508</v>
      </c>
      <c r="K102" s="8" t="n">
        <v>1</v>
      </c>
      <c r="L102" s="9"/>
    </row>
    <row r="103" customFormat="false" ht="34.5" hidden="false" customHeight="true" outlineLevel="0" collapsed="false">
      <c r="A103" s="8" t="n">
        <v>99</v>
      </c>
      <c r="B103" s="8" t="s">
        <v>996</v>
      </c>
      <c r="C103" s="9" t="s">
        <v>997</v>
      </c>
      <c r="D103" s="8" t="s">
        <v>494</v>
      </c>
      <c r="E103" s="8" t="s">
        <v>745</v>
      </c>
      <c r="F103" s="9" t="s">
        <v>933</v>
      </c>
      <c r="G103" s="8" t="s">
        <v>304</v>
      </c>
      <c r="H103" s="8" t="n">
        <v>360</v>
      </c>
      <c r="I103" s="8" t="s">
        <v>877</v>
      </c>
      <c r="J103" s="9" t="s">
        <v>508</v>
      </c>
      <c r="K103" s="8" t="n">
        <v>1</v>
      </c>
      <c r="L103" s="9"/>
    </row>
    <row r="104" customFormat="false" ht="15" hidden="false" customHeight="true" outlineLevel="0" collapsed="false">
      <c r="A104" s="8" t="n">
        <v>100</v>
      </c>
      <c r="B104" s="8" t="s">
        <v>998</v>
      </c>
      <c r="C104" s="9" t="s">
        <v>999</v>
      </c>
      <c r="D104" s="8" t="s">
        <v>494</v>
      </c>
      <c r="E104" s="8" t="s">
        <v>876</v>
      </c>
      <c r="F104" s="9" t="s">
        <v>307</v>
      </c>
      <c r="G104" s="8" t="s">
        <v>307</v>
      </c>
      <c r="H104" s="8" t="n">
        <v>3000</v>
      </c>
      <c r="I104" s="8" t="s">
        <v>877</v>
      </c>
      <c r="J104" s="9" t="s">
        <v>495</v>
      </c>
      <c r="K104" s="8" t="n">
        <v>1</v>
      </c>
      <c r="L104" s="9"/>
    </row>
    <row r="105" customFormat="false" ht="23.25" hidden="false" customHeight="true" outlineLevel="0" collapsed="false">
      <c r="A105" s="8" t="n">
        <v>101</v>
      </c>
      <c r="B105" s="8" t="s">
        <v>998</v>
      </c>
      <c r="C105" s="9" t="s">
        <v>999</v>
      </c>
      <c r="D105" s="8" t="s">
        <v>494</v>
      </c>
      <c r="E105" s="8" t="s">
        <v>876</v>
      </c>
      <c r="F105" s="9" t="s">
        <v>320</v>
      </c>
      <c r="G105" s="8" t="s">
        <v>320</v>
      </c>
      <c r="H105" s="8" t="n">
        <v>2000</v>
      </c>
      <c r="I105" s="8" t="s">
        <v>897</v>
      </c>
      <c r="J105" s="9" t="s">
        <v>495</v>
      </c>
      <c r="K105" s="8" t="n">
        <v>1</v>
      </c>
      <c r="L105" s="9" t="s">
        <v>1000</v>
      </c>
    </row>
    <row r="106" customFormat="false" ht="15" hidden="false" customHeight="true" outlineLevel="0" collapsed="false">
      <c r="A106" s="8" t="n">
        <v>102</v>
      </c>
      <c r="B106" s="8" t="s">
        <v>998</v>
      </c>
      <c r="C106" s="9" t="s">
        <v>999</v>
      </c>
      <c r="D106" s="8" t="s">
        <v>494</v>
      </c>
      <c r="E106" s="8" t="s">
        <v>745</v>
      </c>
      <c r="F106" s="9" t="s">
        <v>1001</v>
      </c>
      <c r="G106" s="8" t="s">
        <v>304</v>
      </c>
      <c r="H106" s="8" t="n">
        <v>18000</v>
      </c>
      <c r="I106" s="8" t="s">
        <v>877</v>
      </c>
      <c r="J106" s="9" t="s">
        <v>495</v>
      </c>
      <c r="K106" s="8" t="n">
        <v>1</v>
      </c>
      <c r="L106" s="9"/>
    </row>
    <row r="107" customFormat="false" ht="15" hidden="false" customHeight="true" outlineLevel="0" collapsed="false">
      <c r="A107" s="8" t="n">
        <v>103</v>
      </c>
      <c r="B107" s="8" t="s">
        <v>998</v>
      </c>
      <c r="C107" s="9" t="s">
        <v>999</v>
      </c>
      <c r="D107" s="8" t="s">
        <v>494</v>
      </c>
      <c r="E107" s="8" t="s">
        <v>745</v>
      </c>
      <c r="F107" s="9" t="s">
        <v>317</v>
      </c>
      <c r="G107" s="8" t="s">
        <v>318</v>
      </c>
      <c r="H107" s="8" t="n">
        <v>3000</v>
      </c>
      <c r="I107" s="8" t="s">
        <v>877</v>
      </c>
      <c r="J107" s="9" t="s">
        <v>495</v>
      </c>
      <c r="K107" s="8" t="n">
        <v>1</v>
      </c>
      <c r="L107" s="9"/>
    </row>
    <row r="108" customFormat="false" ht="34.5" hidden="false" customHeight="true" outlineLevel="0" collapsed="false">
      <c r="A108" s="8" t="n">
        <v>104</v>
      </c>
      <c r="B108" s="8" t="s">
        <v>1002</v>
      </c>
      <c r="C108" s="9" t="s">
        <v>1003</v>
      </c>
      <c r="D108" s="8" t="s">
        <v>494</v>
      </c>
      <c r="E108" s="8" t="s">
        <v>745</v>
      </c>
      <c r="F108" s="9" t="s">
        <v>1004</v>
      </c>
      <c r="G108" s="8" t="s">
        <v>902</v>
      </c>
      <c r="H108" s="8" t="n">
        <v>60</v>
      </c>
      <c r="I108" s="8" t="s">
        <v>891</v>
      </c>
      <c r="J108" s="9" t="s">
        <v>440</v>
      </c>
      <c r="K108" s="8" t="s">
        <v>440</v>
      </c>
      <c r="L108" s="9" t="s">
        <v>892</v>
      </c>
    </row>
    <row r="109" customFormat="false" ht="34.5" hidden="false" customHeight="true" outlineLevel="0" collapsed="false">
      <c r="A109" s="8" t="n">
        <v>105</v>
      </c>
      <c r="B109" s="8" t="s">
        <v>1002</v>
      </c>
      <c r="C109" s="9" t="s">
        <v>1003</v>
      </c>
      <c r="D109" s="8" t="s">
        <v>494</v>
      </c>
      <c r="E109" s="8" t="s">
        <v>745</v>
      </c>
      <c r="F109" s="9" t="s">
        <v>1005</v>
      </c>
      <c r="G109" s="8" t="s">
        <v>902</v>
      </c>
      <c r="H109" s="8" t="n">
        <v>60</v>
      </c>
      <c r="I109" s="8" t="s">
        <v>891</v>
      </c>
      <c r="J109" s="9" t="s">
        <v>440</v>
      </c>
      <c r="K109" s="8" t="s">
        <v>440</v>
      </c>
      <c r="L109" s="9" t="s">
        <v>892</v>
      </c>
    </row>
    <row r="110" customFormat="false" ht="34.5" hidden="false" customHeight="true" outlineLevel="0" collapsed="false">
      <c r="A110" s="8" t="n">
        <v>106</v>
      </c>
      <c r="B110" s="8" t="s">
        <v>1002</v>
      </c>
      <c r="C110" s="9" t="s">
        <v>1003</v>
      </c>
      <c r="D110" s="8" t="s">
        <v>494</v>
      </c>
      <c r="E110" s="8" t="s">
        <v>745</v>
      </c>
      <c r="F110" s="9" t="s">
        <v>1006</v>
      </c>
      <c r="G110" s="8" t="s">
        <v>902</v>
      </c>
      <c r="H110" s="8" t="n">
        <v>60</v>
      </c>
      <c r="I110" s="8" t="s">
        <v>891</v>
      </c>
      <c r="J110" s="9" t="s">
        <v>440</v>
      </c>
      <c r="K110" s="8" t="s">
        <v>440</v>
      </c>
      <c r="L110" s="9" t="s">
        <v>892</v>
      </c>
    </row>
    <row r="111" customFormat="false" ht="34.5" hidden="false" customHeight="true" outlineLevel="0" collapsed="false">
      <c r="A111" s="8" t="n">
        <v>107</v>
      </c>
      <c r="B111" s="8" t="s">
        <v>1002</v>
      </c>
      <c r="C111" s="9" t="s">
        <v>1003</v>
      </c>
      <c r="D111" s="8" t="s">
        <v>494</v>
      </c>
      <c r="E111" s="8" t="s">
        <v>745</v>
      </c>
      <c r="F111" s="9" t="s">
        <v>1007</v>
      </c>
      <c r="G111" s="8" t="s">
        <v>890</v>
      </c>
      <c r="H111" s="8" t="n">
        <v>120</v>
      </c>
      <c r="I111" s="8" t="s">
        <v>891</v>
      </c>
      <c r="J111" s="9" t="s">
        <v>440</v>
      </c>
      <c r="K111" s="8" t="s">
        <v>440</v>
      </c>
      <c r="L111" s="9" t="s">
        <v>892</v>
      </c>
    </row>
    <row r="112" customFormat="false" ht="34.5" hidden="false" customHeight="true" outlineLevel="0" collapsed="false">
      <c r="A112" s="8" t="n">
        <v>108</v>
      </c>
      <c r="B112" s="8" t="s">
        <v>1002</v>
      </c>
      <c r="C112" s="9" t="s">
        <v>1003</v>
      </c>
      <c r="D112" s="8" t="s">
        <v>494</v>
      </c>
      <c r="E112" s="8" t="s">
        <v>745</v>
      </c>
      <c r="F112" s="9" t="s">
        <v>1008</v>
      </c>
      <c r="G112" s="8" t="s">
        <v>890</v>
      </c>
      <c r="H112" s="8" t="n">
        <v>120</v>
      </c>
      <c r="I112" s="8" t="s">
        <v>891</v>
      </c>
      <c r="J112" s="9" t="s">
        <v>440</v>
      </c>
      <c r="K112" s="8" t="s">
        <v>440</v>
      </c>
      <c r="L112" s="9" t="s">
        <v>892</v>
      </c>
    </row>
    <row r="113" customFormat="false" ht="34.5" hidden="false" customHeight="true" outlineLevel="0" collapsed="false">
      <c r="A113" s="8" t="n">
        <v>109</v>
      </c>
      <c r="B113" s="8" t="s">
        <v>1002</v>
      </c>
      <c r="C113" s="9" t="s">
        <v>1003</v>
      </c>
      <c r="D113" s="8" t="s">
        <v>494</v>
      </c>
      <c r="E113" s="8" t="s">
        <v>745</v>
      </c>
      <c r="F113" s="9" t="s">
        <v>1009</v>
      </c>
      <c r="G113" s="8" t="s">
        <v>890</v>
      </c>
      <c r="H113" s="8" t="n">
        <v>60</v>
      </c>
      <c r="I113" s="8" t="s">
        <v>891</v>
      </c>
      <c r="J113" s="9" t="s">
        <v>440</v>
      </c>
      <c r="K113" s="8" t="s">
        <v>440</v>
      </c>
      <c r="L113" s="9" t="s">
        <v>892</v>
      </c>
    </row>
    <row r="114" customFormat="false" ht="34.5" hidden="false" customHeight="true" outlineLevel="0" collapsed="false">
      <c r="A114" s="8" t="n">
        <v>110</v>
      </c>
      <c r="B114" s="8" t="s">
        <v>1002</v>
      </c>
      <c r="C114" s="9" t="s">
        <v>1003</v>
      </c>
      <c r="D114" s="8" t="s">
        <v>494</v>
      </c>
      <c r="E114" s="8" t="s">
        <v>745</v>
      </c>
      <c r="F114" s="9" t="s">
        <v>1010</v>
      </c>
      <c r="G114" s="8" t="s">
        <v>890</v>
      </c>
      <c r="H114" s="8" t="n">
        <v>60</v>
      </c>
      <c r="I114" s="8" t="s">
        <v>891</v>
      </c>
      <c r="J114" s="9" t="s">
        <v>440</v>
      </c>
      <c r="K114" s="8" t="s">
        <v>440</v>
      </c>
      <c r="L114" s="9" t="s">
        <v>892</v>
      </c>
    </row>
    <row r="115" customFormat="false" ht="34.5" hidden="false" customHeight="true" outlineLevel="0" collapsed="false">
      <c r="A115" s="8" t="n">
        <v>111</v>
      </c>
      <c r="B115" s="8" t="s">
        <v>1002</v>
      </c>
      <c r="C115" s="9" t="s">
        <v>1003</v>
      </c>
      <c r="D115" s="8" t="s">
        <v>494</v>
      </c>
      <c r="E115" s="8" t="s">
        <v>745</v>
      </c>
      <c r="F115" s="9" t="s">
        <v>1011</v>
      </c>
      <c r="G115" s="8" t="s">
        <v>890</v>
      </c>
      <c r="H115" s="8" t="n">
        <v>60</v>
      </c>
      <c r="I115" s="8" t="s">
        <v>891</v>
      </c>
      <c r="J115" s="9" t="s">
        <v>440</v>
      </c>
      <c r="K115" s="8" t="s">
        <v>440</v>
      </c>
      <c r="L115" s="9" t="s">
        <v>892</v>
      </c>
    </row>
    <row r="116" customFormat="false" ht="34.5" hidden="false" customHeight="true" outlineLevel="0" collapsed="false">
      <c r="A116" s="8" t="n">
        <v>112</v>
      </c>
      <c r="B116" s="8" t="s">
        <v>1002</v>
      </c>
      <c r="C116" s="9" t="s">
        <v>1003</v>
      </c>
      <c r="D116" s="8" t="s">
        <v>494</v>
      </c>
      <c r="E116" s="8" t="s">
        <v>745</v>
      </c>
      <c r="F116" s="9" t="s">
        <v>1012</v>
      </c>
      <c r="G116" s="8" t="s">
        <v>890</v>
      </c>
      <c r="H116" s="8" t="n">
        <v>60</v>
      </c>
      <c r="I116" s="8" t="s">
        <v>891</v>
      </c>
      <c r="J116" s="9" t="s">
        <v>440</v>
      </c>
      <c r="K116" s="8" t="s">
        <v>440</v>
      </c>
      <c r="L116" s="9" t="s">
        <v>892</v>
      </c>
    </row>
    <row r="117" customFormat="false" ht="34.5" hidden="false" customHeight="true" outlineLevel="0" collapsed="false">
      <c r="A117" s="8" t="n">
        <v>113</v>
      </c>
      <c r="B117" s="8" t="s">
        <v>1002</v>
      </c>
      <c r="C117" s="9" t="s">
        <v>1003</v>
      </c>
      <c r="D117" s="8" t="s">
        <v>494</v>
      </c>
      <c r="E117" s="8" t="s">
        <v>745</v>
      </c>
      <c r="F117" s="9" t="s">
        <v>1004</v>
      </c>
      <c r="G117" s="8" t="s">
        <v>890</v>
      </c>
      <c r="H117" s="8" t="n">
        <v>60</v>
      </c>
      <c r="I117" s="8" t="s">
        <v>891</v>
      </c>
      <c r="J117" s="9" t="s">
        <v>440</v>
      </c>
      <c r="K117" s="8" t="s">
        <v>440</v>
      </c>
      <c r="L117" s="9" t="s">
        <v>892</v>
      </c>
    </row>
    <row r="118" customFormat="false" ht="34.5" hidden="false" customHeight="true" outlineLevel="0" collapsed="false">
      <c r="A118" s="8" t="n">
        <v>114</v>
      </c>
      <c r="B118" s="8" t="s">
        <v>1002</v>
      </c>
      <c r="C118" s="9" t="s">
        <v>1003</v>
      </c>
      <c r="D118" s="8" t="s">
        <v>494</v>
      </c>
      <c r="E118" s="8" t="s">
        <v>745</v>
      </c>
      <c r="F118" s="9" t="s">
        <v>1013</v>
      </c>
      <c r="G118" s="8" t="s">
        <v>890</v>
      </c>
      <c r="H118" s="8" t="n">
        <v>60</v>
      </c>
      <c r="I118" s="8" t="s">
        <v>891</v>
      </c>
      <c r="J118" s="9" t="s">
        <v>440</v>
      </c>
      <c r="K118" s="8" t="s">
        <v>440</v>
      </c>
      <c r="L118" s="9" t="s">
        <v>892</v>
      </c>
    </row>
    <row r="119" customFormat="false" ht="34.5" hidden="false" customHeight="true" outlineLevel="0" collapsed="false">
      <c r="A119" s="8" t="n">
        <v>115</v>
      </c>
      <c r="B119" s="8" t="s">
        <v>1002</v>
      </c>
      <c r="C119" s="9" t="s">
        <v>1003</v>
      </c>
      <c r="D119" s="8" t="s">
        <v>494</v>
      </c>
      <c r="E119" s="8" t="s">
        <v>745</v>
      </c>
      <c r="F119" s="9" t="s">
        <v>1014</v>
      </c>
      <c r="G119" s="8" t="s">
        <v>890</v>
      </c>
      <c r="H119" s="8" t="n">
        <v>60</v>
      </c>
      <c r="I119" s="8" t="s">
        <v>891</v>
      </c>
      <c r="J119" s="9" t="s">
        <v>440</v>
      </c>
      <c r="K119" s="8" t="s">
        <v>440</v>
      </c>
      <c r="L119" s="9" t="s">
        <v>892</v>
      </c>
    </row>
    <row r="120" customFormat="false" ht="34.5" hidden="false" customHeight="true" outlineLevel="0" collapsed="false">
      <c r="A120" s="8" t="n">
        <v>116</v>
      </c>
      <c r="B120" s="8" t="s">
        <v>1002</v>
      </c>
      <c r="C120" s="9" t="s">
        <v>1003</v>
      </c>
      <c r="D120" s="8" t="s">
        <v>494</v>
      </c>
      <c r="E120" s="8" t="s">
        <v>745</v>
      </c>
      <c r="F120" s="9" t="s">
        <v>1015</v>
      </c>
      <c r="G120" s="8" t="s">
        <v>890</v>
      </c>
      <c r="H120" s="8" t="n">
        <v>60</v>
      </c>
      <c r="I120" s="8" t="s">
        <v>891</v>
      </c>
      <c r="J120" s="9" t="s">
        <v>440</v>
      </c>
      <c r="K120" s="8" t="s">
        <v>440</v>
      </c>
      <c r="L120" s="9" t="s">
        <v>892</v>
      </c>
    </row>
    <row r="121" customFormat="false" ht="23.25" hidden="false" customHeight="true" outlineLevel="0" collapsed="false">
      <c r="A121" s="8" t="n">
        <v>117</v>
      </c>
      <c r="B121" s="8" t="s">
        <v>1016</v>
      </c>
      <c r="C121" s="9" t="s">
        <v>1017</v>
      </c>
      <c r="D121" s="8" t="s">
        <v>494</v>
      </c>
      <c r="E121" s="8" t="s">
        <v>876</v>
      </c>
      <c r="F121" s="9" t="s">
        <v>418</v>
      </c>
      <c r="G121" s="8" t="s">
        <v>307</v>
      </c>
      <c r="H121" s="8" t="n">
        <v>2000</v>
      </c>
      <c r="I121" s="8" t="s">
        <v>877</v>
      </c>
      <c r="J121" s="9" t="s">
        <v>496</v>
      </c>
      <c r="K121" s="8" t="n">
        <v>1</v>
      </c>
      <c r="L121" s="9"/>
    </row>
    <row r="122" customFormat="false" ht="23.25" hidden="false" customHeight="true" outlineLevel="0" collapsed="false">
      <c r="A122" s="8" t="n">
        <v>118</v>
      </c>
      <c r="B122" s="8" t="s">
        <v>1016</v>
      </c>
      <c r="C122" s="9" t="s">
        <v>1017</v>
      </c>
      <c r="D122" s="8" t="s">
        <v>494</v>
      </c>
      <c r="E122" s="8" t="s">
        <v>876</v>
      </c>
      <c r="F122" s="9" t="s">
        <v>538</v>
      </c>
      <c r="G122" s="8" t="s">
        <v>320</v>
      </c>
      <c r="H122" s="8" t="n">
        <v>2000</v>
      </c>
      <c r="I122" s="8" t="s">
        <v>877</v>
      </c>
      <c r="J122" s="9" t="s">
        <v>496</v>
      </c>
      <c r="K122" s="8" t="n">
        <v>1</v>
      </c>
      <c r="L122" s="9"/>
    </row>
    <row r="123" customFormat="false" ht="23.25" hidden="false" customHeight="true" outlineLevel="0" collapsed="false">
      <c r="A123" s="8" t="n">
        <v>119</v>
      </c>
      <c r="B123" s="8" t="s">
        <v>1016</v>
      </c>
      <c r="C123" s="9" t="s">
        <v>1017</v>
      </c>
      <c r="D123" s="8" t="s">
        <v>494</v>
      </c>
      <c r="E123" s="8" t="s">
        <v>745</v>
      </c>
      <c r="F123" s="9" t="s">
        <v>303</v>
      </c>
      <c r="G123" s="8" t="s">
        <v>304</v>
      </c>
      <c r="H123" s="8" t="n">
        <v>10000</v>
      </c>
      <c r="I123" s="8" t="s">
        <v>877</v>
      </c>
      <c r="J123" s="9" t="s">
        <v>496</v>
      </c>
      <c r="K123" s="8" t="n">
        <v>1</v>
      </c>
      <c r="L123" s="9"/>
    </row>
    <row r="124" customFormat="false" ht="23.25" hidden="false" customHeight="true" outlineLevel="0" collapsed="false">
      <c r="A124" s="8" t="n">
        <v>120</v>
      </c>
      <c r="B124" s="8" t="s">
        <v>1016</v>
      </c>
      <c r="C124" s="9" t="s">
        <v>1017</v>
      </c>
      <c r="D124" s="8" t="s">
        <v>494</v>
      </c>
      <c r="E124" s="8" t="s">
        <v>745</v>
      </c>
      <c r="F124" s="9" t="s">
        <v>317</v>
      </c>
      <c r="G124" s="8" t="s">
        <v>318</v>
      </c>
      <c r="H124" s="8" t="n">
        <v>10000</v>
      </c>
      <c r="I124" s="8" t="s">
        <v>877</v>
      </c>
      <c r="J124" s="9" t="s">
        <v>496</v>
      </c>
      <c r="K124" s="8" t="n">
        <v>1</v>
      </c>
      <c r="L124" s="9"/>
    </row>
    <row r="125" customFormat="false" ht="34.5" hidden="false" customHeight="true" outlineLevel="0" collapsed="false">
      <c r="A125" s="8" t="n">
        <v>121</v>
      </c>
      <c r="B125" s="8" t="s">
        <v>1018</v>
      </c>
      <c r="C125" s="9" t="s">
        <v>1019</v>
      </c>
      <c r="D125" s="8" t="s">
        <v>494</v>
      </c>
      <c r="E125" s="8" t="s">
        <v>745</v>
      </c>
      <c r="F125" s="9" t="s">
        <v>890</v>
      </c>
      <c r="G125" s="8" t="s">
        <v>890</v>
      </c>
      <c r="H125" s="8" t="n">
        <v>5000</v>
      </c>
      <c r="I125" s="8" t="s">
        <v>891</v>
      </c>
      <c r="J125" s="9" t="s">
        <v>440</v>
      </c>
      <c r="K125" s="8" t="s">
        <v>440</v>
      </c>
      <c r="L125" s="9" t="s">
        <v>892</v>
      </c>
    </row>
    <row r="126" customFormat="false" ht="34.5" hidden="false" customHeight="true" outlineLevel="0" collapsed="false">
      <c r="A126" s="8" t="n">
        <v>122</v>
      </c>
      <c r="B126" s="8" t="s">
        <v>1020</v>
      </c>
      <c r="C126" s="9" t="s">
        <v>1021</v>
      </c>
      <c r="D126" s="8" t="s">
        <v>494</v>
      </c>
      <c r="E126" s="8" t="s">
        <v>745</v>
      </c>
      <c r="F126" s="9" t="s">
        <v>1022</v>
      </c>
      <c r="G126" s="8" t="s">
        <v>890</v>
      </c>
      <c r="H126" s="8" t="n">
        <v>200</v>
      </c>
      <c r="I126" s="8" t="s">
        <v>891</v>
      </c>
      <c r="J126" s="9" t="s">
        <v>440</v>
      </c>
      <c r="K126" s="8" t="s">
        <v>440</v>
      </c>
      <c r="L126" s="9" t="s">
        <v>892</v>
      </c>
    </row>
    <row r="127" customFormat="false" ht="34.5" hidden="false" customHeight="true" outlineLevel="0" collapsed="false">
      <c r="A127" s="8" t="n">
        <v>123</v>
      </c>
      <c r="B127" s="8" t="s">
        <v>1023</v>
      </c>
      <c r="C127" s="9" t="s">
        <v>1024</v>
      </c>
      <c r="D127" s="8" t="s">
        <v>494</v>
      </c>
      <c r="E127" s="8" t="s">
        <v>745</v>
      </c>
      <c r="F127" s="9" t="s">
        <v>1025</v>
      </c>
      <c r="G127" s="8" t="s">
        <v>304</v>
      </c>
      <c r="H127" s="8" t="n">
        <v>1800</v>
      </c>
      <c r="I127" s="8" t="s">
        <v>877</v>
      </c>
      <c r="J127" s="9" t="s">
        <v>510</v>
      </c>
      <c r="K127" s="8" t="n">
        <v>1</v>
      </c>
      <c r="L127" s="9"/>
    </row>
    <row r="128" customFormat="false" ht="34.5" hidden="false" customHeight="true" outlineLevel="0" collapsed="false">
      <c r="A128" s="8" t="n">
        <v>124</v>
      </c>
      <c r="B128" s="8" t="s">
        <v>1023</v>
      </c>
      <c r="C128" s="9" t="s">
        <v>1024</v>
      </c>
      <c r="D128" s="8" t="s">
        <v>494</v>
      </c>
      <c r="E128" s="8" t="s">
        <v>745</v>
      </c>
      <c r="F128" s="9" t="s">
        <v>1026</v>
      </c>
      <c r="G128" s="8" t="s">
        <v>304</v>
      </c>
      <c r="H128" s="8" t="n">
        <v>1800</v>
      </c>
      <c r="I128" s="8" t="s">
        <v>877</v>
      </c>
      <c r="J128" s="9" t="s">
        <v>510</v>
      </c>
      <c r="K128" s="8" t="n">
        <v>1</v>
      </c>
      <c r="L128" s="9"/>
    </row>
    <row r="129" customFormat="false" ht="34.5" hidden="false" customHeight="true" outlineLevel="0" collapsed="false">
      <c r="A129" s="8" t="n">
        <v>125</v>
      </c>
      <c r="B129" s="8" t="s">
        <v>1023</v>
      </c>
      <c r="C129" s="9" t="s">
        <v>1024</v>
      </c>
      <c r="D129" s="8" t="s">
        <v>494</v>
      </c>
      <c r="E129" s="8" t="s">
        <v>745</v>
      </c>
      <c r="F129" s="9" t="s">
        <v>1001</v>
      </c>
      <c r="G129" s="8" t="s">
        <v>304</v>
      </c>
      <c r="H129" s="8" t="n">
        <v>25000</v>
      </c>
      <c r="I129" s="8" t="s">
        <v>877</v>
      </c>
      <c r="J129" s="9" t="s">
        <v>510</v>
      </c>
      <c r="K129" s="8" t="n">
        <v>1</v>
      </c>
      <c r="L129" s="9"/>
    </row>
    <row r="130" customFormat="false" ht="34.5" hidden="false" customHeight="true" outlineLevel="0" collapsed="false">
      <c r="A130" s="8" t="n">
        <v>126</v>
      </c>
      <c r="B130" s="8" t="s">
        <v>1023</v>
      </c>
      <c r="C130" s="9" t="s">
        <v>1024</v>
      </c>
      <c r="D130" s="8" t="s">
        <v>494</v>
      </c>
      <c r="E130" s="8" t="s">
        <v>745</v>
      </c>
      <c r="F130" s="9" t="s">
        <v>318</v>
      </c>
      <c r="G130" s="8" t="s">
        <v>318</v>
      </c>
      <c r="H130" s="8" t="n">
        <v>3000</v>
      </c>
      <c r="I130" s="8" t="s">
        <v>877</v>
      </c>
      <c r="J130" s="9" t="s">
        <v>510</v>
      </c>
      <c r="K130" s="8" t="n">
        <v>1</v>
      </c>
      <c r="L130" s="9"/>
    </row>
    <row r="131" customFormat="false" ht="23.25" hidden="false" customHeight="true" outlineLevel="0" collapsed="false">
      <c r="A131" s="8" t="n">
        <v>127</v>
      </c>
      <c r="B131" s="8" t="s">
        <v>1027</v>
      </c>
      <c r="C131" s="9" t="s">
        <v>1028</v>
      </c>
      <c r="D131" s="8" t="s">
        <v>494</v>
      </c>
      <c r="E131" s="8" t="s">
        <v>876</v>
      </c>
      <c r="F131" s="9" t="s">
        <v>320</v>
      </c>
      <c r="G131" s="8" t="s">
        <v>320</v>
      </c>
      <c r="H131" s="8" t="n">
        <v>500</v>
      </c>
      <c r="I131" s="8" t="s">
        <v>877</v>
      </c>
      <c r="J131" s="9" t="s">
        <v>497</v>
      </c>
      <c r="K131" s="8" t="n">
        <v>1</v>
      </c>
      <c r="L131" s="9"/>
    </row>
    <row r="132" customFormat="false" ht="23.25" hidden="false" customHeight="true" outlineLevel="0" collapsed="false">
      <c r="A132" s="8" t="n">
        <v>128</v>
      </c>
      <c r="B132" s="8" t="s">
        <v>1027</v>
      </c>
      <c r="C132" s="9" t="s">
        <v>1028</v>
      </c>
      <c r="D132" s="8" t="s">
        <v>494</v>
      </c>
      <c r="E132" s="8" t="s">
        <v>745</v>
      </c>
      <c r="F132" s="9" t="s">
        <v>303</v>
      </c>
      <c r="G132" s="8" t="s">
        <v>304</v>
      </c>
      <c r="H132" s="8" t="n">
        <v>13000</v>
      </c>
      <c r="I132" s="8" t="s">
        <v>877</v>
      </c>
      <c r="J132" s="9" t="s">
        <v>497</v>
      </c>
      <c r="K132" s="8" t="n">
        <v>1</v>
      </c>
      <c r="L132" s="9"/>
    </row>
    <row r="133" customFormat="false" ht="23.25" hidden="false" customHeight="true" outlineLevel="0" collapsed="false">
      <c r="A133" s="8" t="n">
        <v>129</v>
      </c>
      <c r="B133" s="8" t="s">
        <v>1027</v>
      </c>
      <c r="C133" s="9" t="s">
        <v>1028</v>
      </c>
      <c r="D133" s="8" t="s">
        <v>494</v>
      </c>
      <c r="E133" s="8" t="s">
        <v>745</v>
      </c>
      <c r="F133" s="9" t="s">
        <v>318</v>
      </c>
      <c r="G133" s="8" t="s">
        <v>318</v>
      </c>
      <c r="H133" s="8" t="n">
        <v>1000</v>
      </c>
      <c r="I133" s="8" t="s">
        <v>877</v>
      </c>
      <c r="J133" s="9" t="s">
        <v>497</v>
      </c>
      <c r="K133" s="8" t="n">
        <v>1</v>
      </c>
      <c r="L133" s="9"/>
    </row>
    <row r="134" customFormat="false" ht="34.5" hidden="false" customHeight="true" outlineLevel="0" collapsed="false">
      <c r="A134" s="8" t="n">
        <v>130</v>
      </c>
      <c r="B134" s="8" t="s">
        <v>1029</v>
      </c>
      <c r="C134" s="9" t="s">
        <v>1030</v>
      </c>
      <c r="D134" s="8" t="s">
        <v>522</v>
      </c>
      <c r="E134" s="8" t="s">
        <v>745</v>
      </c>
      <c r="F134" s="9" t="s">
        <v>1031</v>
      </c>
      <c r="G134" s="8" t="s">
        <v>890</v>
      </c>
      <c r="H134" s="8" t="n">
        <v>500</v>
      </c>
      <c r="I134" s="8" t="s">
        <v>891</v>
      </c>
      <c r="J134" s="9" t="s">
        <v>440</v>
      </c>
      <c r="K134" s="8" t="s">
        <v>440</v>
      </c>
      <c r="L134" s="9" t="s">
        <v>892</v>
      </c>
    </row>
    <row r="135" customFormat="false" ht="23.25" hidden="false" customHeight="true" outlineLevel="0" collapsed="false">
      <c r="A135" s="8" t="n">
        <v>131</v>
      </c>
      <c r="B135" s="8" t="s">
        <v>1032</v>
      </c>
      <c r="C135" s="9" t="s">
        <v>1033</v>
      </c>
      <c r="D135" s="8" t="s">
        <v>522</v>
      </c>
      <c r="E135" s="8" t="s">
        <v>876</v>
      </c>
      <c r="F135" s="9" t="s">
        <v>307</v>
      </c>
      <c r="G135" s="8" t="s">
        <v>307</v>
      </c>
      <c r="H135" s="8" t="n">
        <v>120</v>
      </c>
      <c r="I135" s="8" t="s">
        <v>897</v>
      </c>
      <c r="J135" s="9" t="s">
        <v>523</v>
      </c>
      <c r="K135" s="8" t="n">
        <v>1</v>
      </c>
      <c r="L135" s="9" t="s">
        <v>1034</v>
      </c>
    </row>
    <row r="136" customFormat="false" ht="23.25" hidden="false" customHeight="true" outlineLevel="0" collapsed="false">
      <c r="A136" s="8" t="n">
        <v>132</v>
      </c>
      <c r="B136" s="8" t="s">
        <v>1032</v>
      </c>
      <c r="C136" s="9" t="s">
        <v>1033</v>
      </c>
      <c r="D136" s="8" t="s">
        <v>522</v>
      </c>
      <c r="E136" s="8" t="s">
        <v>876</v>
      </c>
      <c r="F136" s="9" t="s">
        <v>320</v>
      </c>
      <c r="G136" s="8" t="s">
        <v>320</v>
      </c>
      <c r="H136" s="8" t="n">
        <v>60</v>
      </c>
      <c r="I136" s="8" t="s">
        <v>897</v>
      </c>
      <c r="J136" s="9" t="s">
        <v>523</v>
      </c>
      <c r="K136" s="8" t="n">
        <v>1</v>
      </c>
      <c r="L136" s="9" t="s">
        <v>1000</v>
      </c>
    </row>
    <row r="137" customFormat="false" ht="23.25" hidden="false" customHeight="true" outlineLevel="0" collapsed="false">
      <c r="A137" s="8" t="n">
        <v>133</v>
      </c>
      <c r="B137" s="8" t="s">
        <v>1032</v>
      </c>
      <c r="C137" s="9" t="s">
        <v>1033</v>
      </c>
      <c r="D137" s="8" t="s">
        <v>522</v>
      </c>
      <c r="E137" s="8" t="s">
        <v>745</v>
      </c>
      <c r="F137" s="9" t="s">
        <v>304</v>
      </c>
      <c r="G137" s="8" t="s">
        <v>304</v>
      </c>
      <c r="H137" s="8" t="n">
        <v>120</v>
      </c>
      <c r="I137" s="8" t="s">
        <v>897</v>
      </c>
      <c r="J137" s="9" t="s">
        <v>523</v>
      </c>
      <c r="K137" s="8" t="n">
        <v>1</v>
      </c>
      <c r="L137" s="9" t="s">
        <v>1035</v>
      </c>
    </row>
    <row r="138" customFormat="false" ht="23.25" hidden="false" customHeight="true" outlineLevel="0" collapsed="false">
      <c r="A138" s="8" t="n">
        <v>134</v>
      </c>
      <c r="B138" s="8" t="s">
        <v>1032</v>
      </c>
      <c r="C138" s="9" t="s">
        <v>1033</v>
      </c>
      <c r="D138" s="8" t="s">
        <v>522</v>
      </c>
      <c r="E138" s="8" t="s">
        <v>745</v>
      </c>
      <c r="F138" s="9" t="s">
        <v>318</v>
      </c>
      <c r="G138" s="8" t="s">
        <v>318</v>
      </c>
      <c r="H138" s="8" t="n">
        <v>60</v>
      </c>
      <c r="I138" s="8" t="s">
        <v>897</v>
      </c>
      <c r="J138" s="9" t="s">
        <v>523</v>
      </c>
      <c r="K138" s="8" t="n">
        <v>1</v>
      </c>
      <c r="L138" s="9" t="s">
        <v>1036</v>
      </c>
    </row>
    <row r="139" customFormat="false" ht="23.25" hidden="false" customHeight="true" outlineLevel="0" collapsed="false">
      <c r="A139" s="8" t="n">
        <v>135</v>
      </c>
      <c r="B139" s="8" t="s">
        <v>1037</v>
      </c>
      <c r="C139" s="9" t="s">
        <v>1038</v>
      </c>
      <c r="D139" s="8" t="s">
        <v>543</v>
      </c>
      <c r="E139" s="8" t="s">
        <v>745</v>
      </c>
      <c r="F139" s="9" t="s">
        <v>933</v>
      </c>
      <c r="G139" s="8" t="s">
        <v>304</v>
      </c>
      <c r="H139" s="8" t="n">
        <v>1080</v>
      </c>
      <c r="I139" s="8" t="s">
        <v>877</v>
      </c>
      <c r="J139" s="9" t="s">
        <v>548</v>
      </c>
      <c r="K139" s="8" t="n">
        <v>1</v>
      </c>
      <c r="L139" s="9"/>
    </row>
    <row r="140" customFormat="false" ht="23.25" hidden="false" customHeight="true" outlineLevel="0" collapsed="false">
      <c r="A140" s="8" t="n">
        <v>136</v>
      </c>
      <c r="B140" s="8" t="s">
        <v>1039</v>
      </c>
      <c r="C140" s="9" t="s">
        <v>1040</v>
      </c>
      <c r="D140" s="8" t="s">
        <v>543</v>
      </c>
      <c r="E140" s="8" t="s">
        <v>745</v>
      </c>
      <c r="F140" s="9" t="s">
        <v>1041</v>
      </c>
      <c r="G140" s="8" t="s">
        <v>304</v>
      </c>
      <c r="H140" s="8" t="n">
        <v>800</v>
      </c>
      <c r="I140" s="8" t="s">
        <v>891</v>
      </c>
      <c r="J140" s="9" t="s">
        <v>440</v>
      </c>
      <c r="K140" s="8" t="s">
        <v>440</v>
      </c>
      <c r="L140" s="9" t="s">
        <v>917</v>
      </c>
    </row>
    <row r="141" customFormat="false" ht="23.25" hidden="false" customHeight="true" outlineLevel="0" collapsed="false">
      <c r="A141" s="8" t="n">
        <v>137</v>
      </c>
      <c r="B141" s="8" t="s">
        <v>1039</v>
      </c>
      <c r="C141" s="9" t="s">
        <v>1040</v>
      </c>
      <c r="D141" s="8" t="s">
        <v>543</v>
      </c>
      <c r="E141" s="8" t="s">
        <v>745</v>
      </c>
      <c r="F141" s="9" t="s">
        <v>983</v>
      </c>
      <c r="G141" s="8" t="s">
        <v>318</v>
      </c>
      <c r="H141" s="8" t="n">
        <v>1500</v>
      </c>
      <c r="I141" s="8" t="s">
        <v>891</v>
      </c>
      <c r="J141" s="9" t="s">
        <v>440</v>
      </c>
      <c r="K141" s="8" t="s">
        <v>440</v>
      </c>
      <c r="L141" s="9" t="s">
        <v>917</v>
      </c>
    </row>
    <row r="142" customFormat="false" ht="23.25" hidden="false" customHeight="true" outlineLevel="0" collapsed="false">
      <c r="A142" s="8" t="n">
        <v>138</v>
      </c>
      <c r="B142" s="8" t="s">
        <v>1042</v>
      </c>
      <c r="C142" s="9" t="s">
        <v>1043</v>
      </c>
      <c r="D142" s="8" t="s">
        <v>557</v>
      </c>
      <c r="E142" s="8" t="s">
        <v>745</v>
      </c>
      <c r="F142" s="9" t="s">
        <v>1044</v>
      </c>
      <c r="G142" s="8" t="s">
        <v>304</v>
      </c>
      <c r="H142" s="8" t="n">
        <v>1000</v>
      </c>
      <c r="I142" s="8" t="s">
        <v>877</v>
      </c>
      <c r="J142" s="9" t="s">
        <v>664</v>
      </c>
      <c r="K142" s="8" t="n">
        <v>1</v>
      </c>
      <c r="L142" s="9"/>
    </row>
    <row r="143" customFormat="false" ht="23.25" hidden="false" customHeight="true" outlineLevel="0" collapsed="false">
      <c r="A143" s="8" t="n">
        <v>139</v>
      </c>
      <c r="B143" s="8" t="s">
        <v>1042</v>
      </c>
      <c r="C143" s="9" t="s">
        <v>1043</v>
      </c>
      <c r="D143" s="8" t="s">
        <v>557</v>
      </c>
      <c r="E143" s="8" t="s">
        <v>745</v>
      </c>
      <c r="F143" s="9" t="s">
        <v>318</v>
      </c>
      <c r="G143" s="8" t="s">
        <v>318</v>
      </c>
      <c r="H143" s="8" t="n">
        <v>1000</v>
      </c>
      <c r="I143" s="8" t="s">
        <v>877</v>
      </c>
      <c r="J143" s="9" t="s">
        <v>664</v>
      </c>
      <c r="K143" s="8" t="n">
        <v>1</v>
      </c>
      <c r="L143" s="9"/>
    </row>
    <row r="144" customFormat="false" ht="23.25" hidden="false" customHeight="true" outlineLevel="0" collapsed="false">
      <c r="A144" s="8" t="n">
        <v>140</v>
      </c>
      <c r="B144" s="8" t="s">
        <v>1045</v>
      </c>
      <c r="C144" s="9" t="s">
        <v>1046</v>
      </c>
      <c r="D144" s="8" t="s">
        <v>557</v>
      </c>
      <c r="E144" s="8" t="s">
        <v>876</v>
      </c>
      <c r="F144" s="9" t="s">
        <v>306</v>
      </c>
      <c r="G144" s="8" t="s">
        <v>307</v>
      </c>
      <c r="H144" s="8" t="n">
        <v>1080</v>
      </c>
      <c r="I144" s="8" t="s">
        <v>877</v>
      </c>
      <c r="J144" s="9" t="s">
        <v>578</v>
      </c>
      <c r="K144" s="8" t="n">
        <v>1</v>
      </c>
      <c r="L144" s="9"/>
    </row>
    <row r="145" customFormat="false" ht="23.25" hidden="false" customHeight="true" outlineLevel="0" collapsed="false">
      <c r="A145" s="8" t="n">
        <v>141</v>
      </c>
      <c r="B145" s="8" t="s">
        <v>1045</v>
      </c>
      <c r="C145" s="9" t="s">
        <v>1046</v>
      </c>
      <c r="D145" s="8" t="s">
        <v>557</v>
      </c>
      <c r="E145" s="8" t="s">
        <v>876</v>
      </c>
      <c r="F145" s="9" t="s">
        <v>319</v>
      </c>
      <c r="G145" s="8" t="s">
        <v>320</v>
      </c>
      <c r="H145" s="8" t="n">
        <v>1000</v>
      </c>
      <c r="I145" s="8" t="s">
        <v>897</v>
      </c>
      <c r="J145" s="9" t="s">
        <v>578</v>
      </c>
      <c r="K145" s="8" t="n">
        <v>1</v>
      </c>
      <c r="L145" s="9" t="s">
        <v>1000</v>
      </c>
    </row>
    <row r="146" customFormat="false" ht="23.25" hidden="false" customHeight="true" outlineLevel="0" collapsed="false">
      <c r="A146" s="8" t="n">
        <v>142</v>
      </c>
      <c r="B146" s="8" t="s">
        <v>1045</v>
      </c>
      <c r="C146" s="9" t="s">
        <v>1046</v>
      </c>
      <c r="D146" s="8" t="s">
        <v>557</v>
      </c>
      <c r="E146" s="8" t="s">
        <v>745</v>
      </c>
      <c r="F146" s="9" t="s">
        <v>933</v>
      </c>
      <c r="G146" s="8" t="s">
        <v>304</v>
      </c>
      <c r="H146" s="8" t="n">
        <v>5000</v>
      </c>
      <c r="I146" s="8" t="s">
        <v>877</v>
      </c>
      <c r="J146" s="9" t="s">
        <v>578</v>
      </c>
      <c r="K146" s="8" t="n">
        <v>1</v>
      </c>
      <c r="L146" s="9"/>
    </row>
    <row r="147" customFormat="false" ht="23.25" hidden="false" customHeight="true" outlineLevel="0" collapsed="false">
      <c r="A147" s="8" t="n">
        <v>143</v>
      </c>
      <c r="B147" s="8" t="s">
        <v>1045</v>
      </c>
      <c r="C147" s="9" t="s">
        <v>1046</v>
      </c>
      <c r="D147" s="8" t="s">
        <v>557</v>
      </c>
      <c r="E147" s="8" t="s">
        <v>745</v>
      </c>
      <c r="F147" s="9" t="s">
        <v>317</v>
      </c>
      <c r="G147" s="8" t="s">
        <v>318</v>
      </c>
      <c r="H147" s="8" t="n">
        <v>1000</v>
      </c>
      <c r="I147" s="8" t="s">
        <v>897</v>
      </c>
      <c r="J147" s="9" t="s">
        <v>578</v>
      </c>
      <c r="K147" s="8" t="n">
        <v>1</v>
      </c>
      <c r="L147" s="9" t="s">
        <v>1036</v>
      </c>
    </row>
    <row r="148" customFormat="false" ht="15" hidden="false" customHeight="true" outlineLevel="0" collapsed="false">
      <c r="A148" s="8" t="n">
        <v>144</v>
      </c>
      <c r="B148" s="8" t="s">
        <v>1047</v>
      </c>
      <c r="C148" s="9" t="s">
        <v>1048</v>
      </c>
      <c r="D148" s="8" t="s">
        <v>557</v>
      </c>
      <c r="E148" s="8" t="s">
        <v>745</v>
      </c>
      <c r="F148" s="9" t="s">
        <v>1049</v>
      </c>
      <c r="G148" s="8" t="s">
        <v>304</v>
      </c>
      <c r="H148" s="8" t="n">
        <v>1000</v>
      </c>
      <c r="I148" s="8" t="s">
        <v>877</v>
      </c>
      <c r="J148" s="9" t="s">
        <v>596</v>
      </c>
      <c r="K148" s="8" t="n">
        <v>1</v>
      </c>
      <c r="L148" s="9"/>
    </row>
    <row r="149" customFormat="false" ht="15" hidden="false" customHeight="true" outlineLevel="0" collapsed="false">
      <c r="A149" s="8" t="n">
        <v>145</v>
      </c>
      <c r="B149" s="8" t="s">
        <v>1047</v>
      </c>
      <c r="C149" s="9" t="s">
        <v>1048</v>
      </c>
      <c r="D149" s="8" t="s">
        <v>557</v>
      </c>
      <c r="E149" s="8" t="s">
        <v>745</v>
      </c>
      <c r="F149" s="9" t="s">
        <v>1050</v>
      </c>
      <c r="G149" s="8" t="s">
        <v>304</v>
      </c>
      <c r="H149" s="8" t="n">
        <v>1000</v>
      </c>
      <c r="I149" s="8" t="s">
        <v>877</v>
      </c>
      <c r="J149" s="9" t="s">
        <v>596</v>
      </c>
      <c r="K149" s="8" t="n">
        <v>1</v>
      </c>
      <c r="L149" s="9"/>
    </row>
    <row r="150" customFormat="false" ht="23.25" hidden="false" customHeight="true" outlineLevel="0" collapsed="false">
      <c r="A150" s="8" t="n">
        <v>146</v>
      </c>
      <c r="B150" s="8" t="s">
        <v>1051</v>
      </c>
      <c r="C150" s="9" t="s">
        <v>1052</v>
      </c>
      <c r="D150" s="8" t="s">
        <v>557</v>
      </c>
      <c r="E150" s="8" t="s">
        <v>876</v>
      </c>
      <c r="F150" s="9" t="s">
        <v>306</v>
      </c>
      <c r="G150" s="8" t="s">
        <v>307</v>
      </c>
      <c r="H150" s="8" t="n">
        <v>120</v>
      </c>
      <c r="I150" s="8" t="s">
        <v>877</v>
      </c>
      <c r="J150" s="9" t="s">
        <v>562</v>
      </c>
      <c r="K150" s="8" t="n">
        <v>1</v>
      </c>
      <c r="L150" s="9"/>
    </row>
    <row r="151" customFormat="false" ht="23.25" hidden="false" customHeight="true" outlineLevel="0" collapsed="false">
      <c r="A151" s="8" t="n">
        <v>147</v>
      </c>
      <c r="B151" s="8" t="s">
        <v>1051</v>
      </c>
      <c r="C151" s="9" t="s">
        <v>1052</v>
      </c>
      <c r="D151" s="8" t="s">
        <v>557</v>
      </c>
      <c r="E151" s="8" t="s">
        <v>745</v>
      </c>
      <c r="F151" s="9" t="s">
        <v>933</v>
      </c>
      <c r="G151" s="8" t="s">
        <v>304</v>
      </c>
      <c r="H151" s="8" t="n">
        <v>120</v>
      </c>
      <c r="I151" s="8" t="s">
        <v>877</v>
      </c>
      <c r="J151" s="9" t="s">
        <v>562</v>
      </c>
      <c r="K151" s="8" t="n">
        <v>1</v>
      </c>
      <c r="L151" s="9"/>
    </row>
    <row r="152" customFormat="false" ht="23.25" hidden="false" customHeight="true" outlineLevel="0" collapsed="false">
      <c r="A152" s="8" t="n">
        <v>148</v>
      </c>
      <c r="B152" s="8" t="s">
        <v>1053</v>
      </c>
      <c r="C152" s="9" t="s">
        <v>1054</v>
      </c>
      <c r="D152" s="8" t="s">
        <v>557</v>
      </c>
      <c r="E152" s="8" t="s">
        <v>876</v>
      </c>
      <c r="F152" s="9" t="s">
        <v>307</v>
      </c>
      <c r="G152" s="8" t="s">
        <v>307</v>
      </c>
      <c r="H152" s="8" t="n">
        <v>120</v>
      </c>
      <c r="I152" s="8" t="s">
        <v>877</v>
      </c>
      <c r="J152" s="9" t="s">
        <v>567</v>
      </c>
      <c r="K152" s="8" t="n">
        <v>1</v>
      </c>
      <c r="L152" s="9"/>
    </row>
    <row r="153" customFormat="false" ht="23.25" hidden="false" customHeight="true" outlineLevel="0" collapsed="false">
      <c r="A153" s="8" t="n">
        <v>149</v>
      </c>
      <c r="B153" s="8" t="s">
        <v>1053</v>
      </c>
      <c r="C153" s="9" t="s">
        <v>1054</v>
      </c>
      <c r="D153" s="8" t="s">
        <v>557</v>
      </c>
      <c r="E153" s="8" t="s">
        <v>745</v>
      </c>
      <c r="F153" s="9" t="s">
        <v>1009</v>
      </c>
      <c r="G153" s="8" t="s">
        <v>304</v>
      </c>
      <c r="H153" s="8" t="n">
        <v>60</v>
      </c>
      <c r="I153" s="8" t="s">
        <v>877</v>
      </c>
      <c r="J153" s="9" t="s">
        <v>567</v>
      </c>
      <c r="K153" s="8" t="n">
        <v>1</v>
      </c>
      <c r="L153" s="9"/>
    </row>
    <row r="154" customFormat="false" ht="23.25" hidden="false" customHeight="true" outlineLevel="0" collapsed="false">
      <c r="A154" s="8" t="n">
        <v>150</v>
      </c>
      <c r="B154" s="8" t="s">
        <v>1053</v>
      </c>
      <c r="C154" s="9" t="s">
        <v>1054</v>
      </c>
      <c r="D154" s="8" t="s">
        <v>557</v>
      </c>
      <c r="E154" s="8" t="s">
        <v>745</v>
      </c>
      <c r="F154" s="9" t="s">
        <v>1055</v>
      </c>
      <c r="G154" s="8" t="s">
        <v>304</v>
      </c>
      <c r="H154" s="8" t="n">
        <v>60</v>
      </c>
      <c r="I154" s="8" t="s">
        <v>877</v>
      </c>
      <c r="J154" s="9" t="s">
        <v>567</v>
      </c>
      <c r="K154" s="8" t="n">
        <v>1</v>
      </c>
      <c r="L154" s="9"/>
    </row>
    <row r="155" customFormat="false" ht="23.25" hidden="false" customHeight="true" outlineLevel="0" collapsed="false">
      <c r="A155" s="8" t="n">
        <v>151</v>
      </c>
      <c r="B155" s="8" t="s">
        <v>1053</v>
      </c>
      <c r="C155" s="9" t="s">
        <v>1054</v>
      </c>
      <c r="D155" s="8" t="s">
        <v>557</v>
      </c>
      <c r="E155" s="8" t="s">
        <v>745</v>
      </c>
      <c r="F155" s="9" t="s">
        <v>1056</v>
      </c>
      <c r="G155" s="8" t="s">
        <v>304</v>
      </c>
      <c r="H155" s="8" t="n">
        <v>60</v>
      </c>
      <c r="I155" s="8" t="s">
        <v>877</v>
      </c>
      <c r="J155" s="9" t="s">
        <v>567</v>
      </c>
      <c r="K155" s="8" t="n">
        <v>1</v>
      </c>
      <c r="L155" s="9"/>
    </row>
    <row r="156" customFormat="false" ht="23.25" hidden="false" customHeight="true" outlineLevel="0" collapsed="false">
      <c r="A156" s="8" t="n">
        <v>152</v>
      </c>
      <c r="B156" s="8" t="s">
        <v>1053</v>
      </c>
      <c r="C156" s="9" t="s">
        <v>1054</v>
      </c>
      <c r="D156" s="8" t="s">
        <v>557</v>
      </c>
      <c r="E156" s="8" t="s">
        <v>745</v>
      </c>
      <c r="F156" s="9" t="s">
        <v>1010</v>
      </c>
      <c r="G156" s="8" t="s">
        <v>304</v>
      </c>
      <c r="H156" s="8" t="n">
        <v>60</v>
      </c>
      <c r="I156" s="8" t="s">
        <v>877</v>
      </c>
      <c r="J156" s="9" t="s">
        <v>567</v>
      </c>
      <c r="K156" s="8" t="n">
        <v>1</v>
      </c>
      <c r="L156" s="9"/>
    </row>
    <row r="157" customFormat="false" ht="23.25" hidden="false" customHeight="true" outlineLevel="0" collapsed="false">
      <c r="A157" s="8" t="n">
        <v>153</v>
      </c>
      <c r="B157" s="8" t="s">
        <v>1053</v>
      </c>
      <c r="C157" s="9" t="s">
        <v>1054</v>
      </c>
      <c r="D157" s="8" t="s">
        <v>557</v>
      </c>
      <c r="E157" s="8" t="s">
        <v>745</v>
      </c>
      <c r="F157" s="9" t="s">
        <v>1015</v>
      </c>
      <c r="G157" s="8" t="s">
        <v>304</v>
      </c>
      <c r="H157" s="8" t="n">
        <v>60</v>
      </c>
      <c r="I157" s="8" t="s">
        <v>877</v>
      </c>
      <c r="J157" s="9" t="s">
        <v>567</v>
      </c>
      <c r="K157" s="8" t="n">
        <v>1</v>
      </c>
      <c r="L157" s="9"/>
    </row>
    <row r="158" customFormat="false" ht="23.25" hidden="false" customHeight="true" outlineLevel="0" collapsed="false">
      <c r="A158" s="8" t="n">
        <v>154</v>
      </c>
      <c r="B158" s="8" t="s">
        <v>1053</v>
      </c>
      <c r="C158" s="9" t="s">
        <v>1054</v>
      </c>
      <c r="D158" s="8" t="s">
        <v>557</v>
      </c>
      <c r="E158" s="8" t="s">
        <v>745</v>
      </c>
      <c r="F158" s="9" t="s">
        <v>1008</v>
      </c>
      <c r="G158" s="8" t="s">
        <v>304</v>
      </c>
      <c r="H158" s="8" t="n">
        <v>60</v>
      </c>
      <c r="I158" s="8" t="s">
        <v>877</v>
      </c>
      <c r="J158" s="9" t="s">
        <v>567</v>
      </c>
      <c r="K158" s="8" t="n">
        <v>1</v>
      </c>
      <c r="L158" s="9"/>
    </row>
    <row r="159" customFormat="false" ht="23.25" hidden="false" customHeight="true" outlineLevel="0" collapsed="false">
      <c r="A159" s="8" t="n">
        <v>155</v>
      </c>
      <c r="B159" s="8" t="s">
        <v>1053</v>
      </c>
      <c r="C159" s="9" t="s">
        <v>1054</v>
      </c>
      <c r="D159" s="8" t="s">
        <v>557</v>
      </c>
      <c r="E159" s="8" t="s">
        <v>745</v>
      </c>
      <c r="F159" s="9" t="s">
        <v>1057</v>
      </c>
      <c r="G159" s="8" t="s">
        <v>304</v>
      </c>
      <c r="H159" s="8" t="n">
        <v>60</v>
      </c>
      <c r="I159" s="8" t="s">
        <v>877</v>
      </c>
      <c r="J159" s="9" t="s">
        <v>567</v>
      </c>
      <c r="K159" s="8" t="n">
        <v>1</v>
      </c>
      <c r="L159" s="9"/>
    </row>
    <row r="160" customFormat="false" ht="23.25" hidden="false" customHeight="true" outlineLevel="0" collapsed="false">
      <c r="A160" s="8" t="n">
        <v>156</v>
      </c>
      <c r="B160" s="8" t="s">
        <v>1053</v>
      </c>
      <c r="C160" s="9" t="s">
        <v>1054</v>
      </c>
      <c r="D160" s="8" t="s">
        <v>557</v>
      </c>
      <c r="E160" s="8" t="s">
        <v>745</v>
      </c>
      <c r="F160" s="9" t="s">
        <v>1058</v>
      </c>
      <c r="G160" s="8" t="s">
        <v>304</v>
      </c>
      <c r="H160" s="8" t="n">
        <v>60</v>
      </c>
      <c r="I160" s="8" t="s">
        <v>877</v>
      </c>
      <c r="J160" s="9" t="s">
        <v>567</v>
      </c>
      <c r="K160" s="8" t="n">
        <v>1</v>
      </c>
      <c r="L160" s="9"/>
    </row>
    <row r="161" customFormat="false" ht="23.25" hidden="false" customHeight="true" outlineLevel="0" collapsed="false">
      <c r="A161" s="8" t="n">
        <v>157</v>
      </c>
      <c r="B161" s="8" t="s">
        <v>1053</v>
      </c>
      <c r="C161" s="9" t="s">
        <v>1054</v>
      </c>
      <c r="D161" s="8" t="s">
        <v>557</v>
      </c>
      <c r="E161" s="8" t="s">
        <v>745</v>
      </c>
      <c r="F161" s="9" t="s">
        <v>1049</v>
      </c>
      <c r="G161" s="8" t="s">
        <v>304</v>
      </c>
      <c r="H161" s="8" t="n">
        <v>720</v>
      </c>
      <c r="I161" s="8" t="s">
        <v>877</v>
      </c>
      <c r="J161" s="9" t="s">
        <v>567</v>
      </c>
      <c r="K161" s="8" t="n">
        <v>1</v>
      </c>
      <c r="L161" s="9"/>
    </row>
    <row r="162" customFormat="false" ht="34.5" hidden="false" customHeight="true" outlineLevel="0" collapsed="false">
      <c r="A162" s="8" t="n">
        <v>158</v>
      </c>
      <c r="B162" s="8" t="s">
        <v>1059</v>
      </c>
      <c r="C162" s="9" t="s">
        <v>1060</v>
      </c>
      <c r="D162" s="8" t="s">
        <v>557</v>
      </c>
      <c r="E162" s="8" t="s">
        <v>745</v>
      </c>
      <c r="F162" s="9" t="s">
        <v>890</v>
      </c>
      <c r="G162" s="8" t="s">
        <v>890</v>
      </c>
      <c r="H162" s="8" t="n">
        <v>5000</v>
      </c>
      <c r="I162" s="8" t="s">
        <v>891</v>
      </c>
      <c r="J162" s="9" t="s">
        <v>440</v>
      </c>
      <c r="K162" s="8" t="s">
        <v>440</v>
      </c>
      <c r="L162" s="9" t="s">
        <v>892</v>
      </c>
    </row>
    <row r="163" customFormat="false" ht="23.25" hidden="false" customHeight="true" outlineLevel="0" collapsed="false">
      <c r="A163" s="8" t="n">
        <v>159</v>
      </c>
      <c r="B163" s="8" t="s">
        <v>1061</v>
      </c>
      <c r="C163" s="9" t="s">
        <v>1062</v>
      </c>
      <c r="D163" s="8" t="s">
        <v>557</v>
      </c>
      <c r="E163" s="8" t="s">
        <v>876</v>
      </c>
      <c r="F163" s="9" t="s">
        <v>307</v>
      </c>
      <c r="G163" s="8" t="s">
        <v>307</v>
      </c>
      <c r="H163" s="8" t="n">
        <v>1000</v>
      </c>
      <c r="I163" s="8" t="s">
        <v>877</v>
      </c>
      <c r="J163" s="9" t="s">
        <v>593</v>
      </c>
      <c r="K163" s="8" t="n">
        <v>1</v>
      </c>
      <c r="L163" s="9"/>
    </row>
    <row r="164" customFormat="false" ht="23.25" hidden="false" customHeight="true" outlineLevel="0" collapsed="false">
      <c r="A164" s="8" t="n">
        <v>160</v>
      </c>
      <c r="B164" s="8" t="s">
        <v>1061</v>
      </c>
      <c r="C164" s="9" t="s">
        <v>1062</v>
      </c>
      <c r="D164" s="8" t="s">
        <v>557</v>
      </c>
      <c r="E164" s="8" t="s">
        <v>876</v>
      </c>
      <c r="F164" s="9" t="s">
        <v>320</v>
      </c>
      <c r="G164" s="8" t="s">
        <v>320</v>
      </c>
      <c r="H164" s="8" t="n">
        <v>1000</v>
      </c>
      <c r="I164" s="8" t="s">
        <v>877</v>
      </c>
      <c r="J164" s="9" t="s">
        <v>593</v>
      </c>
      <c r="K164" s="8" t="n">
        <v>1</v>
      </c>
      <c r="L164" s="9"/>
    </row>
    <row r="165" customFormat="false" ht="23.25" hidden="false" customHeight="true" outlineLevel="0" collapsed="false">
      <c r="A165" s="8" t="n">
        <v>161</v>
      </c>
      <c r="B165" s="8" t="s">
        <v>1061</v>
      </c>
      <c r="C165" s="9" t="s">
        <v>1062</v>
      </c>
      <c r="D165" s="8" t="s">
        <v>557</v>
      </c>
      <c r="E165" s="8" t="s">
        <v>745</v>
      </c>
      <c r="F165" s="9" t="s">
        <v>304</v>
      </c>
      <c r="G165" s="8" t="s">
        <v>304</v>
      </c>
      <c r="H165" s="8" t="n">
        <v>1000</v>
      </c>
      <c r="I165" s="8" t="s">
        <v>877</v>
      </c>
      <c r="J165" s="9" t="s">
        <v>593</v>
      </c>
      <c r="K165" s="8" t="n">
        <v>1</v>
      </c>
      <c r="L165" s="9"/>
    </row>
    <row r="166" customFormat="false" ht="23.25" hidden="false" customHeight="true" outlineLevel="0" collapsed="false">
      <c r="A166" s="8" t="n">
        <v>162</v>
      </c>
      <c r="B166" s="8" t="s">
        <v>1061</v>
      </c>
      <c r="C166" s="9" t="s">
        <v>1062</v>
      </c>
      <c r="D166" s="8" t="s">
        <v>557</v>
      </c>
      <c r="E166" s="8" t="s">
        <v>745</v>
      </c>
      <c r="F166" s="9" t="s">
        <v>318</v>
      </c>
      <c r="G166" s="8" t="s">
        <v>318</v>
      </c>
      <c r="H166" s="8" t="n">
        <v>1000</v>
      </c>
      <c r="I166" s="8" t="s">
        <v>877</v>
      </c>
      <c r="J166" s="9" t="s">
        <v>593</v>
      </c>
      <c r="K166" s="8" t="n">
        <v>1</v>
      </c>
      <c r="L166" s="9"/>
    </row>
    <row r="167" customFormat="false" ht="23.25" hidden="false" customHeight="true" outlineLevel="0" collapsed="false">
      <c r="A167" s="8" t="n">
        <v>163</v>
      </c>
      <c r="B167" s="8" t="s">
        <v>1063</v>
      </c>
      <c r="C167" s="9" t="s">
        <v>1064</v>
      </c>
      <c r="D167" s="8" t="s">
        <v>557</v>
      </c>
      <c r="E167" s="8" t="s">
        <v>876</v>
      </c>
      <c r="F167" s="9" t="s">
        <v>306</v>
      </c>
      <c r="G167" s="8" t="s">
        <v>307</v>
      </c>
      <c r="H167" s="8" t="n">
        <v>1000</v>
      </c>
      <c r="I167" s="8" t="s">
        <v>877</v>
      </c>
      <c r="J167" s="9" t="s">
        <v>577</v>
      </c>
      <c r="K167" s="8" t="n">
        <v>1</v>
      </c>
      <c r="L167" s="9"/>
    </row>
    <row r="168" customFormat="false" ht="23.25" hidden="false" customHeight="true" outlineLevel="0" collapsed="false">
      <c r="A168" s="8" t="n">
        <v>164</v>
      </c>
      <c r="B168" s="8" t="s">
        <v>1063</v>
      </c>
      <c r="C168" s="9" t="s">
        <v>1064</v>
      </c>
      <c r="D168" s="8" t="s">
        <v>557</v>
      </c>
      <c r="E168" s="8" t="s">
        <v>876</v>
      </c>
      <c r="F168" s="9" t="s">
        <v>319</v>
      </c>
      <c r="G168" s="8" t="s">
        <v>320</v>
      </c>
      <c r="H168" s="8" t="n">
        <v>270</v>
      </c>
      <c r="I168" s="8" t="s">
        <v>877</v>
      </c>
      <c r="J168" s="9" t="s">
        <v>577</v>
      </c>
      <c r="K168" s="8" t="n">
        <v>1</v>
      </c>
      <c r="L168" s="9"/>
    </row>
    <row r="169" customFormat="false" ht="23.25" hidden="false" customHeight="true" outlineLevel="0" collapsed="false">
      <c r="A169" s="8" t="n">
        <v>165</v>
      </c>
      <c r="B169" s="8" t="s">
        <v>1063</v>
      </c>
      <c r="C169" s="9" t="s">
        <v>1064</v>
      </c>
      <c r="D169" s="8" t="s">
        <v>557</v>
      </c>
      <c r="E169" s="8" t="s">
        <v>745</v>
      </c>
      <c r="F169" s="9" t="s">
        <v>933</v>
      </c>
      <c r="G169" s="8" t="s">
        <v>304</v>
      </c>
      <c r="H169" s="8" t="n">
        <v>10000</v>
      </c>
      <c r="I169" s="8" t="s">
        <v>877</v>
      </c>
      <c r="J169" s="9" t="s">
        <v>577</v>
      </c>
      <c r="K169" s="8" t="n">
        <v>1</v>
      </c>
      <c r="L169" s="9"/>
    </row>
    <row r="170" customFormat="false" ht="23.25" hidden="false" customHeight="true" outlineLevel="0" collapsed="false">
      <c r="A170" s="8" t="n">
        <v>166</v>
      </c>
      <c r="B170" s="8" t="s">
        <v>1063</v>
      </c>
      <c r="C170" s="9" t="s">
        <v>1064</v>
      </c>
      <c r="D170" s="8" t="s">
        <v>557</v>
      </c>
      <c r="E170" s="8" t="s">
        <v>745</v>
      </c>
      <c r="F170" s="9" t="s">
        <v>317</v>
      </c>
      <c r="G170" s="8" t="s">
        <v>318</v>
      </c>
      <c r="H170" s="8" t="n">
        <v>300</v>
      </c>
      <c r="I170" s="8" t="s">
        <v>877</v>
      </c>
      <c r="J170" s="9" t="s">
        <v>577</v>
      </c>
      <c r="K170" s="8" t="n">
        <v>1</v>
      </c>
      <c r="L170" s="9"/>
    </row>
    <row r="171" customFormat="false" ht="23.25" hidden="false" customHeight="true" outlineLevel="0" collapsed="false">
      <c r="A171" s="8" t="n">
        <v>167</v>
      </c>
      <c r="B171" s="8" t="s">
        <v>1065</v>
      </c>
      <c r="C171" s="9" t="s">
        <v>1066</v>
      </c>
      <c r="D171" s="8" t="s">
        <v>557</v>
      </c>
      <c r="E171" s="8" t="s">
        <v>745</v>
      </c>
      <c r="F171" s="9" t="s">
        <v>303</v>
      </c>
      <c r="G171" s="8" t="s">
        <v>304</v>
      </c>
      <c r="H171" s="8" t="n">
        <v>360</v>
      </c>
      <c r="I171" s="8" t="s">
        <v>877</v>
      </c>
      <c r="J171" s="9" t="s">
        <v>594</v>
      </c>
      <c r="K171" s="8" t="n">
        <v>1</v>
      </c>
      <c r="L171" s="9"/>
    </row>
    <row r="172" customFormat="false" ht="34.5" hidden="false" customHeight="true" outlineLevel="0" collapsed="false">
      <c r="A172" s="8" t="n">
        <v>168</v>
      </c>
      <c r="B172" s="8" t="s">
        <v>1067</v>
      </c>
      <c r="C172" s="9" t="s">
        <v>1068</v>
      </c>
      <c r="D172" s="8" t="s">
        <v>557</v>
      </c>
      <c r="E172" s="8" t="s">
        <v>745</v>
      </c>
      <c r="F172" s="9" t="s">
        <v>745</v>
      </c>
      <c r="G172" s="8" t="s">
        <v>890</v>
      </c>
      <c r="H172" s="8" t="n">
        <v>1000</v>
      </c>
      <c r="I172" s="8" t="s">
        <v>891</v>
      </c>
      <c r="J172" s="9" t="s">
        <v>440</v>
      </c>
      <c r="K172" s="8" t="s">
        <v>440</v>
      </c>
      <c r="L172" s="9" t="s">
        <v>892</v>
      </c>
    </row>
    <row r="173" customFormat="false" ht="23.25" hidden="false" customHeight="true" outlineLevel="0" collapsed="false">
      <c r="A173" s="8" t="n">
        <v>169</v>
      </c>
      <c r="B173" s="8" t="s">
        <v>1069</v>
      </c>
      <c r="C173" s="9" t="s">
        <v>1070</v>
      </c>
      <c r="D173" s="8" t="s">
        <v>557</v>
      </c>
      <c r="E173" s="8" t="s">
        <v>958</v>
      </c>
      <c r="F173" s="9" t="s">
        <v>1071</v>
      </c>
      <c r="G173" s="8" t="s">
        <v>959</v>
      </c>
      <c r="H173" s="8" t="n">
        <v>200</v>
      </c>
      <c r="I173" s="8" t="s">
        <v>891</v>
      </c>
      <c r="J173" s="9" t="s">
        <v>440</v>
      </c>
      <c r="K173" s="8" t="s">
        <v>440</v>
      </c>
      <c r="L173" s="9" t="s">
        <v>917</v>
      </c>
    </row>
    <row r="174" customFormat="false" ht="23.25" hidden="false" customHeight="true" outlineLevel="0" collapsed="false">
      <c r="A174" s="8" t="n">
        <v>170</v>
      </c>
      <c r="B174" s="8" t="s">
        <v>1069</v>
      </c>
      <c r="C174" s="9" t="s">
        <v>1070</v>
      </c>
      <c r="D174" s="8" t="s">
        <v>557</v>
      </c>
      <c r="E174" s="8" t="s">
        <v>745</v>
      </c>
      <c r="F174" s="9" t="s">
        <v>1049</v>
      </c>
      <c r="G174" s="8" t="s">
        <v>304</v>
      </c>
      <c r="H174" s="8" t="n">
        <v>2000</v>
      </c>
      <c r="I174" s="8" t="s">
        <v>891</v>
      </c>
      <c r="J174" s="9" t="s">
        <v>440</v>
      </c>
      <c r="K174" s="8" t="s">
        <v>440</v>
      </c>
      <c r="L174" s="9" t="s">
        <v>917</v>
      </c>
    </row>
    <row r="175" customFormat="false" ht="34.5" hidden="false" customHeight="true" outlineLevel="0" collapsed="false">
      <c r="A175" s="8" t="n">
        <v>171</v>
      </c>
      <c r="B175" s="8" t="s">
        <v>1069</v>
      </c>
      <c r="C175" s="9" t="s">
        <v>1070</v>
      </c>
      <c r="D175" s="8" t="s">
        <v>557</v>
      </c>
      <c r="E175" s="8" t="s">
        <v>745</v>
      </c>
      <c r="F175" s="9" t="s">
        <v>1072</v>
      </c>
      <c r="G175" s="8" t="s">
        <v>890</v>
      </c>
      <c r="H175" s="8" t="n">
        <v>200</v>
      </c>
      <c r="I175" s="8" t="s">
        <v>891</v>
      </c>
      <c r="J175" s="9" t="s">
        <v>440</v>
      </c>
      <c r="K175" s="8" t="s">
        <v>440</v>
      </c>
      <c r="L175" s="9" t="s">
        <v>892</v>
      </c>
    </row>
    <row r="176" customFormat="false" ht="34.5" hidden="false" customHeight="true" outlineLevel="0" collapsed="false">
      <c r="A176" s="8" t="n">
        <v>172</v>
      </c>
      <c r="B176" s="8" t="s">
        <v>1069</v>
      </c>
      <c r="C176" s="9" t="s">
        <v>1070</v>
      </c>
      <c r="D176" s="8" t="s">
        <v>557</v>
      </c>
      <c r="E176" s="8" t="s">
        <v>745</v>
      </c>
      <c r="F176" s="9" t="s">
        <v>1073</v>
      </c>
      <c r="G176" s="8" t="s">
        <v>890</v>
      </c>
      <c r="H176" s="8" t="n">
        <v>200</v>
      </c>
      <c r="I176" s="8" t="s">
        <v>891</v>
      </c>
      <c r="J176" s="9" t="s">
        <v>440</v>
      </c>
      <c r="K176" s="8" t="s">
        <v>440</v>
      </c>
      <c r="L176" s="9" t="s">
        <v>892</v>
      </c>
    </row>
    <row r="177" customFormat="false" ht="23.25" hidden="false" customHeight="true" outlineLevel="0" collapsed="false">
      <c r="A177" s="8" t="n">
        <v>173</v>
      </c>
      <c r="B177" s="8" t="s">
        <v>1074</v>
      </c>
      <c r="C177" s="9" t="s">
        <v>1075</v>
      </c>
      <c r="D177" s="8" t="s">
        <v>557</v>
      </c>
      <c r="E177" s="8" t="s">
        <v>958</v>
      </c>
      <c r="F177" s="9" t="s">
        <v>958</v>
      </c>
      <c r="G177" s="8" t="s">
        <v>959</v>
      </c>
      <c r="H177" s="8" t="n">
        <v>150</v>
      </c>
      <c r="I177" s="8" t="s">
        <v>891</v>
      </c>
      <c r="J177" s="9" t="s">
        <v>440</v>
      </c>
      <c r="K177" s="8" t="s">
        <v>440</v>
      </c>
      <c r="L177" s="9" t="s">
        <v>917</v>
      </c>
    </row>
    <row r="178" customFormat="false" ht="23.25" hidden="false" customHeight="true" outlineLevel="0" collapsed="false">
      <c r="A178" s="8" t="n">
        <v>174</v>
      </c>
      <c r="B178" s="8" t="s">
        <v>1074</v>
      </c>
      <c r="C178" s="9" t="s">
        <v>1075</v>
      </c>
      <c r="D178" s="8" t="s">
        <v>557</v>
      </c>
      <c r="E178" s="8" t="s">
        <v>876</v>
      </c>
      <c r="F178" s="9" t="s">
        <v>307</v>
      </c>
      <c r="G178" s="8" t="s">
        <v>307</v>
      </c>
      <c r="H178" s="8" t="n">
        <v>120</v>
      </c>
      <c r="I178" s="8" t="s">
        <v>891</v>
      </c>
      <c r="J178" s="9" t="s">
        <v>440</v>
      </c>
      <c r="K178" s="8" t="s">
        <v>440</v>
      </c>
      <c r="L178" s="9" t="s">
        <v>917</v>
      </c>
    </row>
    <row r="179" customFormat="false" ht="23.25" hidden="false" customHeight="true" outlineLevel="0" collapsed="false">
      <c r="A179" s="8" t="n">
        <v>175</v>
      </c>
      <c r="B179" s="8" t="s">
        <v>1074</v>
      </c>
      <c r="C179" s="9" t="s">
        <v>1075</v>
      </c>
      <c r="D179" s="8" t="s">
        <v>557</v>
      </c>
      <c r="E179" s="8" t="s">
        <v>876</v>
      </c>
      <c r="F179" s="9" t="s">
        <v>320</v>
      </c>
      <c r="G179" s="8" t="s">
        <v>320</v>
      </c>
      <c r="H179" s="8" t="n">
        <v>120</v>
      </c>
      <c r="I179" s="8" t="s">
        <v>891</v>
      </c>
      <c r="J179" s="9" t="s">
        <v>440</v>
      </c>
      <c r="K179" s="8" t="s">
        <v>440</v>
      </c>
      <c r="L179" s="9" t="s">
        <v>917</v>
      </c>
    </row>
    <row r="180" customFormat="false" ht="23.25" hidden="false" customHeight="true" outlineLevel="0" collapsed="false">
      <c r="A180" s="8" t="n">
        <v>176</v>
      </c>
      <c r="B180" s="8" t="s">
        <v>1074</v>
      </c>
      <c r="C180" s="9" t="s">
        <v>1075</v>
      </c>
      <c r="D180" s="8" t="s">
        <v>557</v>
      </c>
      <c r="E180" s="8" t="s">
        <v>1076</v>
      </c>
      <c r="F180" s="9" t="s">
        <v>1076</v>
      </c>
      <c r="G180" s="8" t="s">
        <v>1077</v>
      </c>
      <c r="H180" s="8" t="n">
        <v>150</v>
      </c>
      <c r="I180" s="8" t="s">
        <v>891</v>
      </c>
      <c r="J180" s="9" t="s">
        <v>440</v>
      </c>
      <c r="K180" s="8" t="s">
        <v>440</v>
      </c>
      <c r="L180" s="9" t="s">
        <v>917</v>
      </c>
    </row>
    <row r="181" customFormat="false" ht="23.25" hidden="false" customHeight="true" outlineLevel="0" collapsed="false">
      <c r="A181" s="8" t="n">
        <v>177</v>
      </c>
      <c r="B181" s="8" t="s">
        <v>1074</v>
      </c>
      <c r="C181" s="9" t="s">
        <v>1075</v>
      </c>
      <c r="D181" s="8" t="s">
        <v>557</v>
      </c>
      <c r="E181" s="8" t="s">
        <v>745</v>
      </c>
      <c r="F181" s="9" t="s">
        <v>304</v>
      </c>
      <c r="G181" s="8" t="s">
        <v>304</v>
      </c>
      <c r="H181" s="8" t="n">
        <v>120</v>
      </c>
      <c r="I181" s="8" t="s">
        <v>891</v>
      </c>
      <c r="J181" s="9" t="s">
        <v>440</v>
      </c>
      <c r="K181" s="8" t="s">
        <v>440</v>
      </c>
      <c r="L181" s="9" t="s">
        <v>917</v>
      </c>
    </row>
    <row r="182" customFormat="false" ht="23.25" hidden="false" customHeight="true" outlineLevel="0" collapsed="false">
      <c r="A182" s="8" t="n">
        <v>178</v>
      </c>
      <c r="B182" s="8" t="s">
        <v>1074</v>
      </c>
      <c r="C182" s="9" t="s">
        <v>1075</v>
      </c>
      <c r="D182" s="8" t="s">
        <v>557</v>
      </c>
      <c r="E182" s="8" t="s">
        <v>745</v>
      </c>
      <c r="F182" s="9" t="s">
        <v>318</v>
      </c>
      <c r="G182" s="8" t="s">
        <v>318</v>
      </c>
      <c r="H182" s="8" t="n">
        <v>120</v>
      </c>
      <c r="I182" s="8" t="s">
        <v>891</v>
      </c>
      <c r="J182" s="9" t="s">
        <v>440</v>
      </c>
      <c r="K182" s="8" t="s">
        <v>440</v>
      </c>
      <c r="L182" s="9" t="s">
        <v>917</v>
      </c>
    </row>
    <row r="183" customFormat="false" ht="23.25" hidden="false" customHeight="true" outlineLevel="0" collapsed="false">
      <c r="A183" s="8" t="n">
        <v>179</v>
      </c>
      <c r="B183" s="8" t="s">
        <v>1074</v>
      </c>
      <c r="C183" s="9" t="s">
        <v>1075</v>
      </c>
      <c r="D183" s="8" t="s">
        <v>557</v>
      </c>
      <c r="E183" s="8" t="s">
        <v>1078</v>
      </c>
      <c r="F183" s="9" t="s">
        <v>1078</v>
      </c>
      <c r="G183" s="8" t="s">
        <v>1077</v>
      </c>
      <c r="H183" s="8" t="n">
        <v>150</v>
      </c>
      <c r="I183" s="8" t="s">
        <v>891</v>
      </c>
      <c r="J183" s="9" t="s">
        <v>440</v>
      </c>
      <c r="K183" s="8" t="s">
        <v>440</v>
      </c>
      <c r="L183" s="9" t="s">
        <v>917</v>
      </c>
    </row>
    <row r="184" customFormat="false" ht="23.25" hidden="false" customHeight="true" outlineLevel="0" collapsed="false">
      <c r="A184" s="8" t="n">
        <v>180</v>
      </c>
      <c r="B184" s="8" t="s">
        <v>1079</v>
      </c>
      <c r="C184" s="9" t="s">
        <v>1080</v>
      </c>
      <c r="D184" s="8" t="s">
        <v>557</v>
      </c>
      <c r="E184" s="8" t="s">
        <v>876</v>
      </c>
      <c r="F184" s="9" t="s">
        <v>538</v>
      </c>
      <c r="G184" s="8" t="s">
        <v>320</v>
      </c>
      <c r="H184" s="8" t="n">
        <v>2000</v>
      </c>
      <c r="I184" s="8" t="s">
        <v>877</v>
      </c>
      <c r="J184" s="9" t="s">
        <v>569</v>
      </c>
      <c r="K184" s="8" t="n">
        <v>1</v>
      </c>
      <c r="L184" s="9"/>
    </row>
    <row r="185" customFormat="false" ht="23.25" hidden="false" customHeight="true" outlineLevel="0" collapsed="false">
      <c r="A185" s="8" t="n">
        <v>181</v>
      </c>
      <c r="B185" s="8" t="s">
        <v>1079</v>
      </c>
      <c r="C185" s="9" t="s">
        <v>1080</v>
      </c>
      <c r="D185" s="8" t="s">
        <v>557</v>
      </c>
      <c r="E185" s="8" t="s">
        <v>745</v>
      </c>
      <c r="F185" s="9" t="s">
        <v>317</v>
      </c>
      <c r="G185" s="8" t="s">
        <v>318</v>
      </c>
      <c r="H185" s="8" t="n">
        <v>2000</v>
      </c>
      <c r="I185" s="8" t="s">
        <v>877</v>
      </c>
      <c r="J185" s="9" t="s">
        <v>569</v>
      </c>
      <c r="K185" s="8" t="n">
        <v>1</v>
      </c>
      <c r="L185" s="9"/>
    </row>
    <row r="186" customFormat="false" ht="23.25" hidden="false" customHeight="true" outlineLevel="0" collapsed="false">
      <c r="A186" s="8" t="n">
        <v>182</v>
      </c>
      <c r="B186" s="8" t="s">
        <v>1081</v>
      </c>
      <c r="C186" s="9" t="s">
        <v>1080</v>
      </c>
      <c r="D186" s="8" t="s">
        <v>557</v>
      </c>
      <c r="E186" s="8" t="s">
        <v>876</v>
      </c>
      <c r="F186" s="9" t="s">
        <v>306</v>
      </c>
      <c r="G186" s="8" t="s">
        <v>307</v>
      </c>
      <c r="H186" s="8" t="n">
        <v>5000</v>
      </c>
      <c r="I186" s="8" t="s">
        <v>877</v>
      </c>
      <c r="J186" s="9" t="s">
        <v>569</v>
      </c>
      <c r="K186" s="8" t="n">
        <v>1</v>
      </c>
      <c r="L186" s="9"/>
    </row>
    <row r="187" customFormat="false" ht="23.25" hidden="false" customHeight="true" outlineLevel="0" collapsed="false">
      <c r="A187" s="8" t="n">
        <v>183</v>
      </c>
      <c r="B187" s="8" t="s">
        <v>1081</v>
      </c>
      <c r="C187" s="9" t="s">
        <v>1080</v>
      </c>
      <c r="D187" s="8" t="s">
        <v>557</v>
      </c>
      <c r="E187" s="8" t="s">
        <v>745</v>
      </c>
      <c r="F187" s="9" t="s">
        <v>933</v>
      </c>
      <c r="G187" s="8" t="s">
        <v>304</v>
      </c>
      <c r="H187" s="8" t="n">
        <v>10000</v>
      </c>
      <c r="I187" s="8" t="s">
        <v>877</v>
      </c>
      <c r="J187" s="9" t="s">
        <v>569</v>
      </c>
      <c r="K187" s="8" t="n">
        <v>1</v>
      </c>
      <c r="L187" s="9"/>
    </row>
    <row r="188" customFormat="false" ht="23.25" hidden="false" customHeight="true" outlineLevel="0" collapsed="false">
      <c r="A188" s="8" t="n">
        <v>184</v>
      </c>
      <c r="B188" s="8" t="s">
        <v>1082</v>
      </c>
      <c r="C188" s="9" t="s">
        <v>1083</v>
      </c>
      <c r="D188" s="8" t="s">
        <v>557</v>
      </c>
      <c r="E188" s="8" t="s">
        <v>745</v>
      </c>
      <c r="F188" s="9" t="s">
        <v>304</v>
      </c>
      <c r="G188" s="8" t="s">
        <v>304</v>
      </c>
      <c r="H188" s="8" t="n">
        <v>900</v>
      </c>
      <c r="I188" s="8" t="s">
        <v>877</v>
      </c>
      <c r="J188" s="9" t="s">
        <v>571</v>
      </c>
      <c r="K188" s="8" t="n">
        <v>1</v>
      </c>
      <c r="L188" s="9"/>
    </row>
    <row r="189" customFormat="false" ht="23.25" hidden="false" customHeight="true" outlineLevel="0" collapsed="false">
      <c r="A189" s="8" t="n">
        <v>185</v>
      </c>
      <c r="B189" s="8" t="s">
        <v>1082</v>
      </c>
      <c r="C189" s="9" t="s">
        <v>1083</v>
      </c>
      <c r="D189" s="8" t="s">
        <v>557</v>
      </c>
      <c r="E189" s="8" t="s">
        <v>745</v>
      </c>
      <c r="F189" s="9" t="s">
        <v>318</v>
      </c>
      <c r="G189" s="8" t="s">
        <v>318</v>
      </c>
      <c r="H189" s="8" t="n">
        <v>300</v>
      </c>
      <c r="I189" s="8" t="s">
        <v>877</v>
      </c>
      <c r="J189" s="9" t="s">
        <v>571</v>
      </c>
      <c r="K189" s="8" t="n">
        <v>1</v>
      </c>
      <c r="L189" s="9"/>
    </row>
    <row r="190" customFormat="false" ht="23.25" hidden="false" customHeight="true" outlineLevel="0" collapsed="false">
      <c r="A190" s="8" t="n">
        <v>186</v>
      </c>
      <c r="B190" s="8" t="s">
        <v>1084</v>
      </c>
      <c r="C190" s="9" t="s">
        <v>1085</v>
      </c>
      <c r="D190" s="8" t="s">
        <v>557</v>
      </c>
      <c r="E190" s="8" t="s">
        <v>876</v>
      </c>
      <c r="F190" s="9" t="s">
        <v>306</v>
      </c>
      <c r="G190" s="8" t="s">
        <v>307</v>
      </c>
      <c r="H190" s="8" t="n">
        <v>2520</v>
      </c>
      <c r="I190" s="8" t="s">
        <v>877</v>
      </c>
      <c r="J190" s="9" t="s">
        <v>572</v>
      </c>
      <c r="K190" s="8" t="n">
        <v>1</v>
      </c>
      <c r="L190" s="9"/>
    </row>
    <row r="191" customFormat="false" ht="23.25" hidden="false" customHeight="true" outlineLevel="0" collapsed="false">
      <c r="A191" s="8" t="n">
        <v>187</v>
      </c>
      <c r="B191" s="8" t="s">
        <v>1084</v>
      </c>
      <c r="C191" s="9" t="s">
        <v>1085</v>
      </c>
      <c r="D191" s="8" t="s">
        <v>557</v>
      </c>
      <c r="E191" s="8" t="s">
        <v>876</v>
      </c>
      <c r="F191" s="9" t="s">
        <v>1086</v>
      </c>
      <c r="G191" s="8" t="s">
        <v>320</v>
      </c>
      <c r="H191" s="8" t="n">
        <v>1200</v>
      </c>
      <c r="I191" s="8" t="s">
        <v>877</v>
      </c>
      <c r="J191" s="9" t="s">
        <v>572</v>
      </c>
      <c r="K191" s="8" t="n">
        <v>1</v>
      </c>
      <c r="L191" s="9"/>
    </row>
    <row r="192" customFormat="false" ht="23.25" hidden="false" customHeight="true" outlineLevel="0" collapsed="false">
      <c r="A192" s="8" t="n">
        <v>188</v>
      </c>
      <c r="B192" s="8" t="s">
        <v>1084</v>
      </c>
      <c r="C192" s="9" t="s">
        <v>1085</v>
      </c>
      <c r="D192" s="8" t="s">
        <v>557</v>
      </c>
      <c r="E192" s="8" t="s">
        <v>745</v>
      </c>
      <c r="F192" s="9" t="s">
        <v>933</v>
      </c>
      <c r="G192" s="8" t="s">
        <v>304</v>
      </c>
      <c r="H192" s="8" t="n">
        <v>5000</v>
      </c>
      <c r="I192" s="8" t="s">
        <v>877</v>
      </c>
      <c r="J192" s="9" t="s">
        <v>572</v>
      </c>
      <c r="K192" s="8" t="n">
        <v>1</v>
      </c>
      <c r="L192" s="9"/>
    </row>
    <row r="193" customFormat="false" ht="23.25" hidden="false" customHeight="true" outlineLevel="0" collapsed="false">
      <c r="A193" s="8" t="n">
        <v>189</v>
      </c>
      <c r="B193" s="8" t="s">
        <v>1084</v>
      </c>
      <c r="C193" s="9" t="s">
        <v>1085</v>
      </c>
      <c r="D193" s="8" t="s">
        <v>557</v>
      </c>
      <c r="E193" s="8" t="s">
        <v>745</v>
      </c>
      <c r="F193" s="9" t="s">
        <v>1087</v>
      </c>
      <c r="G193" s="8" t="s">
        <v>318</v>
      </c>
      <c r="H193" s="8" t="n">
        <v>1200</v>
      </c>
      <c r="I193" s="8" t="s">
        <v>877</v>
      </c>
      <c r="J193" s="9" t="s">
        <v>572</v>
      </c>
      <c r="K193" s="8" t="n">
        <v>1</v>
      </c>
      <c r="L193" s="9"/>
    </row>
    <row r="194" customFormat="false" ht="15" hidden="false" customHeight="true" outlineLevel="0" collapsed="false">
      <c r="A194" s="8" t="n">
        <v>190</v>
      </c>
      <c r="B194" s="8" t="s">
        <v>1088</v>
      </c>
      <c r="C194" s="9" t="s">
        <v>1089</v>
      </c>
      <c r="D194" s="8" t="s">
        <v>557</v>
      </c>
      <c r="E194" s="8" t="s">
        <v>876</v>
      </c>
      <c r="F194" s="9" t="s">
        <v>306</v>
      </c>
      <c r="G194" s="8" t="s">
        <v>307</v>
      </c>
      <c r="H194" s="8" t="n">
        <v>1000</v>
      </c>
      <c r="I194" s="8" t="s">
        <v>877</v>
      </c>
      <c r="J194" s="9" t="s">
        <v>589</v>
      </c>
      <c r="K194" s="8" t="n">
        <v>1</v>
      </c>
      <c r="L194" s="9"/>
    </row>
    <row r="195" customFormat="false" ht="15" hidden="false" customHeight="true" outlineLevel="0" collapsed="false">
      <c r="A195" s="8" t="n">
        <v>191</v>
      </c>
      <c r="B195" s="8" t="s">
        <v>1088</v>
      </c>
      <c r="C195" s="9" t="s">
        <v>1089</v>
      </c>
      <c r="D195" s="8" t="s">
        <v>557</v>
      </c>
      <c r="E195" s="8" t="s">
        <v>745</v>
      </c>
      <c r="F195" s="9" t="s">
        <v>933</v>
      </c>
      <c r="G195" s="8" t="s">
        <v>304</v>
      </c>
      <c r="H195" s="8" t="n">
        <v>7630</v>
      </c>
      <c r="I195" s="8" t="s">
        <v>877</v>
      </c>
      <c r="J195" s="9" t="s">
        <v>589</v>
      </c>
      <c r="K195" s="8" t="n">
        <v>1</v>
      </c>
      <c r="L195" s="9"/>
    </row>
    <row r="196" customFormat="false" ht="23.25" hidden="false" customHeight="true" outlineLevel="0" collapsed="false">
      <c r="A196" s="8" t="n">
        <v>192</v>
      </c>
      <c r="B196" s="8" t="s">
        <v>1090</v>
      </c>
      <c r="C196" s="9" t="s">
        <v>1091</v>
      </c>
      <c r="D196" s="8" t="s">
        <v>557</v>
      </c>
      <c r="E196" s="8" t="s">
        <v>876</v>
      </c>
      <c r="F196" s="9" t="s">
        <v>307</v>
      </c>
      <c r="G196" s="8" t="s">
        <v>307</v>
      </c>
      <c r="H196" s="8" t="n">
        <v>200</v>
      </c>
      <c r="I196" s="8" t="s">
        <v>897</v>
      </c>
      <c r="J196" s="9" t="s">
        <v>598</v>
      </c>
      <c r="K196" s="8" t="n">
        <v>1</v>
      </c>
      <c r="L196" s="9" t="s">
        <v>1034</v>
      </c>
    </row>
    <row r="197" customFormat="false" ht="23.25" hidden="false" customHeight="true" outlineLevel="0" collapsed="false">
      <c r="A197" s="8" t="n">
        <v>193</v>
      </c>
      <c r="B197" s="8" t="s">
        <v>1090</v>
      </c>
      <c r="C197" s="9" t="s">
        <v>1091</v>
      </c>
      <c r="D197" s="8" t="s">
        <v>557</v>
      </c>
      <c r="E197" s="8" t="s">
        <v>745</v>
      </c>
      <c r="F197" s="9" t="s">
        <v>304</v>
      </c>
      <c r="G197" s="8" t="s">
        <v>304</v>
      </c>
      <c r="H197" s="8" t="n">
        <v>500</v>
      </c>
      <c r="I197" s="8" t="s">
        <v>877</v>
      </c>
      <c r="J197" s="9" t="s">
        <v>598</v>
      </c>
      <c r="K197" s="8" t="n">
        <v>1</v>
      </c>
      <c r="L197" s="9"/>
    </row>
    <row r="198" customFormat="false" ht="23.25" hidden="false" customHeight="true" outlineLevel="0" collapsed="false">
      <c r="A198" s="8" t="n">
        <v>194</v>
      </c>
      <c r="B198" s="8" t="s">
        <v>1090</v>
      </c>
      <c r="C198" s="9" t="s">
        <v>1091</v>
      </c>
      <c r="D198" s="8" t="s">
        <v>557</v>
      </c>
      <c r="E198" s="8" t="s">
        <v>745</v>
      </c>
      <c r="F198" s="9" t="s">
        <v>318</v>
      </c>
      <c r="G198" s="8" t="s">
        <v>318</v>
      </c>
      <c r="H198" s="8" t="n">
        <v>300</v>
      </c>
      <c r="I198" s="8" t="s">
        <v>877</v>
      </c>
      <c r="J198" s="9" t="s">
        <v>598</v>
      </c>
      <c r="K198" s="8" t="n">
        <v>1</v>
      </c>
      <c r="L198" s="9"/>
    </row>
    <row r="199" customFormat="false" ht="15" hidden="false" customHeight="true" outlineLevel="0" collapsed="false">
      <c r="A199" s="8" t="n">
        <v>195</v>
      </c>
      <c r="B199" s="8" t="s">
        <v>1092</v>
      </c>
      <c r="C199" s="9" t="s">
        <v>1093</v>
      </c>
      <c r="D199" s="8" t="s">
        <v>601</v>
      </c>
      <c r="E199" s="8" t="s">
        <v>876</v>
      </c>
      <c r="F199" s="9" t="s">
        <v>307</v>
      </c>
      <c r="G199" s="8" t="s">
        <v>307</v>
      </c>
      <c r="H199" s="8" t="n">
        <v>2000</v>
      </c>
      <c r="I199" s="8" t="s">
        <v>891</v>
      </c>
      <c r="J199" s="9" t="s">
        <v>440</v>
      </c>
      <c r="K199" s="8" t="s">
        <v>440</v>
      </c>
      <c r="L199" s="9" t="s">
        <v>917</v>
      </c>
    </row>
    <row r="200" customFormat="false" ht="15" hidden="false" customHeight="true" outlineLevel="0" collapsed="false">
      <c r="A200" s="8" t="n">
        <v>196</v>
      </c>
      <c r="B200" s="8" t="s">
        <v>1092</v>
      </c>
      <c r="C200" s="9" t="s">
        <v>1093</v>
      </c>
      <c r="D200" s="8" t="s">
        <v>601</v>
      </c>
      <c r="E200" s="8" t="s">
        <v>876</v>
      </c>
      <c r="F200" s="9" t="s">
        <v>320</v>
      </c>
      <c r="G200" s="8" t="s">
        <v>320</v>
      </c>
      <c r="H200" s="8" t="n">
        <v>500</v>
      </c>
      <c r="I200" s="8" t="s">
        <v>891</v>
      </c>
      <c r="J200" s="9" t="s">
        <v>440</v>
      </c>
      <c r="K200" s="8" t="s">
        <v>440</v>
      </c>
      <c r="L200" s="9" t="s">
        <v>917</v>
      </c>
    </row>
    <row r="201" customFormat="false" ht="15" hidden="false" customHeight="true" outlineLevel="0" collapsed="false">
      <c r="A201" s="8" t="n">
        <v>197</v>
      </c>
      <c r="B201" s="8" t="s">
        <v>1092</v>
      </c>
      <c r="C201" s="9" t="s">
        <v>1093</v>
      </c>
      <c r="D201" s="8" t="s">
        <v>601</v>
      </c>
      <c r="E201" s="8" t="s">
        <v>745</v>
      </c>
      <c r="F201" s="9" t="s">
        <v>304</v>
      </c>
      <c r="G201" s="8" t="s">
        <v>304</v>
      </c>
      <c r="H201" s="8" t="n">
        <v>1500</v>
      </c>
      <c r="I201" s="8" t="s">
        <v>891</v>
      </c>
      <c r="J201" s="9" t="s">
        <v>440</v>
      </c>
      <c r="K201" s="8" t="s">
        <v>440</v>
      </c>
      <c r="L201" s="9" t="s">
        <v>917</v>
      </c>
    </row>
    <row r="202" customFormat="false" ht="15" hidden="false" customHeight="true" outlineLevel="0" collapsed="false">
      <c r="A202" s="8" t="n">
        <v>198</v>
      </c>
      <c r="B202" s="8" t="s">
        <v>1092</v>
      </c>
      <c r="C202" s="9" t="s">
        <v>1093</v>
      </c>
      <c r="D202" s="8" t="s">
        <v>601</v>
      </c>
      <c r="E202" s="8" t="s">
        <v>745</v>
      </c>
      <c r="F202" s="9" t="s">
        <v>318</v>
      </c>
      <c r="G202" s="8" t="s">
        <v>318</v>
      </c>
      <c r="H202" s="8" t="n">
        <v>1000</v>
      </c>
      <c r="I202" s="8" t="s">
        <v>891</v>
      </c>
      <c r="J202" s="9" t="s">
        <v>440</v>
      </c>
      <c r="K202" s="8" t="s">
        <v>440</v>
      </c>
      <c r="L202" s="9" t="s">
        <v>917</v>
      </c>
    </row>
    <row r="203" customFormat="false" ht="23.25" hidden="false" customHeight="true" outlineLevel="0" collapsed="false">
      <c r="A203" s="8" t="n">
        <v>199</v>
      </c>
      <c r="B203" s="8" t="s">
        <v>1094</v>
      </c>
      <c r="C203" s="9" t="s">
        <v>1095</v>
      </c>
      <c r="D203" s="8" t="s">
        <v>601</v>
      </c>
      <c r="E203" s="8" t="s">
        <v>745</v>
      </c>
      <c r="F203" s="9" t="s">
        <v>933</v>
      </c>
      <c r="G203" s="8" t="s">
        <v>304</v>
      </c>
      <c r="H203" s="8" t="n">
        <v>2000</v>
      </c>
      <c r="I203" s="8" t="s">
        <v>877</v>
      </c>
      <c r="J203" s="9" t="s">
        <v>602</v>
      </c>
      <c r="K203" s="8" t="n">
        <v>1</v>
      </c>
      <c r="L203" s="9"/>
    </row>
    <row r="204" customFormat="false" ht="23.25" hidden="false" customHeight="true" outlineLevel="0" collapsed="false">
      <c r="A204" s="8" t="n">
        <v>200</v>
      </c>
      <c r="B204" s="8" t="s">
        <v>1094</v>
      </c>
      <c r="C204" s="9" t="s">
        <v>1095</v>
      </c>
      <c r="D204" s="8" t="s">
        <v>601</v>
      </c>
      <c r="E204" s="8" t="s">
        <v>745</v>
      </c>
      <c r="F204" s="9" t="s">
        <v>317</v>
      </c>
      <c r="G204" s="8" t="s">
        <v>318</v>
      </c>
      <c r="H204" s="8" t="n">
        <v>1000</v>
      </c>
      <c r="I204" s="8" t="s">
        <v>877</v>
      </c>
      <c r="J204" s="9" t="s">
        <v>602</v>
      </c>
      <c r="K204" s="8" t="n">
        <v>1</v>
      </c>
      <c r="L204" s="9"/>
    </row>
    <row r="205" customFormat="false" ht="23.25" hidden="false" customHeight="true" outlineLevel="0" collapsed="false">
      <c r="A205" s="8" t="n">
        <v>201</v>
      </c>
      <c r="B205" s="8" t="s">
        <v>1096</v>
      </c>
      <c r="C205" s="9" t="s">
        <v>1097</v>
      </c>
      <c r="D205" s="8" t="s">
        <v>606</v>
      </c>
      <c r="E205" s="8" t="s">
        <v>745</v>
      </c>
      <c r="F205" s="9" t="s">
        <v>890</v>
      </c>
      <c r="G205" s="8" t="s">
        <v>890</v>
      </c>
      <c r="H205" s="8" t="n">
        <v>800</v>
      </c>
      <c r="I205" s="8" t="s">
        <v>897</v>
      </c>
      <c r="J205" s="9" t="s">
        <v>423</v>
      </c>
      <c r="K205" s="8" t="n">
        <v>0.64</v>
      </c>
      <c r="L205" s="9" t="s">
        <v>898</v>
      </c>
    </row>
    <row r="206" customFormat="false" ht="23.25" hidden="false" customHeight="true" outlineLevel="0" collapsed="false">
      <c r="A206" s="8" t="n">
        <v>202</v>
      </c>
      <c r="B206" s="8" t="s">
        <v>1098</v>
      </c>
      <c r="C206" s="9" t="s">
        <v>1099</v>
      </c>
      <c r="D206" s="8" t="s">
        <v>606</v>
      </c>
      <c r="E206" s="8" t="s">
        <v>745</v>
      </c>
      <c r="F206" s="9" t="s">
        <v>318</v>
      </c>
      <c r="G206" s="8" t="s">
        <v>318</v>
      </c>
      <c r="H206" s="8" t="n">
        <v>750</v>
      </c>
      <c r="I206" s="8" t="s">
        <v>877</v>
      </c>
      <c r="J206" s="9" t="s">
        <v>624</v>
      </c>
      <c r="K206" s="8" t="n">
        <v>0.69</v>
      </c>
      <c r="L206" s="9"/>
    </row>
    <row r="207" customFormat="false" ht="34.5" hidden="false" customHeight="true" outlineLevel="0" collapsed="false">
      <c r="A207" s="8" t="n">
        <v>203</v>
      </c>
      <c r="B207" s="8" t="s">
        <v>1100</v>
      </c>
      <c r="C207" s="9" t="s">
        <v>1101</v>
      </c>
      <c r="D207" s="8" t="s">
        <v>606</v>
      </c>
      <c r="E207" s="8" t="s">
        <v>745</v>
      </c>
      <c r="F207" s="9" t="s">
        <v>890</v>
      </c>
      <c r="G207" s="8" t="s">
        <v>890</v>
      </c>
      <c r="H207" s="8" t="n">
        <v>500</v>
      </c>
      <c r="I207" s="8" t="s">
        <v>891</v>
      </c>
      <c r="J207" s="9" t="s">
        <v>440</v>
      </c>
      <c r="K207" s="8" t="s">
        <v>440</v>
      </c>
      <c r="L207" s="9" t="s">
        <v>892</v>
      </c>
    </row>
    <row r="208" customFormat="false" ht="23.25" hidden="false" customHeight="true" outlineLevel="0" collapsed="false">
      <c r="A208" s="8" t="n">
        <v>204</v>
      </c>
      <c r="B208" s="8" t="s">
        <v>1102</v>
      </c>
      <c r="C208" s="9" t="s">
        <v>1103</v>
      </c>
      <c r="D208" s="8" t="s">
        <v>606</v>
      </c>
      <c r="E208" s="8" t="s">
        <v>745</v>
      </c>
      <c r="F208" s="9" t="s">
        <v>304</v>
      </c>
      <c r="G208" s="8" t="s">
        <v>304</v>
      </c>
      <c r="H208" s="8" t="n">
        <v>1000</v>
      </c>
      <c r="I208" s="8" t="s">
        <v>877</v>
      </c>
      <c r="J208" s="9" t="s">
        <v>684</v>
      </c>
      <c r="K208" s="8" t="n">
        <v>1</v>
      </c>
      <c r="L208" s="9"/>
    </row>
    <row r="209" customFormat="false" ht="23.25" hidden="false" customHeight="true" outlineLevel="0" collapsed="false">
      <c r="A209" s="8" t="n">
        <v>205</v>
      </c>
      <c r="B209" s="8" t="s">
        <v>1102</v>
      </c>
      <c r="C209" s="9" t="s">
        <v>1103</v>
      </c>
      <c r="D209" s="8" t="s">
        <v>606</v>
      </c>
      <c r="E209" s="8" t="s">
        <v>745</v>
      </c>
      <c r="F209" s="9" t="s">
        <v>318</v>
      </c>
      <c r="G209" s="8" t="s">
        <v>318</v>
      </c>
      <c r="H209" s="8" t="n">
        <v>1000</v>
      </c>
      <c r="I209" s="8" t="s">
        <v>877</v>
      </c>
      <c r="J209" s="9" t="s">
        <v>684</v>
      </c>
      <c r="K209" s="8" t="n">
        <v>1</v>
      </c>
      <c r="L209" s="9"/>
    </row>
    <row r="210" customFormat="false" ht="23.25" hidden="false" customHeight="true" outlineLevel="0" collapsed="false">
      <c r="A210" s="8" t="n">
        <v>206</v>
      </c>
      <c r="B210" s="8" t="s">
        <v>1104</v>
      </c>
      <c r="C210" s="9" t="s">
        <v>1105</v>
      </c>
      <c r="D210" s="8" t="s">
        <v>606</v>
      </c>
      <c r="E210" s="8" t="s">
        <v>745</v>
      </c>
      <c r="F210" s="9" t="s">
        <v>303</v>
      </c>
      <c r="G210" s="8" t="s">
        <v>304</v>
      </c>
      <c r="H210" s="8" t="n">
        <v>100</v>
      </c>
      <c r="I210" s="8" t="s">
        <v>877</v>
      </c>
      <c r="J210" s="9" t="s">
        <v>620</v>
      </c>
      <c r="K210" s="8" t="n">
        <v>1</v>
      </c>
      <c r="L210" s="9"/>
    </row>
    <row r="211" customFormat="false" ht="23.25" hidden="false" customHeight="true" outlineLevel="0" collapsed="false">
      <c r="A211" s="8" t="n">
        <v>207</v>
      </c>
      <c r="B211" s="8" t="s">
        <v>1106</v>
      </c>
      <c r="C211" s="9" t="s">
        <v>1107</v>
      </c>
      <c r="D211" s="8" t="s">
        <v>606</v>
      </c>
      <c r="E211" s="8" t="s">
        <v>876</v>
      </c>
      <c r="F211" s="9" t="s">
        <v>307</v>
      </c>
      <c r="G211" s="8" t="s">
        <v>307</v>
      </c>
      <c r="H211" s="8" t="n">
        <v>2000</v>
      </c>
      <c r="I211" s="8" t="s">
        <v>877</v>
      </c>
      <c r="J211" s="9" t="s">
        <v>675</v>
      </c>
      <c r="K211" s="8" t="n">
        <v>1</v>
      </c>
      <c r="L211" s="9"/>
    </row>
    <row r="212" customFormat="false" ht="23.25" hidden="false" customHeight="true" outlineLevel="0" collapsed="false">
      <c r="A212" s="8" t="n">
        <v>208</v>
      </c>
      <c r="B212" s="8" t="s">
        <v>1106</v>
      </c>
      <c r="C212" s="9" t="s">
        <v>1107</v>
      </c>
      <c r="D212" s="8" t="s">
        <v>606</v>
      </c>
      <c r="E212" s="8" t="s">
        <v>876</v>
      </c>
      <c r="F212" s="9" t="s">
        <v>320</v>
      </c>
      <c r="G212" s="8" t="s">
        <v>320</v>
      </c>
      <c r="H212" s="8" t="n">
        <v>2000</v>
      </c>
      <c r="I212" s="8" t="s">
        <v>877</v>
      </c>
      <c r="J212" s="9" t="s">
        <v>675</v>
      </c>
      <c r="K212" s="8" t="n">
        <v>1</v>
      </c>
      <c r="L212" s="9"/>
    </row>
    <row r="213" customFormat="false" ht="23.25" hidden="false" customHeight="true" outlineLevel="0" collapsed="false">
      <c r="A213" s="8" t="n">
        <v>209</v>
      </c>
      <c r="B213" s="8" t="s">
        <v>1106</v>
      </c>
      <c r="C213" s="9" t="s">
        <v>1107</v>
      </c>
      <c r="D213" s="8" t="s">
        <v>606</v>
      </c>
      <c r="E213" s="8" t="s">
        <v>745</v>
      </c>
      <c r="F213" s="9" t="s">
        <v>304</v>
      </c>
      <c r="G213" s="8" t="s">
        <v>304</v>
      </c>
      <c r="H213" s="8" t="n">
        <v>3000</v>
      </c>
      <c r="I213" s="8" t="s">
        <v>877</v>
      </c>
      <c r="J213" s="9" t="s">
        <v>675</v>
      </c>
      <c r="K213" s="8" t="n">
        <v>1</v>
      </c>
      <c r="L213" s="9"/>
    </row>
    <row r="214" customFormat="false" ht="23.25" hidden="false" customHeight="true" outlineLevel="0" collapsed="false">
      <c r="A214" s="8" t="n">
        <v>210</v>
      </c>
      <c r="B214" s="8" t="s">
        <v>1106</v>
      </c>
      <c r="C214" s="9" t="s">
        <v>1107</v>
      </c>
      <c r="D214" s="8" t="s">
        <v>606</v>
      </c>
      <c r="E214" s="8" t="s">
        <v>745</v>
      </c>
      <c r="F214" s="9" t="s">
        <v>318</v>
      </c>
      <c r="G214" s="8" t="s">
        <v>318</v>
      </c>
      <c r="H214" s="8" t="n">
        <v>3000</v>
      </c>
      <c r="I214" s="8" t="s">
        <v>877</v>
      </c>
      <c r="J214" s="9" t="s">
        <v>675</v>
      </c>
      <c r="K214" s="8" t="n">
        <v>1</v>
      </c>
      <c r="L214" s="9"/>
    </row>
    <row r="215" customFormat="false" ht="23.25" hidden="false" customHeight="true" outlineLevel="0" collapsed="false">
      <c r="A215" s="8" t="n">
        <v>211</v>
      </c>
      <c r="B215" s="8" t="s">
        <v>1108</v>
      </c>
      <c r="C215" s="9" t="s">
        <v>1109</v>
      </c>
      <c r="D215" s="8" t="s">
        <v>636</v>
      </c>
      <c r="E215" s="8" t="s">
        <v>876</v>
      </c>
      <c r="F215" s="9" t="s">
        <v>306</v>
      </c>
      <c r="G215" s="8" t="s">
        <v>307</v>
      </c>
      <c r="H215" s="8" t="n">
        <v>1000</v>
      </c>
      <c r="I215" s="8" t="s">
        <v>877</v>
      </c>
      <c r="J215" s="9" t="s">
        <v>637</v>
      </c>
      <c r="K215" s="8" t="n">
        <v>1</v>
      </c>
      <c r="L215" s="9"/>
    </row>
    <row r="216" customFormat="false" ht="23.25" hidden="false" customHeight="true" outlineLevel="0" collapsed="false">
      <c r="A216" s="8" t="n">
        <v>212</v>
      </c>
      <c r="B216" s="8" t="s">
        <v>1108</v>
      </c>
      <c r="C216" s="9" t="s">
        <v>1109</v>
      </c>
      <c r="D216" s="8" t="s">
        <v>636</v>
      </c>
      <c r="E216" s="8" t="s">
        <v>876</v>
      </c>
      <c r="F216" s="9" t="s">
        <v>538</v>
      </c>
      <c r="G216" s="8" t="s">
        <v>320</v>
      </c>
      <c r="H216" s="8" t="n">
        <v>1000</v>
      </c>
      <c r="I216" s="8" t="s">
        <v>877</v>
      </c>
      <c r="J216" s="9" t="s">
        <v>637</v>
      </c>
      <c r="K216" s="8" t="n">
        <v>1</v>
      </c>
      <c r="L216" s="9"/>
    </row>
    <row r="217" customFormat="false" ht="23.25" hidden="false" customHeight="true" outlineLevel="0" collapsed="false">
      <c r="A217" s="8" t="n">
        <v>213</v>
      </c>
      <c r="B217" s="8" t="s">
        <v>1108</v>
      </c>
      <c r="C217" s="9" t="s">
        <v>1109</v>
      </c>
      <c r="D217" s="8" t="s">
        <v>636</v>
      </c>
      <c r="E217" s="8" t="s">
        <v>745</v>
      </c>
      <c r="F217" s="9" t="s">
        <v>303</v>
      </c>
      <c r="G217" s="8" t="s">
        <v>304</v>
      </c>
      <c r="H217" s="8" t="n">
        <v>1000</v>
      </c>
      <c r="I217" s="8" t="s">
        <v>877</v>
      </c>
      <c r="J217" s="9" t="s">
        <v>637</v>
      </c>
      <c r="K217" s="8" t="n">
        <v>1</v>
      </c>
      <c r="L217" s="9"/>
    </row>
    <row r="218" customFormat="false" ht="23.25" hidden="false" customHeight="true" outlineLevel="0" collapsed="false">
      <c r="A218" s="8" t="n">
        <v>214</v>
      </c>
      <c r="B218" s="8" t="s">
        <v>1108</v>
      </c>
      <c r="C218" s="9" t="s">
        <v>1109</v>
      </c>
      <c r="D218" s="8" t="s">
        <v>636</v>
      </c>
      <c r="E218" s="8" t="s">
        <v>745</v>
      </c>
      <c r="F218" s="9" t="s">
        <v>317</v>
      </c>
      <c r="G218" s="8" t="s">
        <v>318</v>
      </c>
      <c r="H218" s="8" t="n">
        <v>1000</v>
      </c>
      <c r="I218" s="8" t="s">
        <v>877</v>
      </c>
      <c r="J218" s="9" t="s">
        <v>637</v>
      </c>
      <c r="K218" s="8" t="n">
        <v>1</v>
      </c>
      <c r="L218" s="9"/>
    </row>
    <row r="219" customFormat="false" ht="34.5" hidden="false" customHeight="true" outlineLevel="0" collapsed="false">
      <c r="A219" s="8" t="n">
        <v>215</v>
      </c>
      <c r="B219" s="8" t="s">
        <v>1110</v>
      </c>
      <c r="C219" s="9" t="s">
        <v>1111</v>
      </c>
      <c r="D219" s="8" t="s">
        <v>1112</v>
      </c>
      <c r="E219" s="8" t="s">
        <v>745</v>
      </c>
      <c r="F219" s="9" t="s">
        <v>944</v>
      </c>
      <c r="G219" s="8" t="s">
        <v>890</v>
      </c>
      <c r="H219" s="8" t="n">
        <v>300</v>
      </c>
      <c r="I219" s="8" t="s">
        <v>891</v>
      </c>
      <c r="J219" s="9" t="s">
        <v>440</v>
      </c>
      <c r="K219" s="8" t="s">
        <v>440</v>
      </c>
      <c r="L219" s="9" t="s">
        <v>892</v>
      </c>
    </row>
    <row r="220" customFormat="false" ht="34.5" hidden="false" customHeight="true" outlineLevel="0" collapsed="false">
      <c r="A220" s="8" t="n">
        <v>216</v>
      </c>
      <c r="B220" s="8" t="s">
        <v>1113</v>
      </c>
      <c r="C220" s="9" t="s">
        <v>1114</v>
      </c>
      <c r="D220" s="8" t="s">
        <v>1112</v>
      </c>
      <c r="E220" s="8" t="s">
        <v>745</v>
      </c>
      <c r="F220" s="9" t="s">
        <v>890</v>
      </c>
      <c r="G220" s="8" t="s">
        <v>890</v>
      </c>
      <c r="H220" s="8" t="n">
        <v>60</v>
      </c>
      <c r="I220" s="8" t="s">
        <v>891</v>
      </c>
      <c r="J220" s="9" t="s">
        <v>440</v>
      </c>
      <c r="K220" s="8" t="s">
        <v>440</v>
      </c>
      <c r="L220" s="9" t="s">
        <v>892</v>
      </c>
    </row>
  </sheetData>
  <autoFilter ref="A4:L220"/>
  <mergeCells count="2">
    <mergeCell ref="A1:H1"/>
    <mergeCell ref="A2:H2"/>
  </mergeCells>
  <conditionalFormatting sqref="I5:I220">
    <cfRule type="cellIs" priority="2" operator="equal" aboveAverage="0" equalAverage="0" bottom="0" percent="0" rank="0" text="" dxfId="15">
      <formula>"Both Approved (UGC + AICTE)"</formula>
    </cfRule>
    <cfRule type="cellIs" priority="3" operator="equal" aboveAverage="0" equalAverage="0" bottom="0" percent="0" rank="0" text="" dxfId="17">
      <formula>"AICTE only — not in UGC list"</formula>
    </cfRule>
    <cfRule type="cellIs" priority="4" operator="equal" aboveAverage="0" equalAverage="0" bottom="0" percent="0" rank="0" text="" dxfId="17">
      <formula>"AICTE only — category not in UGC scope"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2"/>
    <col collapsed="false" customWidth="true" hidden="false" outlineLevel="0" max="8" min="8" style="1" width="50"/>
  </cols>
  <sheetData>
    <row r="1" customFormat="false" ht="19.5" hidden="false" customHeight="true" outlineLevel="0" collapsed="false">
      <c r="A1" s="2" t="s">
        <v>1115</v>
      </c>
      <c r="B1" s="2"/>
      <c r="C1" s="2"/>
      <c r="D1" s="2"/>
      <c r="E1" s="2"/>
      <c r="F1" s="2"/>
      <c r="G1" s="2"/>
      <c r="H1" s="2"/>
    </row>
    <row r="2" customFormat="false" ht="36" hidden="false" customHeight="true" outlineLevel="0" collapsed="false">
      <c r="A2" s="24" t="s">
        <v>1116</v>
      </c>
      <c r="B2" s="24"/>
      <c r="C2" s="24"/>
      <c r="D2" s="24"/>
      <c r="E2" s="24"/>
      <c r="F2" s="24"/>
      <c r="G2" s="24"/>
      <c r="H2" s="24"/>
    </row>
    <row r="4" customFormat="false" ht="15" hidden="false" customHeight="true" outlineLevel="0" collapsed="false">
      <c r="A4" s="7" t="s">
        <v>238</v>
      </c>
      <c r="B4" s="7" t="s">
        <v>1117</v>
      </c>
      <c r="C4" s="7" t="s">
        <v>1118</v>
      </c>
      <c r="D4" s="7" t="s">
        <v>1119</v>
      </c>
      <c r="E4" s="7" t="s">
        <v>240</v>
      </c>
      <c r="F4" s="7" t="s">
        <v>259</v>
      </c>
      <c r="G4" s="7" t="s">
        <v>1120</v>
      </c>
      <c r="H4" s="7" t="s">
        <v>261</v>
      </c>
    </row>
    <row r="5" customFormat="false" ht="23.25" hidden="false" customHeight="true" outlineLevel="0" collapsed="false">
      <c r="A5" s="8" t="n">
        <v>1</v>
      </c>
      <c r="B5" s="9" t="s">
        <v>581</v>
      </c>
      <c r="C5" s="9" t="s">
        <v>781</v>
      </c>
      <c r="D5" s="8" t="s">
        <v>1121</v>
      </c>
      <c r="E5" s="8" t="s">
        <v>557</v>
      </c>
      <c r="F5" s="8" t="s">
        <v>380</v>
      </c>
      <c r="G5" s="9" t="s">
        <v>1122</v>
      </c>
      <c r="H5" s="14" t="s">
        <v>582</v>
      </c>
    </row>
    <row r="6" customFormat="false" ht="15" hidden="false" customHeight="true" outlineLevel="0" collapsed="false">
      <c r="A6" s="8" t="n">
        <v>2</v>
      </c>
      <c r="B6" s="9" t="s">
        <v>1123</v>
      </c>
      <c r="C6" s="9" t="s">
        <v>440</v>
      </c>
      <c r="D6" s="8" t="s">
        <v>1124</v>
      </c>
      <c r="E6" s="8" t="s">
        <v>606</v>
      </c>
      <c r="F6" s="8" t="s">
        <v>380</v>
      </c>
      <c r="G6" s="9" t="s">
        <v>1125</v>
      </c>
      <c r="H6" s="14" t="s">
        <v>1126</v>
      </c>
    </row>
    <row r="7" customFormat="false" ht="15" hidden="false" customHeight="true" outlineLevel="0" collapsed="false">
      <c r="A7" s="8" t="n">
        <v>3</v>
      </c>
      <c r="B7" s="9" t="s">
        <v>1127</v>
      </c>
      <c r="C7" s="9" t="s">
        <v>440</v>
      </c>
      <c r="D7" s="8" t="s">
        <v>1128</v>
      </c>
      <c r="E7" s="8" t="s">
        <v>557</v>
      </c>
      <c r="F7" s="8" t="s">
        <v>380</v>
      </c>
      <c r="G7" s="9" t="s">
        <v>1125</v>
      </c>
      <c r="H7" s="14" t="s">
        <v>1129</v>
      </c>
    </row>
    <row r="8" customFormat="false" ht="15" hidden="false" customHeight="true" outlineLevel="0" collapsed="false">
      <c r="A8" s="8" t="n">
        <v>4</v>
      </c>
      <c r="B8" s="9" t="s">
        <v>1130</v>
      </c>
      <c r="C8" s="9" t="s">
        <v>440</v>
      </c>
      <c r="D8" s="8" t="s">
        <v>1131</v>
      </c>
      <c r="E8" s="8" t="s">
        <v>402</v>
      </c>
      <c r="F8" s="8" t="s">
        <v>380</v>
      </c>
      <c r="G8" s="9" t="s">
        <v>1125</v>
      </c>
      <c r="H8" s="14" t="s">
        <v>1132</v>
      </c>
    </row>
    <row r="9" customFormat="false" ht="23.25" hidden="false" customHeight="true" outlineLevel="0" collapsed="false">
      <c r="A9" s="8" t="n">
        <v>5</v>
      </c>
      <c r="B9" s="9" t="s">
        <v>603</v>
      </c>
      <c r="C9" s="9" t="s">
        <v>602</v>
      </c>
      <c r="D9" s="8" t="s">
        <v>1133</v>
      </c>
      <c r="E9" s="8" t="s">
        <v>601</v>
      </c>
      <c r="F9" s="8" t="s">
        <v>380</v>
      </c>
      <c r="G9" s="9" t="s">
        <v>1134</v>
      </c>
      <c r="H9" s="14" t="s">
        <v>604</v>
      </c>
    </row>
    <row r="10" customFormat="false" ht="15" hidden="false" customHeight="true" outlineLevel="0" collapsed="false">
      <c r="A10" s="8" t="n">
        <v>6</v>
      </c>
      <c r="B10" s="9" t="s">
        <v>378</v>
      </c>
      <c r="C10" s="9" t="s">
        <v>440</v>
      </c>
      <c r="D10" s="8" t="s">
        <v>1135</v>
      </c>
      <c r="E10" s="8" t="s">
        <v>350</v>
      </c>
      <c r="F10" s="8" t="s">
        <v>380</v>
      </c>
      <c r="G10" s="9" t="s">
        <v>1136</v>
      </c>
      <c r="H10" s="14" t="s">
        <v>381</v>
      </c>
    </row>
    <row r="11" customFormat="false" ht="15" hidden="false" customHeight="true" outlineLevel="0" collapsed="false">
      <c r="A11" s="8" t="n">
        <v>7</v>
      </c>
      <c r="B11" s="9" t="s">
        <v>1137</v>
      </c>
      <c r="C11" s="9" t="s">
        <v>440</v>
      </c>
      <c r="D11" s="8" t="s">
        <v>1138</v>
      </c>
      <c r="E11" s="8" t="s">
        <v>1112</v>
      </c>
      <c r="F11" s="8" t="s">
        <v>380</v>
      </c>
      <c r="G11" s="9" t="s">
        <v>1125</v>
      </c>
      <c r="H11" s="14" t="s">
        <v>1139</v>
      </c>
    </row>
    <row r="12" customFormat="false" ht="15" hidden="false" customHeight="true" outlineLevel="0" collapsed="false">
      <c r="A12" s="8" t="n">
        <v>8</v>
      </c>
      <c r="B12" s="9" t="s">
        <v>1140</v>
      </c>
      <c r="C12" s="9" t="s">
        <v>440</v>
      </c>
      <c r="D12" s="8" t="s">
        <v>1141</v>
      </c>
      <c r="E12" s="8" t="s">
        <v>488</v>
      </c>
      <c r="F12" s="8" t="s">
        <v>380</v>
      </c>
      <c r="G12" s="9" t="s">
        <v>1125</v>
      </c>
      <c r="H12" s="14" t="s">
        <v>1142</v>
      </c>
    </row>
    <row r="13" customFormat="false" ht="15" hidden="false" customHeight="true" outlineLevel="0" collapsed="false">
      <c r="A13" s="8" t="n">
        <v>9</v>
      </c>
      <c r="B13" s="9" t="s">
        <v>1143</v>
      </c>
      <c r="C13" s="9" t="s">
        <v>440</v>
      </c>
      <c r="D13" s="8" t="s">
        <v>1144</v>
      </c>
      <c r="E13" s="8" t="s">
        <v>606</v>
      </c>
      <c r="F13" s="8" t="s">
        <v>380</v>
      </c>
      <c r="G13" s="9" t="s">
        <v>1125</v>
      </c>
      <c r="H13" s="14" t="s">
        <v>1145</v>
      </c>
    </row>
    <row r="14" customFormat="false" ht="15" hidden="false" customHeight="true" outlineLevel="0" collapsed="false">
      <c r="A14" s="8" t="n">
        <v>10</v>
      </c>
      <c r="B14" s="9" t="s">
        <v>1146</v>
      </c>
      <c r="C14" s="9" t="s">
        <v>440</v>
      </c>
      <c r="D14" s="8" t="s">
        <v>1147</v>
      </c>
      <c r="E14" s="8" t="s">
        <v>543</v>
      </c>
      <c r="F14" s="8" t="s">
        <v>380</v>
      </c>
      <c r="G14" s="9" t="s">
        <v>1125</v>
      </c>
      <c r="H14" s="14" t="s">
        <v>1148</v>
      </c>
    </row>
    <row r="15" customFormat="false" ht="15" hidden="false" customHeight="true" outlineLevel="0" collapsed="false">
      <c r="A15" s="8" t="n">
        <v>11</v>
      </c>
      <c r="B15" s="9" t="s">
        <v>1149</v>
      </c>
      <c r="C15" s="9" t="s">
        <v>440</v>
      </c>
      <c r="D15" s="8" t="s">
        <v>1133</v>
      </c>
      <c r="E15" s="8" t="s">
        <v>601</v>
      </c>
      <c r="F15" s="8" t="s">
        <v>380</v>
      </c>
      <c r="G15" s="9" t="s">
        <v>1125</v>
      </c>
      <c r="H15" s="14" t="s">
        <v>1150</v>
      </c>
    </row>
    <row r="16" customFormat="false" ht="15" hidden="false" customHeight="true" outlineLevel="0" collapsed="false">
      <c r="A16" s="8" t="n">
        <v>12</v>
      </c>
      <c r="B16" s="9" t="s">
        <v>1151</v>
      </c>
      <c r="C16" s="9" t="s">
        <v>440</v>
      </c>
      <c r="D16" s="8" t="s">
        <v>1152</v>
      </c>
      <c r="E16" s="8" t="s">
        <v>606</v>
      </c>
      <c r="F16" s="8" t="s">
        <v>380</v>
      </c>
      <c r="G16" s="9" t="s">
        <v>1125</v>
      </c>
      <c r="H16" s="14" t="s">
        <v>1153</v>
      </c>
    </row>
    <row r="17" customFormat="false" ht="15" hidden="false" customHeight="true" outlineLevel="0" collapsed="false">
      <c r="A17" s="8" t="n">
        <v>13</v>
      </c>
      <c r="B17" s="9" t="s">
        <v>1154</v>
      </c>
      <c r="C17" s="9" t="s">
        <v>440</v>
      </c>
      <c r="D17" s="8" t="s">
        <v>1135</v>
      </c>
      <c r="E17" s="8" t="s">
        <v>350</v>
      </c>
      <c r="F17" s="8" t="s">
        <v>380</v>
      </c>
      <c r="G17" s="9" t="s">
        <v>1125</v>
      </c>
      <c r="H17" s="14" t="s">
        <v>1155</v>
      </c>
    </row>
    <row r="18" customFormat="false" ht="15" hidden="false" customHeight="true" outlineLevel="0" collapsed="false">
      <c r="A18" s="8" t="n">
        <v>14</v>
      </c>
      <c r="B18" s="9" t="s">
        <v>1156</v>
      </c>
      <c r="C18" s="9" t="s">
        <v>1157</v>
      </c>
      <c r="D18" s="8" t="s">
        <v>1158</v>
      </c>
      <c r="E18" s="8" t="s">
        <v>425</v>
      </c>
      <c r="F18" s="8" t="s">
        <v>380</v>
      </c>
      <c r="G18" s="9" t="s">
        <v>1125</v>
      </c>
      <c r="H18" s="14" t="s">
        <v>1159</v>
      </c>
    </row>
    <row r="19" customFormat="false" ht="23.25" hidden="false" customHeight="true" outlineLevel="0" collapsed="false">
      <c r="A19" s="8" t="n">
        <v>15</v>
      </c>
      <c r="B19" s="9" t="s">
        <v>1160</v>
      </c>
      <c r="C19" s="9" t="s">
        <v>440</v>
      </c>
      <c r="D19" s="8" t="s">
        <v>1161</v>
      </c>
      <c r="E19" s="8" t="s">
        <v>543</v>
      </c>
      <c r="F19" s="8" t="s">
        <v>380</v>
      </c>
      <c r="G19" s="9" t="s">
        <v>1125</v>
      </c>
      <c r="H19" s="14" t="s">
        <v>1162</v>
      </c>
    </row>
    <row r="20" customFormat="false" ht="15" hidden="false" customHeight="true" outlineLevel="0" collapsed="false">
      <c r="A20" s="8" t="n">
        <v>16</v>
      </c>
      <c r="B20" s="9" t="s">
        <v>1163</v>
      </c>
      <c r="C20" s="9" t="s">
        <v>1164</v>
      </c>
      <c r="D20" s="8" t="s">
        <v>1165</v>
      </c>
      <c r="E20" s="8" t="s">
        <v>494</v>
      </c>
      <c r="F20" s="8" t="s">
        <v>380</v>
      </c>
      <c r="G20" s="9" t="s">
        <v>1125</v>
      </c>
      <c r="H20" s="14" t="s">
        <v>1166</v>
      </c>
    </row>
    <row r="21" customFormat="false" ht="23.25" hidden="false" customHeight="true" outlineLevel="0" collapsed="false">
      <c r="A21" s="8" t="n">
        <v>17</v>
      </c>
      <c r="B21" s="9" t="s">
        <v>1167</v>
      </c>
      <c r="C21" s="9" t="s">
        <v>1168</v>
      </c>
      <c r="D21" s="8" t="s">
        <v>1169</v>
      </c>
      <c r="E21" s="8" t="s">
        <v>530</v>
      </c>
      <c r="F21" s="8" t="s">
        <v>380</v>
      </c>
      <c r="G21" s="9" t="s">
        <v>1125</v>
      </c>
      <c r="H21" s="14" t="s">
        <v>1170</v>
      </c>
    </row>
    <row r="22" customFormat="false" ht="15" hidden="false" customHeight="true" outlineLevel="0" collapsed="false">
      <c r="A22" s="8" t="n">
        <v>18</v>
      </c>
      <c r="B22" s="9" t="s">
        <v>1171</v>
      </c>
      <c r="C22" s="9" t="s">
        <v>440</v>
      </c>
      <c r="D22" s="8" t="s">
        <v>1172</v>
      </c>
      <c r="E22" s="8" t="s">
        <v>476</v>
      </c>
      <c r="F22" s="8" t="s">
        <v>380</v>
      </c>
      <c r="G22" s="9" t="s">
        <v>1125</v>
      </c>
      <c r="H22" s="14" t="s">
        <v>1173</v>
      </c>
    </row>
    <row r="23" customFormat="false" ht="15" hidden="false" customHeight="true" outlineLevel="0" collapsed="false">
      <c r="A23" s="8" t="n">
        <v>19</v>
      </c>
      <c r="B23" s="9" t="s">
        <v>1174</v>
      </c>
      <c r="C23" s="9" t="s">
        <v>440</v>
      </c>
      <c r="D23" s="8" t="s">
        <v>1165</v>
      </c>
      <c r="E23" s="8" t="s">
        <v>494</v>
      </c>
      <c r="F23" s="8" t="s">
        <v>380</v>
      </c>
      <c r="G23" s="9" t="s">
        <v>1125</v>
      </c>
      <c r="H23" s="14" t="s">
        <v>1175</v>
      </c>
    </row>
    <row r="24" customFormat="false" ht="23.25" hidden="false" customHeight="true" outlineLevel="0" collapsed="false">
      <c r="A24" s="8" t="n">
        <v>20</v>
      </c>
      <c r="B24" s="9" t="s">
        <v>511</v>
      </c>
      <c r="C24" s="9" t="s">
        <v>1176</v>
      </c>
      <c r="D24" s="8" t="s">
        <v>1165</v>
      </c>
      <c r="E24" s="8" t="s">
        <v>494</v>
      </c>
      <c r="F24" s="8" t="s">
        <v>380</v>
      </c>
      <c r="G24" s="9" t="s">
        <v>1177</v>
      </c>
      <c r="H24" s="14" t="s">
        <v>512</v>
      </c>
    </row>
    <row r="25" customFormat="false" ht="23.25" hidden="false" customHeight="true" outlineLevel="0" collapsed="false">
      <c r="A25" s="8" t="n">
        <v>21</v>
      </c>
      <c r="B25" s="9" t="s">
        <v>501</v>
      </c>
      <c r="C25" s="9" t="s">
        <v>1178</v>
      </c>
      <c r="D25" s="8" t="s">
        <v>1179</v>
      </c>
      <c r="E25" s="8" t="s">
        <v>494</v>
      </c>
      <c r="F25" s="8" t="s">
        <v>380</v>
      </c>
      <c r="G25" s="9" t="s">
        <v>1180</v>
      </c>
      <c r="H25" s="14" t="s">
        <v>502</v>
      </c>
    </row>
    <row r="26" customFormat="false" ht="23.25" hidden="false" customHeight="true" outlineLevel="0" collapsed="false">
      <c r="A26" s="8" t="n">
        <v>22</v>
      </c>
      <c r="B26" s="9" t="s">
        <v>436</v>
      </c>
      <c r="C26" s="9" t="s">
        <v>434</v>
      </c>
      <c r="D26" s="8" t="s">
        <v>1181</v>
      </c>
      <c r="E26" s="8" t="s">
        <v>425</v>
      </c>
      <c r="F26" s="8" t="s">
        <v>380</v>
      </c>
      <c r="G26" s="9" t="s">
        <v>1182</v>
      </c>
      <c r="H26" s="14" t="s">
        <v>437</v>
      </c>
    </row>
    <row r="27" customFormat="false" ht="15" hidden="false" customHeight="true" outlineLevel="0" collapsed="false">
      <c r="A27" s="8" t="n">
        <v>23</v>
      </c>
      <c r="B27" s="9" t="s">
        <v>590</v>
      </c>
      <c r="C27" s="9" t="s">
        <v>589</v>
      </c>
      <c r="D27" s="8" t="s">
        <v>1183</v>
      </c>
      <c r="E27" s="8" t="s">
        <v>557</v>
      </c>
      <c r="F27" s="8" t="s">
        <v>380</v>
      </c>
      <c r="G27" s="9" t="s">
        <v>1184</v>
      </c>
      <c r="H27" s="14" t="s">
        <v>591</v>
      </c>
    </row>
    <row r="28" customFormat="false" ht="15" hidden="false" customHeight="true" outlineLevel="0" collapsed="false">
      <c r="A28" s="8" t="n">
        <v>24</v>
      </c>
      <c r="B28" s="9" t="s">
        <v>1185</v>
      </c>
      <c r="C28" s="9" t="s">
        <v>440</v>
      </c>
      <c r="D28" s="8" t="s">
        <v>1186</v>
      </c>
      <c r="E28" s="8" t="s">
        <v>422</v>
      </c>
      <c r="F28" s="8" t="s">
        <v>380</v>
      </c>
      <c r="G28" s="9" t="s">
        <v>1125</v>
      </c>
      <c r="H28" s="14" t="s">
        <v>1187</v>
      </c>
    </row>
    <row r="29" customFormat="false" ht="15" hidden="false" customHeight="true" outlineLevel="0" collapsed="false">
      <c r="A29" s="8" t="n">
        <v>25</v>
      </c>
      <c r="B29" s="9" t="s">
        <v>1188</v>
      </c>
      <c r="C29" s="9" t="s">
        <v>440</v>
      </c>
      <c r="D29" s="8" t="s">
        <v>1135</v>
      </c>
      <c r="E29" s="8" t="s">
        <v>350</v>
      </c>
      <c r="F29" s="8" t="s">
        <v>1189</v>
      </c>
      <c r="G29" s="9" t="s">
        <v>1125</v>
      </c>
      <c r="H29" s="14" t="s">
        <v>1190</v>
      </c>
    </row>
    <row r="30" customFormat="false" ht="15" hidden="false" customHeight="true" outlineLevel="0" collapsed="false">
      <c r="A30" s="8" t="n">
        <v>26</v>
      </c>
      <c r="B30" s="9" t="s">
        <v>1191</v>
      </c>
      <c r="C30" s="9" t="s">
        <v>440</v>
      </c>
      <c r="D30" s="8" t="s">
        <v>1192</v>
      </c>
      <c r="E30" s="8" t="s">
        <v>911</v>
      </c>
      <c r="F30" s="8" t="s">
        <v>1189</v>
      </c>
      <c r="G30" s="9" t="s">
        <v>1125</v>
      </c>
      <c r="H30" s="14" t="s">
        <v>1193</v>
      </c>
    </row>
    <row r="31" customFormat="false" ht="15" hidden="false" customHeight="true" outlineLevel="0" collapsed="false">
      <c r="A31" s="8" t="n">
        <v>27</v>
      </c>
      <c r="B31" s="9" t="s">
        <v>1194</v>
      </c>
      <c r="C31" s="9" t="s">
        <v>440</v>
      </c>
      <c r="D31" s="8" t="s">
        <v>1195</v>
      </c>
      <c r="E31" s="8" t="s">
        <v>1196</v>
      </c>
      <c r="F31" s="8" t="s">
        <v>1189</v>
      </c>
      <c r="G31" s="9" t="s">
        <v>1125</v>
      </c>
      <c r="H31" s="14" t="s">
        <v>1197</v>
      </c>
    </row>
    <row r="32" customFormat="false" ht="15" hidden="false" customHeight="true" outlineLevel="0" collapsed="false">
      <c r="A32" s="8" t="n">
        <v>28</v>
      </c>
      <c r="B32" s="9" t="s">
        <v>1198</v>
      </c>
      <c r="C32" s="9" t="s">
        <v>1199</v>
      </c>
      <c r="D32" s="8" t="s">
        <v>1200</v>
      </c>
      <c r="E32" s="8" t="s">
        <v>402</v>
      </c>
      <c r="F32" s="8" t="s">
        <v>1189</v>
      </c>
      <c r="G32" s="9" t="s">
        <v>1125</v>
      </c>
      <c r="H32" s="14" t="s">
        <v>1201</v>
      </c>
    </row>
    <row r="33" customFormat="false" ht="15" hidden="false" customHeight="true" outlineLevel="0" collapsed="false">
      <c r="A33" s="8" t="n">
        <v>29</v>
      </c>
      <c r="B33" s="9" t="s">
        <v>1202</v>
      </c>
      <c r="C33" s="9" t="s">
        <v>440</v>
      </c>
      <c r="D33" s="8" t="s">
        <v>1135</v>
      </c>
      <c r="E33" s="8" t="s">
        <v>350</v>
      </c>
      <c r="F33" s="8" t="s">
        <v>1189</v>
      </c>
      <c r="G33" s="9" t="s">
        <v>1125</v>
      </c>
      <c r="H33" s="14" t="s">
        <v>1203</v>
      </c>
    </row>
    <row r="34" customFormat="false" ht="15" hidden="false" customHeight="true" outlineLevel="0" collapsed="false">
      <c r="A34" s="8" t="n">
        <v>30</v>
      </c>
      <c r="B34" s="9" t="s">
        <v>1204</v>
      </c>
      <c r="C34" s="9" t="s">
        <v>440</v>
      </c>
      <c r="D34" s="8" t="s">
        <v>1205</v>
      </c>
      <c r="E34" s="8" t="s">
        <v>402</v>
      </c>
      <c r="F34" s="8" t="s">
        <v>1189</v>
      </c>
      <c r="G34" s="9" t="s">
        <v>1125</v>
      </c>
      <c r="H34" s="14" t="s">
        <v>1206</v>
      </c>
    </row>
  </sheetData>
  <autoFilter ref="A4:H34"/>
  <mergeCells count="2">
    <mergeCell ref="A1:H1"/>
    <mergeCell ref="A2:H2"/>
  </mergeCells>
  <conditionalFormatting sqref="F5:F34">
    <cfRule type="cellIs" priority="2" operator="equal" aboveAverage="0" equalAverage="0" bottom="0" percent="0" rank="0" text="" dxfId="20">
      <formula>"Accredited"</formula>
    </cfRule>
    <cfRule type="cellIs" priority="3" operator="equal" aboveAverage="0" equalAverage="0" bottom="0" percent="0" rank="0" text="" dxfId="17">
      <formula>"Member-Only"</formula>
    </cfRule>
  </conditionalFormatting>
  <hyperlinks>
    <hyperlink ref="H5" r:id="rId1" display="https://www.aacsb.edu/accredited/a/amrita-school-of-business-coimbatore-amrita-vishwa-vidyapeetham"/>
    <hyperlink ref="H6" r:id="rId2" display="https://www.aacsb.edu/accredited/b/birla-institute-of-management-technology-greater-noida"/>
    <hyperlink ref="H7" r:id="rId3" display="https://www.aacsb.edu/accredited/g/great-lakes-institute-of-management-chennai"/>
    <hyperlink ref="H8" r:id="rId4" display="https://www.aacsb.edu/accredited/g/great-lakes-institute-of-management-gurgaon"/>
    <hyperlink ref="H9" r:id="rId5" display="https://www.aacsb.edu/accredited/i/icfai-business-school-hyderabad"/>
    <hyperlink ref="H10" r:id="rId6" display="https://www.aacsb.edu/accredited/i/indian-institute-of-foreign-trade"/>
    <hyperlink ref="H11" r:id="rId7" display="https://www.aacsb.edu/accredited/i/indian-institute-of-management-calcutta"/>
    <hyperlink ref="H12" r:id="rId8" display="https://www.aacsb.edu/accredited/i/indian-institute-of-management-indore"/>
    <hyperlink ref="H13" r:id="rId9" display="https://www.aacsb.edu/accredited/i/indian-institute-of-management-lucknow"/>
    <hyperlink ref="H14" r:id="rId10" display="https://www.aacsb.edu/accredited/i/indian-institute-of-management-udaipur"/>
    <hyperlink ref="H15" r:id="rId11" display="https://www.aacsb.edu/accredited/i/indian-school-of-business"/>
    <hyperlink ref="H16" r:id="rId12" display="https://www.aacsb.edu/accredited/i/institute-of-management-technology-ghaziabad"/>
    <hyperlink ref="H17" r:id="rId13" display="https://www.aacsb.edu/accredited/i/international-management-institute-delhi"/>
    <hyperlink ref="H18" r:id="rId14" display="https://www.aacsb.edu/accredited/j/jagdish-sheth-school-of-management"/>
    <hyperlink ref="H19" r:id="rId15" display="https://www.aacsb.edu/accredited/j/jaipuria-institute-of-management"/>
    <hyperlink ref="H20" r:id="rId16" display="https://www.aacsb.edu/accredited/k/k-j-somaiya-institute-of-management"/>
    <hyperlink ref="H21" r:id="rId17" display="https://www.aacsb.edu/accredited/l/lm-thapar-school-of-management-thapar-institute-of-engineering-and-technology"/>
    <hyperlink ref="H22" r:id="rId18" display="https://www.aacsb.edu/accredited/r/rajagiri-business-school"/>
    <hyperlink ref="H23" r:id="rId19" display="https://www.aacsb.edu/accredited/s/sp-jain-institute-of-management-and-research"/>
    <hyperlink ref="H24" r:id="rId20" display="https://www.aacsb.edu/accredited/s/school-of-business-management-svkms-nmims-university"/>
    <hyperlink ref="H25" r:id="rId21" display="https://www.aacsb.edu/accredited/s/symbiosis-international-university-symbiosis-centre-for-management-and-human-resource-development"/>
    <hyperlink ref="H26" r:id="rId22" display="https://www.aacsb.edu/accredited/t/t-a-pai-management-institute"/>
    <hyperlink ref="H27" r:id="rId23" display="https://www.aacsb.edu/accredited/v/vit-business-school-vellore-institute-of-technology"/>
    <hyperlink ref="H28" r:id="rId24" display="https://www.aacsb.edu/accredited/x/xlri-jamshedpur"/>
    <hyperlink ref="H29" r:id="rId25" display="https://www.aacsb.edu/members/non-accredited-educational/f/fortune-institute-of-international-business"/>
    <hyperlink ref="H30" r:id="rId26" display="https://www.aacsb.edu/members/non-accredited-educational/g/goa-institute-of-management"/>
    <hyperlink ref="H31" r:id="rId27" display="https://www.aacsb.edu/members/non-accredited-educational/i/indian-institute-of-management-shillong"/>
    <hyperlink ref="H32" r:id="rId28" display="https://www.aacsb.edu/members/non-accredited-educational/j/jindal-global-business-school"/>
    <hyperlink ref="H33" r:id="rId29" display="https://www.aacsb.edu/members/non-accredited-educational/l/lal-bahadur-shastri-institute-of-management"/>
    <hyperlink ref="H34" r:id="rId30" display="https://www.aacsb.edu/members/non-accredited-educational/m/management-development-institute-gurga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8"/>
    <col collapsed="false" customWidth="true" hidden="false" outlineLevel="0" max="3" min="3" style="1" width="50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36"/>
    <col collapsed="false" customWidth="true" hidden="false" outlineLevel="0" max="9" min="9" style="1" width="8"/>
    <col collapsed="false" customWidth="true" hidden="false" outlineLevel="0" max="10" min="10" style="1" width="13"/>
    <col collapsed="false" customWidth="true" hidden="false" outlineLevel="0" max="11" min="11" style="1" width="18"/>
  </cols>
  <sheetData>
    <row r="1" customFormat="false" ht="19.5" hidden="false" customHeight="true" outlineLevel="0" collapsed="false">
      <c r="A1" s="2" t="s">
        <v>1207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0" hidden="false" customHeight="true" outlineLevel="0" collapsed="false">
      <c r="A2" s="24" t="s">
        <v>1208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4" customFormat="false" ht="23.25" hidden="false" customHeight="true" outlineLevel="0" collapsed="false">
      <c r="A4" s="7" t="s">
        <v>238</v>
      </c>
      <c r="B4" s="7" t="s">
        <v>1209</v>
      </c>
      <c r="C4" s="7" t="s">
        <v>1210</v>
      </c>
      <c r="D4" s="7" t="s">
        <v>240</v>
      </c>
      <c r="E4" s="7" t="s">
        <v>1211</v>
      </c>
      <c r="F4" s="7" t="s">
        <v>1212</v>
      </c>
      <c r="G4" s="7" t="s">
        <v>245</v>
      </c>
      <c r="H4" s="7" t="s">
        <v>1213</v>
      </c>
      <c r="I4" s="7" t="s">
        <v>870</v>
      </c>
      <c r="J4" s="7" t="s">
        <v>1214</v>
      </c>
      <c r="K4" s="7" t="s">
        <v>251</v>
      </c>
    </row>
    <row r="5" customFormat="false" ht="23.25" hidden="false" customHeight="true" outlineLevel="0" collapsed="false">
      <c r="A5" s="8" t="n">
        <v>1</v>
      </c>
      <c r="B5" s="9" t="s">
        <v>578</v>
      </c>
      <c r="C5" s="9" t="s">
        <v>1046</v>
      </c>
      <c r="D5" s="8" t="s">
        <v>557</v>
      </c>
      <c r="E5" s="8" t="s">
        <v>1215</v>
      </c>
      <c r="F5" s="9" t="s">
        <v>1216</v>
      </c>
      <c r="G5" s="8" t="s">
        <v>1217</v>
      </c>
      <c r="H5" s="9" t="s">
        <v>1218</v>
      </c>
      <c r="I5" s="8" t="n">
        <v>60</v>
      </c>
      <c r="J5" s="11" t="n">
        <v>45838</v>
      </c>
      <c r="K5" s="8" t="s">
        <v>848</v>
      </c>
    </row>
    <row r="6" customFormat="false" ht="23.25" hidden="false" customHeight="true" outlineLevel="0" collapsed="false">
      <c r="A6" s="8" t="n">
        <v>2</v>
      </c>
      <c r="B6" s="9" t="s">
        <v>578</v>
      </c>
      <c r="C6" s="9" t="s">
        <v>1046</v>
      </c>
      <c r="D6" s="8" t="s">
        <v>557</v>
      </c>
      <c r="E6" s="8" t="s">
        <v>1215</v>
      </c>
      <c r="F6" s="9" t="s">
        <v>1216</v>
      </c>
      <c r="G6" s="8" t="s">
        <v>1217</v>
      </c>
      <c r="H6" s="9" t="s">
        <v>1219</v>
      </c>
      <c r="I6" s="8" t="n">
        <v>60</v>
      </c>
      <c r="J6" s="11" t="n">
        <v>45838</v>
      </c>
      <c r="K6" s="8" t="s">
        <v>848</v>
      </c>
    </row>
    <row r="7" customFormat="false" ht="23.25" hidden="false" customHeight="true" outlineLevel="0" collapsed="false">
      <c r="A7" s="8" t="n">
        <v>3</v>
      </c>
      <c r="B7" s="9" t="s">
        <v>578</v>
      </c>
      <c r="C7" s="9" t="s">
        <v>1046</v>
      </c>
      <c r="D7" s="8" t="s">
        <v>557</v>
      </c>
      <c r="E7" s="8" t="s">
        <v>1215</v>
      </c>
      <c r="F7" s="9" t="s">
        <v>1216</v>
      </c>
      <c r="G7" s="8" t="s">
        <v>1217</v>
      </c>
      <c r="H7" s="9" t="s">
        <v>1220</v>
      </c>
      <c r="I7" s="8" t="n">
        <v>60</v>
      </c>
      <c r="J7" s="11" t="n">
        <v>45838</v>
      </c>
      <c r="K7" s="8" t="s">
        <v>848</v>
      </c>
    </row>
    <row r="8" customFormat="false" ht="23.25" hidden="false" customHeight="true" outlineLevel="0" collapsed="false">
      <c r="A8" s="8" t="n">
        <v>4</v>
      </c>
      <c r="B8" s="9" t="s">
        <v>578</v>
      </c>
      <c r="C8" s="9" t="s">
        <v>1046</v>
      </c>
      <c r="D8" s="8" t="s">
        <v>557</v>
      </c>
      <c r="E8" s="8" t="s">
        <v>1215</v>
      </c>
      <c r="F8" s="9" t="s">
        <v>1216</v>
      </c>
      <c r="G8" s="8" t="s">
        <v>1217</v>
      </c>
      <c r="H8" s="9" t="s">
        <v>1221</v>
      </c>
      <c r="I8" s="8" t="n">
        <v>120</v>
      </c>
      <c r="J8" s="11" t="n">
        <v>45838</v>
      </c>
      <c r="K8" s="8" t="s">
        <v>848</v>
      </c>
    </row>
    <row r="9" customFormat="false" ht="23.25" hidden="false" customHeight="true" outlineLevel="0" collapsed="false">
      <c r="A9" s="8" t="n">
        <v>5</v>
      </c>
      <c r="B9" s="9" t="s">
        <v>578</v>
      </c>
      <c r="C9" s="9" t="s">
        <v>1222</v>
      </c>
      <c r="D9" s="8" t="s">
        <v>425</v>
      </c>
      <c r="E9" s="8" t="s">
        <v>1215</v>
      </c>
      <c r="F9" s="9" t="s">
        <v>1216</v>
      </c>
      <c r="G9" s="8" t="s">
        <v>1217</v>
      </c>
      <c r="H9" s="9" t="s">
        <v>1223</v>
      </c>
      <c r="I9" s="8" t="n">
        <v>180</v>
      </c>
      <c r="J9" s="11" t="n">
        <v>45838</v>
      </c>
      <c r="K9" s="8" t="s">
        <v>848</v>
      </c>
    </row>
    <row r="10" customFormat="false" ht="23.25" hidden="false" customHeight="true" outlineLevel="0" collapsed="false">
      <c r="A10" s="8" t="n">
        <v>6</v>
      </c>
      <c r="B10" s="9" t="s">
        <v>578</v>
      </c>
      <c r="C10" s="9" t="s">
        <v>1222</v>
      </c>
      <c r="D10" s="8" t="s">
        <v>425</v>
      </c>
      <c r="E10" s="8" t="s">
        <v>1215</v>
      </c>
      <c r="F10" s="9" t="s">
        <v>1216</v>
      </c>
      <c r="G10" s="8" t="s">
        <v>1217</v>
      </c>
      <c r="H10" s="9" t="s">
        <v>1224</v>
      </c>
      <c r="I10" s="8" t="n">
        <v>30</v>
      </c>
      <c r="J10" s="11" t="n">
        <v>45838</v>
      </c>
      <c r="K10" s="8" t="s">
        <v>848</v>
      </c>
    </row>
    <row r="11" customFormat="false" ht="23.25" hidden="false" customHeight="true" outlineLevel="0" collapsed="false">
      <c r="A11" s="8" t="n">
        <v>7</v>
      </c>
      <c r="B11" s="9" t="s">
        <v>578</v>
      </c>
      <c r="C11" s="9" t="s">
        <v>1225</v>
      </c>
      <c r="D11" s="8" t="s">
        <v>476</v>
      </c>
      <c r="E11" s="8" t="s">
        <v>1215</v>
      </c>
      <c r="F11" s="9" t="s">
        <v>1216</v>
      </c>
      <c r="G11" s="8" t="s">
        <v>1217</v>
      </c>
      <c r="H11" s="9" t="s">
        <v>1226</v>
      </c>
      <c r="I11" s="8" t="n">
        <v>120</v>
      </c>
      <c r="J11" s="11" t="n">
        <v>46568</v>
      </c>
      <c r="K11" s="8" t="s">
        <v>1227</v>
      </c>
    </row>
    <row r="12" customFormat="false" ht="23.25" hidden="false" customHeight="true" outlineLevel="0" collapsed="false">
      <c r="A12" s="8" t="n">
        <v>8</v>
      </c>
      <c r="B12" s="9" t="s">
        <v>578</v>
      </c>
      <c r="C12" s="9" t="s">
        <v>1225</v>
      </c>
      <c r="D12" s="8" t="s">
        <v>476</v>
      </c>
      <c r="E12" s="8" t="s">
        <v>1215</v>
      </c>
      <c r="F12" s="9" t="s">
        <v>1216</v>
      </c>
      <c r="G12" s="8" t="s">
        <v>1217</v>
      </c>
      <c r="H12" s="9" t="s">
        <v>1221</v>
      </c>
      <c r="I12" s="8" t="n">
        <v>60</v>
      </c>
      <c r="J12" s="11" t="n">
        <v>46568</v>
      </c>
      <c r="K12" s="8" t="s">
        <v>1227</v>
      </c>
    </row>
    <row r="13" customFormat="false" ht="23.25" hidden="false" customHeight="true" outlineLevel="0" collapsed="false">
      <c r="A13" s="8" t="n">
        <v>9</v>
      </c>
      <c r="B13" s="9" t="s">
        <v>578</v>
      </c>
      <c r="C13" s="9" t="s">
        <v>1225</v>
      </c>
      <c r="D13" s="8" t="s">
        <v>476</v>
      </c>
      <c r="E13" s="8" t="s">
        <v>1215</v>
      </c>
      <c r="F13" s="9" t="s">
        <v>1216</v>
      </c>
      <c r="G13" s="8" t="s">
        <v>1217</v>
      </c>
      <c r="H13" s="9" t="s">
        <v>1224</v>
      </c>
      <c r="I13" s="8" t="n">
        <v>60</v>
      </c>
      <c r="J13" s="11" t="n">
        <v>46568</v>
      </c>
      <c r="K13" s="8" t="s">
        <v>1227</v>
      </c>
    </row>
    <row r="14" customFormat="false" ht="23.25" hidden="false" customHeight="true" outlineLevel="0" collapsed="false">
      <c r="A14" s="8" t="n">
        <v>10</v>
      </c>
      <c r="B14" s="9" t="s">
        <v>578</v>
      </c>
      <c r="C14" s="9" t="s">
        <v>1046</v>
      </c>
      <c r="D14" s="8" t="s">
        <v>557</v>
      </c>
      <c r="E14" s="8" t="s">
        <v>1215</v>
      </c>
      <c r="F14" s="9" t="s">
        <v>1216</v>
      </c>
      <c r="G14" s="8" t="s">
        <v>1217</v>
      </c>
      <c r="H14" s="9" t="s">
        <v>1228</v>
      </c>
      <c r="I14" s="8" t="n">
        <v>480</v>
      </c>
      <c r="J14" s="11" t="n">
        <v>46568</v>
      </c>
      <c r="K14" s="8" t="s">
        <v>1227</v>
      </c>
    </row>
    <row r="15" customFormat="false" ht="23.25" hidden="false" customHeight="true" outlineLevel="0" collapsed="false">
      <c r="A15" s="8" t="n">
        <v>11</v>
      </c>
      <c r="B15" s="9" t="s">
        <v>578</v>
      </c>
      <c r="C15" s="9" t="s">
        <v>1046</v>
      </c>
      <c r="D15" s="8" t="s">
        <v>557</v>
      </c>
      <c r="E15" s="8" t="s">
        <v>1215</v>
      </c>
      <c r="F15" s="9" t="s">
        <v>1216</v>
      </c>
      <c r="G15" s="8" t="s">
        <v>1217</v>
      </c>
      <c r="H15" s="9" t="s">
        <v>1229</v>
      </c>
      <c r="I15" s="8" t="n">
        <v>180</v>
      </c>
      <c r="J15" s="11" t="n">
        <v>46568</v>
      </c>
      <c r="K15" s="8" t="s">
        <v>1227</v>
      </c>
    </row>
    <row r="16" customFormat="false" ht="23.25" hidden="false" customHeight="true" outlineLevel="0" collapsed="false">
      <c r="A16" s="8" t="n">
        <v>12</v>
      </c>
      <c r="B16" s="9" t="s">
        <v>578</v>
      </c>
      <c r="C16" s="9" t="s">
        <v>1046</v>
      </c>
      <c r="D16" s="8" t="s">
        <v>557</v>
      </c>
      <c r="E16" s="8" t="s">
        <v>1215</v>
      </c>
      <c r="F16" s="9" t="s">
        <v>1216</v>
      </c>
      <c r="G16" s="8" t="s">
        <v>1217</v>
      </c>
      <c r="H16" s="9" t="s">
        <v>1224</v>
      </c>
      <c r="I16" s="8" t="n">
        <v>120</v>
      </c>
      <c r="J16" s="11" t="n">
        <v>46568</v>
      </c>
      <c r="K16" s="8" t="s">
        <v>1227</v>
      </c>
    </row>
    <row r="17" customFormat="false" ht="23.25" hidden="false" customHeight="true" outlineLevel="0" collapsed="false">
      <c r="A17" s="8" t="n">
        <v>13</v>
      </c>
      <c r="B17" s="9" t="s">
        <v>596</v>
      </c>
      <c r="C17" s="9" t="s">
        <v>1048</v>
      </c>
      <c r="D17" s="8" t="s">
        <v>557</v>
      </c>
      <c r="E17" s="8" t="s">
        <v>1230</v>
      </c>
      <c r="F17" s="9" t="s">
        <v>1216</v>
      </c>
      <c r="G17" s="8" t="s">
        <v>1217</v>
      </c>
      <c r="H17" s="9" t="s">
        <v>1231</v>
      </c>
      <c r="I17" s="8" t="n">
        <v>60</v>
      </c>
      <c r="J17" s="11" t="n">
        <v>45838</v>
      </c>
      <c r="K17" s="8" t="s">
        <v>848</v>
      </c>
    </row>
    <row r="18" customFormat="false" ht="23.25" hidden="false" customHeight="true" outlineLevel="0" collapsed="false">
      <c r="A18" s="8" t="n">
        <v>14</v>
      </c>
      <c r="B18" s="9" t="s">
        <v>596</v>
      </c>
      <c r="C18" s="9" t="s">
        <v>1048</v>
      </c>
      <c r="D18" s="8" t="s">
        <v>557</v>
      </c>
      <c r="E18" s="8" t="s">
        <v>1230</v>
      </c>
      <c r="F18" s="9" t="s">
        <v>1216</v>
      </c>
      <c r="G18" s="8" t="s">
        <v>1217</v>
      </c>
      <c r="H18" s="9" t="s">
        <v>1232</v>
      </c>
      <c r="I18" s="8" t="n">
        <v>60</v>
      </c>
      <c r="J18" s="11" t="n">
        <v>46203</v>
      </c>
      <c r="K18" s="8" t="s">
        <v>1233</v>
      </c>
    </row>
    <row r="19" customFormat="false" ht="23.25" hidden="false" customHeight="true" outlineLevel="0" collapsed="false">
      <c r="A19" s="8" t="n">
        <v>15</v>
      </c>
      <c r="B19" s="9" t="s">
        <v>596</v>
      </c>
      <c r="C19" s="9" t="s">
        <v>1048</v>
      </c>
      <c r="D19" s="8" t="s">
        <v>557</v>
      </c>
      <c r="E19" s="8" t="s">
        <v>1230</v>
      </c>
      <c r="F19" s="9" t="s">
        <v>1216</v>
      </c>
      <c r="G19" s="8" t="s">
        <v>1217</v>
      </c>
      <c r="H19" s="9" t="s">
        <v>1234</v>
      </c>
      <c r="I19" s="8" t="n">
        <v>60</v>
      </c>
      <c r="J19" s="11" t="n">
        <v>46203</v>
      </c>
      <c r="K19" s="8" t="s">
        <v>1233</v>
      </c>
    </row>
    <row r="20" customFormat="false" ht="23.25" hidden="false" customHeight="true" outlineLevel="0" collapsed="false">
      <c r="A20" s="8" t="n">
        <v>16</v>
      </c>
      <c r="B20" s="9" t="s">
        <v>596</v>
      </c>
      <c r="C20" s="9" t="s">
        <v>1048</v>
      </c>
      <c r="D20" s="8" t="s">
        <v>557</v>
      </c>
      <c r="E20" s="8" t="s">
        <v>1230</v>
      </c>
      <c r="F20" s="9" t="s">
        <v>1216</v>
      </c>
      <c r="G20" s="8" t="s">
        <v>1217</v>
      </c>
      <c r="H20" s="9" t="s">
        <v>1235</v>
      </c>
      <c r="I20" s="8" t="n">
        <v>60</v>
      </c>
      <c r="J20" s="11" t="n">
        <v>46934</v>
      </c>
      <c r="K20" s="8" t="s">
        <v>1227</v>
      </c>
    </row>
    <row r="21" customFormat="false" ht="23.25" hidden="false" customHeight="true" outlineLevel="0" collapsed="false">
      <c r="A21" s="8" t="n">
        <v>17</v>
      </c>
      <c r="B21" s="9" t="s">
        <v>596</v>
      </c>
      <c r="C21" s="9" t="s">
        <v>1048</v>
      </c>
      <c r="D21" s="8" t="s">
        <v>557</v>
      </c>
      <c r="E21" s="8" t="s">
        <v>1230</v>
      </c>
      <c r="F21" s="9" t="s">
        <v>1216</v>
      </c>
      <c r="G21" s="8" t="s">
        <v>1217</v>
      </c>
      <c r="H21" s="9" t="s">
        <v>1224</v>
      </c>
      <c r="I21" s="8" t="n">
        <v>150</v>
      </c>
      <c r="J21" s="11" t="n">
        <v>47299</v>
      </c>
      <c r="K21" s="8" t="s">
        <v>1227</v>
      </c>
    </row>
    <row r="22" customFormat="false" ht="23.25" hidden="false" customHeight="true" outlineLevel="0" collapsed="false">
      <c r="A22" s="8" t="n">
        <v>18</v>
      </c>
      <c r="B22" s="9" t="s">
        <v>596</v>
      </c>
      <c r="C22" s="9" t="s">
        <v>1048</v>
      </c>
      <c r="D22" s="8" t="s">
        <v>557</v>
      </c>
      <c r="E22" s="8" t="s">
        <v>1230</v>
      </c>
      <c r="F22" s="9" t="s">
        <v>1216</v>
      </c>
      <c r="G22" s="8" t="s">
        <v>1217</v>
      </c>
      <c r="H22" s="9" t="s">
        <v>1223</v>
      </c>
      <c r="I22" s="8" t="n">
        <v>120</v>
      </c>
      <c r="J22" s="11" t="n">
        <v>47299</v>
      </c>
      <c r="K22" s="8" t="s">
        <v>1227</v>
      </c>
    </row>
    <row r="23" customFormat="false" ht="23.25" hidden="false" customHeight="true" outlineLevel="0" collapsed="false">
      <c r="A23" s="8" t="n">
        <v>19</v>
      </c>
      <c r="B23" s="9" t="s">
        <v>596</v>
      </c>
      <c r="C23" s="9" t="s">
        <v>1048</v>
      </c>
      <c r="D23" s="8" t="s">
        <v>557</v>
      </c>
      <c r="E23" s="8" t="s">
        <v>1230</v>
      </c>
      <c r="F23" s="9" t="s">
        <v>1216</v>
      </c>
      <c r="G23" s="8" t="s">
        <v>1217</v>
      </c>
      <c r="H23" s="9" t="s">
        <v>1219</v>
      </c>
      <c r="I23" s="8" t="n">
        <v>90</v>
      </c>
      <c r="J23" s="11" t="n">
        <v>47715</v>
      </c>
      <c r="K23" s="8" t="s">
        <v>1227</v>
      </c>
    </row>
    <row r="24" customFormat="false" ht="23.25" hidden="false" customHeight="true" outlineLevel="0" collapsed="false">
      <c r="A24" s="8" t="n">
        <v>20</v>
      </c>
      <c r="B24" s="9" t="s">
        <v>596</v>
      </c>
      <c r="C24" s="9" t="s">
        <v>1048</v>
      </c>
      <c r="D24" s="8" t="s">
        <v>557</v>
      </c>
      <c r="E24" s="8" t="s">
        <v>1230</v>
      </c>
      <c r="F24" s="9" t="s">
        <v>1216</v>
      </c>
      <c r="G24" s="8" t="s">
        <v>1217</v>
      </c>
      <c r="H24" s="9" t="s">
        <v>1221</v>
      </c>
      <c r="I24" s="8" t="n">
        <v>60</v>
      </c>
      <c r="J24" s="11" t="n">
        <v>49856</v>
      </c>
      <c r="K24" s="8" t="s">
        <v>1227</v>
      </c>
    </row>
    <row r="25" customFormat="false" ht="23.25" hidden="false" customHeight="true" outlineLevel="0" collapsed="false">
      <c r="A25" s="8" t="n">
        <v>21</v>
      </c>
      <c r="B25" s="9" t="s">
        <v>507</v>
      </c>
      <c r="C25" s="9" t="s">
        <v>1236</v>
      </c>
      <c r="D25" s="8" t="s">
        <v>494</v>
      </c>
      <c r="E25" s="8" t="s">
        <v>1237</v>
      </c>
      <c r="F25" s="9" t="s">
        <v>1216</v>
      </c>
      <c r="G25" s="8" t="s">
        <v>1217</v>
      </c>
      <c r="H25" s="9" t="s">
        <v>1219</v>
      </c>
      <c r="I25" s="8" t="n">
        <v>60</v>
      </c>
      <c r="J25" s="11" t="n">
        <v>45838</v>
      </c>
      <c r="K25" s="8" t="s">
        <v>848</v>
      </c>
    </row>
    <row r="26" customFormat="false" ht="23.25" hidden="false" customHeight="true" outlineLevel="0" collapsed="false">
      <c r="A26" s="8" t="n">
        <v>22</v>
      </c>
      <c r="B26" s="9" t="s">
        <v>507</v>
      </c>
      <c r="C26" s="9" t="s">
        <v>1236</v>
      </c>
      <c r="D26" s="8" t="s">
        <v>494</v>
      </c>
      <c r="E26" s="8" t="s">
        <v>1237</v>
      </c>
      <c r="F26" s="9" t="s">
        <v>1216</v>
      </c>
      <c r="G26" s="8" t="s">
        <v>1217</v>
      </c>
      <c r="H26" s="9" t="s">
        <v>1238</v>
      </c>
      <c r="I26" s="8" t="n">
        <v>180</v>
      </c>
      <c r="J26" s="11" t="n">
        <v>45838</v>
      </c>
      <c r="K26" s="8" t="s">
        <v>848</v>
      </c>
    </row>
    <row r="27" customFormat="false" ht="23.25" hidden="false" customHeight="true" outlineLevel="0" collapsed="false">
      <c r="A27" s="8" t="n">
        <v>23</v>
      </c>
      <c r="B27" s="9" t="s">
        <v>507</v>
      </c>
      <c r="C27" s="9" t="s">
        <v>1236</v>
      </c>
      <c r="D27" s="8" t="s">
        <v>494</v>
      </c>
      <c r="E27" s="8" t="s">
        <v>1237</v>
      </c>
      <c r="F27" s="9" t="s">
        <v>1216</v>
      </c>
      <c r="G27" s="8" t="s">
        <v>1217</v>
      </c>
      <c r="H27" s="9" t="s">
        <v>1224</v>
      </c>
      <c r="I27" s="8" t="n">
        <v>60</v>
      </c>
      <c r="J27" s="11" t="n">
        <v>46203</v>
      </c>
      <c r="K27" s="8" t="s">
        <v>1233</v>
      </c>
    </row>
    <row r="28" customFormat="false" ht="23.25" hidden="false" customHeight="true" outlineLevel="0" collapsed="false">
      <c r="A28" s="8" t="n">
        <v>24</v>
      </c>
      <c r="B28" s="9" t="s">
        <v>423</v>
      </c>
      <c r="C28" s="9" t="s">
        <v>935</v>
      </c>
      <c r="D28" s="8" t="s">
        <v>422</v>
      </c>
      <c r="E28" s="8" t="s">
        <v>1215</v>
      </c>
      <c r="F28" s="9" t="s">
        <v>1216</v>
      </c>
      <c r="G28" s="8" t="s">
        <v>1217</v>
      </c>
      <c r="H28" s="9" t="s">
        <v>1219</v>
      </c>
      <c r="I28" s="8" t="n">
        <v>60</v>
      </c>
      <c r="J28" s="11" t="n">
        <v>45838</v>
      </c>
      <c r="K28" s="8" t="s">
        <v>848</v>
      </c>
    </row>
    <row r="29" customFormat="false" ht="23.25" hidden="false" customHeight="true" outlineLevel="0" collapsed="false">
      <c r="A29" s="8" t="n">
        <v>25</v>
      </c>
      <c r="B29" s="9" t="s">
        <v>423</v>
      </c>
      <c r="C29" s="9" t="s">
        <v>935</v>
      </c>
      <c r="D29" s="8" t="s">
        <v>422</v>
      </c>
      <c r="E29" s="8" t="s">
        <v>1215</v>
      </c>
      <c r="F29" s="9" t="s">
        <v>1216</v>
      </c>
      <c r="G29" s="8" t="s">
        <v>1217</v>
      </c>
      <c r="H29" s="9" t="s">
        <v>1218</v>
      </c>
      <c r="I29" s="8" t="n">
        <v>120</v>
      </c>
      <c r="J29" s="11" t="n">
        <v>45838</v>
      </c>
      <c r="K29" s="8" t="s">
        <v>848</v>
      </c>
    </row>
    <row r="30" customFormat="false" ht="23.25" hidden="false" customHeight="true" outlineLevel="0" collapsed="false">
      <c r="A30" s="8" t="n">
        <v>26</v>
      </c>
      <c r="B30" s="9" t="s">
        <v>423</v>
      </c>
      <c r="C30" s="9" t="s">
        <v>935</v>
      </c>
      <c r="D30" s="8" t="s">
        <v>422</v>
      </c>
      <c r="E30" s="8" t="s">
        <v>1215</v>
      </c>
      <c r="F30" s="9" t="s">
        <v>1216</v>
      </c>
      <c r="G30" s="8" t="s">
        <v>1217</v>
      </c>
      <c r="H30" s="9" t="s">
        <v>1226</v>
      </c>
      <c r="I30" s="8" t="n">
        <v>180</v>
      </c>
      <c r="J30" s="11" t="n">
        <v>46203</v>
      </c>
      <c r="K30" s="8" t="s">
        <v>1233</v>
      </c>
    </row>
    <row r="31" customFormat="false" ht="23.25" hidden="false" customHeight="true" outlineLevel="0" collapsed="false">
      <c r="A31" s="8" t="n">
        <v>27</v>
      </c>
      <c r="B31" s="9" t="s">
        <v>423</v>
      </c>
      <c r="C31" s="9" t="s">
        <v>935</v>
      </c>
      <c r="D31" s="8" t="s">
        <v>422</v>
      </c>
      <c r="E31" s="8" t="s">
        <v>1215</v>
      </c>
      <c r="F31" s="9" t="s">
        <v>1216</v>
      </c>
      <c r="G31" s="8" t="s">
        <v>1217</v>
      </c>
      <c r="H31" s="9" t="s">
        <v>1239</v>
      </c>
      <c r="I31" s="8" t="n">
        <v>60</v>
      </c>
      <c r="J31" s="11" t="n">
        <v>46203</v>
      </c>
      <c r="K31" s="8" t="s">
        <v>1233</v>
      </c>
    </row>
    <row r="32" customFormat="false" ht="23.25" hidden="false" customHeight="true" outlineLevel="0" collapsed="false">
      <c r="A32" s="8" t="n">
        <v>28</v>
      </c>
      <c r="B32" s="9" t="s">
        <v>423</v>
      </c>
      <c r="C32" s="9" t="s">
        <v>935</v>
      </c>
      <c r="D32" s="8" t="s">
        <v>422</v>
      </c>
      <c r="E32" s="8" t="s">
        <v>1215</v>
      </c>
      <c r="F32" s="9" t="s">
        <v>1216</v>
      </c>
      <c r="G32" s="8" t="s">
        <v>1240</v>
      </c>
      <c r="H32" s="9" t="s">
        <v>1241</v>
      </c>
      <c r="I32" s="8" t="n">
        <v>24</v>
      </c>
      <c r="J32" s="11" t="n">
        <v>46203</v>
      </c>
      <c r="K32" s="8" t="s">
        <v>1233</v>
      </c>
    </row>
    <row r="33" customFormat="false" ht="23.25" hidden="false" customHeight="true" outlineLevel="0" collapsed="false">
      <c r="A33" s="8" t="n">
        <v>29</v>
      </c>
      <c r="B33" s="9" t="s">
        <v>423</v>
      </c>
      <c r="C33" s="9" t="s">
        <v>935</v>
      </c>
      <c r="D33" s="8" t="s">
        <v>422</v>
      </c>
      <c r="E33" s="8" t="s">
        <v>1215</v>
      </c>
      <c r="F33" s="9" t="s">
        <v>1216</v>
      </c>
      <c r="G33" s="8" t="s">
        <v>1217</v>
      </c>
      <c r="H33" s="9" t="s">
        <v>1224</v>
      </c>
      <c r="I33" s="8" t="n">
        <v>120</v>
      </c>
      <c r="J33" s="11" t="n">
        <v>46203</v>
      </c>
      <c r="K33" s="8" t="s">
        <v>1233</v>
      </c>
    </row>
    <row r="34" customFormat="false" ht="23.25" hidden="false" customHeight="true" outlineLevel="0" collapsed="false">
      <c r="A34" s="8" t="n">
        <v>30</v>
      </c>
      <c r="B34" s="9" t="s">
        <v>423</v>
      </c>
      <c r="C34" s="9" t="s">
        <v>935</v>
      </c>
      <c r="D34" s="8" t="s">
        <v>422</v>
      </c>
      <c r="E34" s="8" t="s">
        <v>1215</v>
      </c>
      <c r="F34" s="9" t="s">
        <v>1216</v>
      </c>
      <c r="G34" s="8" t="s">
        <v>1217</v>
      </c>
      <c r="H34" s="9" t="s">
        <v>1221</v>
      </c>
      <c r="I34" s="8" t="n">
        <v>90</v>
      </c>
      <c r="J34" s="11" t="n">
        <v>46203</v>
      </c>
      <c r="K34" s="8" t="s">
        <v>1233</v>
      </c>
    </row>
    <row r="35" customFormat="false" ht="23.25" hidden="false" customHeight="true" outlineLevel="0" collapsed="false">
      <c r="A35" s="8" t="n">
        <v>31</v>
      </c>
      <c r="B35" s="9" t="s">
        <v>423</v>
      </c>
      <c r="C35" s="9" t="s">
        <v>935</v>
      </c>
      <c r="D35" s="8" t="s">
        <v>422</v>
      </c>
      <c r="E35" s="8" t="s">
        <v>1215</v>
      </c>
      <c r="F35" s="9" t="s">
        <v>1242</v>
      </c>
      <c r="G35" s="8" t="s">
        <v>1240</v>
      </c>
      <c r="H35" s="9" t="s">
        <v>304</v>
      </c>
      <c r="I35" s="8" t="n">
        <v>220</v>
      </c>
      <c r="J35" s="11" t="n">
        <v>46203</v>
      </c>
      <c r="K35" s="8" t="s">
        <v>1233</v>
      </c>
    </row>
    <row r="36" customFormat="false" ht="23.25" hidden="false" customHeight="true" outlineLevel="0" collapsed="false">
      <c r="A36" s="8" t="n">
        <v>32</v>
      </c>
      <c r="B36" s="9" t="s">
        <v>468</v>
      </c>
      <c r="C36" s="9" t="s">
        <v>1243</v>
      </c>
      <c r="D36" s="8" t="s">
        <v>425</v>
      </c>
      <c r="E36" s="8" t="s">
        <v>1215</v>
      </c>
      <c r="F36" s="9" t="s">
        <v>1216</v>
      </c>
      <c r="G36" s="8" t="s">
        <v>1217</v>
      </c>
      <c r="H36" s="9" t="s">
        <v>1219</v>
      </c>
      <c r="I36" s="8" t="n">
        <v>30</v>
      </c>
      <c r="J36" s="11" t="n">
        <v>46568</v>
      </c>
      <c r="K36" s="8" t="s">
        <v>1227</v>
      </c>
    </row>
    <row r="37" customFormat="false" ht="23.25" hidden="false" customHeight="true" outlineLevel="0" collapsed="false">
      <c r="A37" s="8" t="n">
        <v>33</v>
      </c>
      <c r="B37" s="9" t="s">
        <v>468</v>
      </c>
      <c r="C37" s="9" t="s">
        <v>1243</v>
      </c>
      <c r="D37" s="8" t="s">
        <v>425</v>
      </c>
      <c r="E37" s="8" t="s">
        <v>1215</v>
      </c>
      <c r="F37" s="9" t="s">
        <v>1216</v>
      </c>
      <c r="G37" s="8" t="s">
        <v>1217</v>
      </c>
      <c r="H37" s="9" t="s">
        <v>1224</v>
      </c>
      <c r="I37" s="8" t="n">
        <v>30</v>
      </c>
      <c r="J37" s="11" t="n">
        <v>46568</v>
      </c>
      <c r="K37" s="8" t="s">
        <v>1227</v>
      </c>
    </row>
    <row r="38" customFormat="false" ht="23.25" hidden="false" customHeight="true" outlineLevel="0" collapsed="false">
      <c r="A38" s="8" t="n">
        <v>34</v>
      </c>
      <c r="B38" s="9" t="s">
        <v>468</v>
      </c>
      <c r="C38" s="9" t="s">
        <v>1243</v>
      </c>
      <c r="D38" s="8" t="s">
        <v>425</v>
      </c>
      <c r="E38" s="8" t="s">
        <v>1215</v>
      </c>
      <c r="F38" s="9" t="s">
        <v>1216</v>
      </c>
      <c r="G38" s="8" t="s">
        <v>1217</v>
      </c>
      <c r="H38" s="9" t="s">
        <v>1228</v>
      </c>
      <c r="I38" s="8" t="n">
        <v>180</v>
      </c>
      <c r="J38" s="11" t="n">
        <v>46568</v>
      </c>
      <c r="K38" s="8" t="s">
        <v>1227</v>
      </c>
    </row>
    <row r="39" customFormat="false" ht="23.25" hidden="false" customHeight="true" outlineLevel="0" collapsed="false">
      <c r="A39" s="8" t="n">
        <v>35</v>
      </c>
      <c r="B39" s="9" t="s">
        <v>468</v>
      </c>
      <c r="C39" s="9" t="s">
        <v>1243</v>
      </c>
      <c r="D39" s="8" t="s">
        <v>425</v>
      </c>
      <c r="E39" s="8" t="s">
        <v>1215</v>
      </c>
      <c r="F39" s="9" t="s">
        <v>1216</v>
      </c>
      <c r="G39" s="8" t="s">
        <v>1217</v>
      </c>
      <c r="H39" s="9" t="s">
        <v>1244</v>
      </c>
      <c r="I39" s="8" t="n">
        <v>30</v>
      </c>
      <c r="J39" s="11" t="n">
        <v>46568</v>
      </c>
      <c r="K39" s="8" t="s">
        <v>1227</v>
      </c>
    </row>
    <row r="40" customFormat="false" ht="23.25" hidden="false" customHeight="true" outlineLevel="0" collapsed="false">
      <c r="A40" s="8" t="n">
        <v>36</v>
      </c>
      <c r="B40" s="9" t="s">
        <v>468</v>
      </c>
      <c r="C40" s="9" t="s">
        <v>1243</v>
      </c>
      <c r="D40" s="8" t="s">
        <v>425</v>
      </c>
      <c r="E40" s="8" t="s">
        <v>1215</v>
      </c>
      <c r="F40" s="9" t="s">
        <v>1216</v>
      </c>
      <c r="G40" s="8" t="s">
        <v>1217</v>
      </c>
      <c r="H40" s="9" t="s">
        <v>1223</v>
      </c>
      <c r="I40" s="8" t="n">
        <v>60</v>
      </c>
      <c r="J40" s="11" t="n">
        <v>46568</v>
      </c>
      <c r="K40" s="8" t="s">
        <v>1227</v>
      </c>
    </row>
    <row r="41" customFormat="false" ht="23.25" hidden="false" customHeight="true" outlineLevel="0" collapsed="false">
      <c r="A41" s="8" t="n">
        <v>37</v>
      </c>
      <c r="B41" s="9" t="s">
        <v>468</v>
      </c>
      <c r="C41" s="9" t="s">
        <v>1243</v>
      </c>
      <c r="D41" s="8" t="s">
        <v>425</v>
      </c>
      <c r="E41" s="8" t="s">
        <v>1215</v>
      </c>
      <c r="F41" s="9" t="s">
        <v>1242</v>
      </c>
      <c r="G41" s="8" t="s">
        <v>1240</v>
      </c>
      <c r="H41" s="9" t="s">
        <v>304</v>
      </c>
      <c r="I41" s="8" t="n">
        <v>240</v>
      </c>
      <c r="J41" s="11" t="n">
        <v>46203</v>
      </c>
      <c r="K41" s="8" t="s">
        <v>1233</v>
      </c>
    </row>
    <row r="42" customFormat="false" ht="23.25" hidden="false" customHeight="true" outlineLevel="0" collapsed="false">
      <c r="A42" s="8" t="n">
        <v>38</v>
      </c>
      <c r="B42" s="9" t="s">
        <v>468</v>
      </c>
      <c r="C42" s="9" t="s">
        <v>955</v>
      </c>
      <c r="D42" s="8" t="s">
        <v>425</v>
      </c>
      <c r="E42" s="8" t="s">
        <v>1215</v>
      </c>
      <c r="F42" s="9" t="s">
        <v>1242</v>
      </c>
      <c r="G42" s="8" t="s">
        <v>1240</v>
      </c>
      <c r="H42" s="9" t="s">
        <v>304</v>
      </c>
      <c r="I42" s="8" t="n">
        <v>540</v>
      </c>
      <c r="J42" s="11" t="n">
        <v>46203</v>
      </c>
      <c r="K42" s="8" t="s">
        <v>1233</v>
      </c>
    </row>
    <row r="43" customFormat="false" ht="23.25" hidden="false" customHeight="true" outlineLevel="0" collapsed="false">
      <c r="A43" s="8" t="n">
        <v>39</v>
      </c>
      <c r="B43" s="9" t="s">
        <v>468</v>
      </c>
      <c r="C43" s="9" t="s">
        <v>955</v>
      </c>
      <c r="D43" s="8" t="s">
        <v>425</v>
      </c>
      <c r="E43" s="8" t="s">
        <v>1215</v>
      </c>
      <c r="F43" s="9" t="s">
        <v>1242</v>
      </c>
      <c r="G43" s="8" t="s">
        <v>1240</v>
      </c>
      <c r="H43" s="9" t="s">
        <v>1245</v>
      </c>
      <c r="I43" s="8" t="n">
        <v>60</v>
      </c>
      <c r="J43" s="11" t="n">
        <v>46203</v>
      </c>
      <c r="K43" s="8" t="s">
        <v>1233</v>
      </c>
    </row>
    <row r="44" customFormat="false" ht="23.25" hidden="false" customHeight="true" outlineLevel="0" collapsed="false">
      <c r="A44" s="8" t="n">
        <v>40</v>
      </c>
      <c r="B44" s="9" t="s">
        <v>624</v>
      </c>
      <c r="C44" s="9" t="s">
        <v>1246</v>
      </c>
      <c r="D44" s="8" t="s">
        <v>606</v>
      </c>
      <c r="E44" s="8" t="s">
        <v>1247</v>
      </c>
      <c r="F44" s="9" t="s">
        <v>1216</v>
      </c>
      <c r="G44" s="8" t="s">
        <v>1217</v>
      </c>
      <c r="H44" s="9" t="s">
        <v>1248</v>
      </c>
      <c r="I44" s="8" t="n">
        <v>120</v>
      </c>
      <c r="J44" s="11" t="n">
        <v>45838</v>
      </c>
      <c r="K44" s="8" t="s">
        <v>848</v>
      </c>
    </row>
    <row r="45" customFormat="false" ht="23.25" hidden="false" customHeight="true" outlineLevel="0" collapsed="false">
      <c r="A45" s="8" t="n">
        <v>41</v>
      </c>
      <c r="B45" s="9" t="s">
        <v>624</v>
      </c>
      <c r="C45" s="9" t="s">
        <v>1246</v>
      </c>
      <c r="D45" s="8" t="s">
        <v>606</v>
      </c>
      <c r="E45" s="8" t="s">
        <v>1247</v>
      </c>
      <c r="F45" s="9" t="s">
        <v>1216</v>
      </c>
      <c r="G45" s="8" t="s">
        <v>1217</v>
      </c>
      <c r="H45" s="9" t="s">
        <v>1224</v>
      </c>
      <c r="I45" s="8" t="n">
        <v>60</v>
      </c>
      <c r="J45" s="11" t="n">
        <v>45838</v>
      </c>
      <c r="K45" s="8" t="s">
        <v>848</v>
      </c>
    </row>
    <row r="46" customFormat="false" ht="23.25" hidden="false" customHeight="true" outlineLevel="0" collapsed="false">
      <c r="A46" s="8" t="n">
        <v>42</v>
      </c>
      <c r="B46" s="9" t="s">
        <v>567</v>
      </c>
      <c r="C46" s="9" t="s">
        <v>1249</v>
      </c>
      <c r="D46" s="8" t="s">
        <v>557</v>
      </c>
      <c r="E46" s="8" t="s">
        <v>1215</v>
      </c>
      <c r="F46" s="9" t="s">
        <v>1216</v>
      </c>
      <c r="G46" s="8" t="s">
        <v>1217</v>
      </c>
      <c r="H46" s="9" t="s">
        <v>1228</v>
      </c>
      <c r="I46" s="8" t="n">
        <v>420</v>
      </c>
      <c r="J46" s="11" t="n">
        <v>45838</v>
      </c>
      <c r="K46" s="8" t="s">
        <v>848</v>
      </c>
    </row>
    <row r="47" customFormat="false" ht="23.25" hidden="false" customHeight="true" outlineLevel="0" collapsed="false">
      <c r="A47" s="8" t="n">
        <v>43</v>
      </c>
      <c r="B47" s="9" t="s">
        <v>567</v>
      </c>
      <c r="C47" s="9" t="s">
        <v>1249</v>
      </c>
      <c r="D47" s="8" t="s">
        <v>557</v>
      </c>
      <c r="E47" s="8" t="s">
        <v>1215</v>
      </c>
      <c r="F47" s="9" t="s">
        <v>1216</v>
      </c>
      <c r="G47" s="8" t="s">
        <v>1217</v>
      </c>
      <c r="H47" s="9" t="s">
        <v>1250</v>
      </c>
      <c r="I47" s="8" t="n">
        <v>120</v>
      </c>
      <c r="J47" s="11" t="n">
        <v>45838</v>
      </c>
      <c r="K47" s="8" t="s">
        <v>848</v>
      </c>
    </row>
    <row r="48" customFormat="false" ht="23.25" hidden="false" customHeight="true" outlineLevel="0" collapsed="false">
      <c r="A48" s="8" t="n">
        <v>44</v>
      </c>
      <c r="B48" s="9" t="s">
        <v>567</v>
      </c>
      <c r="C48" s="9" t="s">
        <v>1249</v>
      </c>
      <c r="D48" s="8" t="s">
        <v>557</v>
      </c>
      <c r="E48" s="8" t="s">
        <v>1215</v>
      </c>
      <c r="F48" s="9" t="s">
        <v>1216</v>
      </c>
      <c r="G48" s="8" t="s">
        <v>1217</v>
      </c>
      <c r="H48" s="9" t="s">
        <v>1251</v>
      </c>
      <c r="I48" s="8" t="n">
        <v>180</v>
      </c>
      <c r="J48" s="11" t="n">
        <v>46203</v>
      </c>
      <c r="K48" s="8" t="s">
        <v>1233</v>
      </c>
    </row>
    <row r="49" customFormat="false" ht="23.25" hidden="false" customHeight="true" outlineLevel="0" collapsed="false">
      <c r="A49" s="8" t="n">
        <v>45</v>
      </c>
      <c r="B49" s="9" t="s">
        <v>567</v>
      </c>
      <c r="C49" s="9" t="s">
        <v>1249</v>
      </c>
      <c r="D49" s="8" t="s">
        <v>557</v>
      </c>
      <c r="E49" s="8" t="s">
        <v>1215</v>
      </c>
      <c r="F49" s="9" t="s">
        <v>1242</v>
      </c>
      <c r="G49" s="8" t="s">
        <v>1240</v>
      </c>
      <c r="H49" s="9" t="s">
        <v>304</v>
      </c>
      <c r="I49" s="8" t="n">
        <v>720</v>
      </c>
      <c r="J49" s="11" t="n">
        <v>45839</v>
      </c>
      <c r="K49" s="8" t="s">
        <v>848</v>
      </c>
    </row>
    <row r="50" customFormat="false" ht="23.25" hidden="false" customHeight="true" outlineLevel="0" collapsed="false">
      <c r="A50" s="8" t="n">
        <v>46</v>
      </c>
      <c r="B50" s="9" t="s">
        <v>637</v>
      </c>
      <c r="C50" s="9" t="s">
        <v>1109</v>
      </c>
      <c r="D50" s="8" t="s">
        <v>636</v>
      </c>
      <c r="E50" s="8" t="s">
        <v>1215</v>
      </c>
      <c r="F50" s="9" t="s">
        <v>1216</v>
      </c>
      <c r="G50" s="8" t="s">
        <v>1217</v>
      </c>
      <c r="H50" s="9" t="s">
        <v>1252</v>
      </c>
      <c r="I50" s="8" t="n">
        <v>720</v>
      </c>
      <c r="J50" s="11" t="n">
        <v>45838</v>
      </c>
      <c r="K50" s="8" t="s">
        <v>848</v>
      </c>
    </row>
    <row r="51" customFormat="false" ht="23.25" hidden="false" customHeight="true" outlineLevel="0" collapsed="false">
      <c r="A51" s="8" t="n">
        <v>47</v>
      </c>
      <c r="B51" s="9" t="s">
        <v>637</v>
      </c>
      <c r="C51" s="9" t="s">
        <v>1109</v>
      </c>
      <c r="D51" s="8" t="s">
        <v>636</v>
      </c>
      <c r="E51" s="8" t="s">
        <v>1215</v>
      </c>
      <c r="F51" s="9" t="s">
        <v>1216</v>
      </c>
      <c r="G51" s="8" t="s">
        <v>1217</v>
      </c>
      <c r="H51" s="9" t="s">
        <v>1224</v>
      </c>
      <c r="I51" s="8" t="n">
        <v>30</v>
      </c>
      <c r="J51" s="11" t="n">
        <v>45838</v>
      </c>
      <c r="K51" s="8" t="s">
        <v>848</v>
      </c>
    </row>
    <row r="52" customFormat="false" ht="23.25" hidden="false" customHeight="true" outlineLevel="0" collapsed="false">
      <c r="A52" s="8" t="n">
        <v>48</v>
      </c>
      <c r="B52" s="9" t="s">
        <v>637</v>
      </c>
      <c r="C52" s="9" t="s">
        <v>1109</v>
      </c>
      <c r="D52" s="8" t="s">
        <v>636</v>
      </c>
      <c r="E52" s="8" t="s">
        <v>1215</v>
      </c>
      <c r="F52" s="9" t="s">
        <v>1216</v>
      </c>
      <c r="G52" s="8" t="s">
        <v>1217</v>
      </c>
      <c r="H52" s="9" t="s">
        <v>1226</v>
      </c>
      <c r="I52" s="8" t="n">
        <v>60</v>
      </c>
      <c r="J52" s="11" t="n">
        <v>45838</v>
      </c>
      <c r="K52" s="8" t="s">
        <v>848</v>
      </c>
    </row>
    <row r="53" customFormat="false" ht="23.25" hidden="false" customHeight="true" outlineLevel="0" collapsed="false">
      <c r="A53" s="8" t="n">
        <v>49</v>
      </c>
      <c r="B53" s="9" t="s">
        <v>637</v>
      </c>
      <c r="C53" s="9" t="s">
        <v>1109</v>
      </c>
      <c r="D53" s="8" t="s">
        <v>636</v>
      </c>
      <c r="E53" s="8" t="s">
        <v>1215</v>
      </c>
      <c r="F53" s="9" t="s">
        <v>1216</v>
      </c>
      <c r="G53" s="8" t="s">
        <v>1217</v>
      </c>
      <c r="H53" s="9" t="s">
        <v>1250</v>
      </c>
      <c r="I53" s="8" t="n">
        <v>120</v>
      </c>
      <c r="J53" s="11" t="n">
        <v>45838</v>
      </c>
      <c r="K53" s="8" t="s">
        <v>848</v>
      </c>
    </row>
    <row r="54" customFormat="false" ht="23.25" hidden="false" customHeight="true" outlineLevel="0" collapsed="false">
      <c r="A54" s="8" t="n">
        <v>50</v>
      </c>
      <c r="B54" s="9" t="s">
        <v>637</v>
      </c>
      <c r="C54" s="9" t="s">
        <v>1109</v>
      </c>
      <c r="D54" s="8" t="s">
        <v>636</v>
      </c>
      <c r="E54" s="8" t="s">
        <v>1215</v>
      </c>
      <c r="F54" s="9" t="s">
        <v>1216</v>
      </c>
      <c r="G54" s="8" t="s">
        <v>1217</v>
      </c>
      <c r="H54" s="9" t="s">
        <v>1219</v>
      </c>
      <c r="I54" s="8" t="n">
        <v>30</v>
      </c>
      <c r="J54" s="11" t="n">
        <v>45838</v>
      </c>
      <c r="K54" s="8" t="s">
        <v>848</v>
      </c>
    </row>
    <row r="55" customFormat="false" ht="23.25" hidden="false" customHeight="true" outlineLevel="0" collapsed="false">
      <c r="A55" s="8" t="n">
        <v>51</v>
      </c>
      <c r="B55" s="9" t="s">
        <v>637</v>
      </c>
      <c r="C55" s="9" t="s">
        <v>1109</v>
      </c>
      <c r="D55" s="8" t="s">
        <v>636</v>
      </c>
      <c r="E55" s="8" t="s">
        <v>1215</v>
      </c>
      <c r="F55" s="9" t="s">
        <v>1242</v>
      </c>
      <c r="G55" s="8" t="s">
        <v>1240</v>
      </c>
      <c r="H55" s="9" t="s">
        <v>304</v>
      </c>
      <c r="I55" s="8" t="n">
        <v>360</v>
      </c>
      <c r="J55" s="11" t="n">
        <v>45838</v>
      </c>
      <c r="K55" s="8" t="s">
        <v>848</v>
      </c>
    </row>
    <row r="56" customFormat="false" ht="23.25" hidden="false" customHeight="true" outlineLevel="0" collapsed="false">
      <c r="A56" s="8" t="n">
        <v>52</v>
      </c>
      <c r="B56" s="9" t="s">
        <v>403</v>
      </c>
      <c r="C56" s="9" t="s">
        <v>1253</v>
      </c>
      <c r="D56" s="8" t="s">
        <v>402</v>
      </c>
      <c r="E56" s="8" t="s">
        <v>1230</v>
      </c>
      <c r="F56" s="9" t="s">
        <v>1216</v>
      </c>
      <c r="G56" s="8" t="s">
        <v>1217</v>
      </c>
      <c r="H56" s="9" t="s">
        <v>1226</v>
      </c>
      <c r="I56" s="8" t="n">
        <v>60</v>
      </c>
      <c r="J56" s="11" t="n">
        <v>45838</v>
      </c>
      <c r="K56" s="8" t="s">
        <v>848</v>
      </c>
    </row>
    <row r="57" customFormat="false" ht="23.25" hidden="false" customHeight="true" outlineLevel="0" collapsed="false">
      <c r="A57" s="8" t="n">
        <v>53</v>
      </c>
      <c r="B57" s="9" t="s">
        <v>403</v>
      </c>
      <c r="C57" s="9" t="s">
        <v>1253</v>
      </c>
      <c r="D57" s="8" t="s">
        <v>402</v>
      </c>
      <c r="E57" s="8" t="s">
        <v>1230</v>
      </c>
      <c r="F57" s="9" t="s">
        <v>1216</v>
      </c>
      <c r="G57" s="8" t="s">
        <v>1217</v>
      </c>
      <c r="H57" s="9" t="s">
        <v>1224</v>
      </c>
      <c r="I57" s="8" t="n">
        <v>60</v>
      </c>
      <c r="J57" s="11" t="n">
        <v>45838</v>
      </c>
      <c r="K57" s="8" t="s">
        <v>848</v>
      </c>
    </row>
    <row r="58" customFormat="false" ht="23.25" hidden="false" customHeight="true" outlineLevel="0" collapsed="false">
      <c r="A58" s="8" t="n">
        <v>54</v>
      </c>
      <c r="B58" s="9" t="s">
        <v>403</v>
      </c>
      <c r="C58" s="9" t="s">
        <v>1253</v>
      </c>
      <c r="D58" s="8" t="s">
        <v>402</v>
      </c>
      <c r="E58" s="8" t="s">
        <v>1230</v>
      </c>
      <c r="F58" s="9" t="s">
        <v>1216</v>
      </c>
      <c r="G58" s="8" t="s">
        <v>1217</v>
      </c>
      <c r="H58" s="9" t="s">
        <v>1228</v>
      </c>
      <c r="I58" s="8" t="n">
        <v>120</v>
      </c>
      <c r="J58" s="11" t="n">
        <v>45838</v>
      </c>
      <c r="K58" s="8" t="s">
        <v>848</v>
      </c>
    </row>
    <row r="59" customFormat="false" ht="23.25" hidden="false" customHeight="true" outlineLevel="0" collapsed="false">
      <c r="A59" s="8" t="n">
        <v>55</v>
      </c>
      <c r="B59" s="9" t="s">
        <v>403</v>
      </c>
      <c r="C59" s="9" t="s">
        <v>1253</v>
      </c>
      <c r="D59" s="8" t="s">
        <v>402</v>
      </c>
      <c r="E59" s="8" t="s">
        <v>1230</v>
      </c>
      <c r="F59" s="9" t="s">
        <v>1216</v>
      </c>
      <c r="G59" s="8" t="s">
        <v>1217</v>
      </c>
      <c r="H59" s="9" t="s">
        <v>1251</v>
      </c>
      <c r="I59" s="8" t="n">
        <v>60</v>
      </c>
      <c r="J59" s="11" t="n">
        <v>45838</v>
      </c>
      <c r="K59" s="8" t="s">
        <v>848</v>
      </c>
    </row>
    <row r="60" customFormat="false" ht="23.25" hidden="false" customHeight="true" outlineLevel="0" collapsed="false">
      <c r="A60" s="8" t="n">
        <v>56</v>
      </c>
      <c r="B60" s="9" t="s">
        <v>403</v>
      </c>
      <c r="C60" s="9" t="s">
        <v>1253</v>
      </c>
      <c r="D60" s="8" t="s">
        <v>402</v>
      </c>
      <c r="E60" s="8" t="s">
        <v>1230</v>
      </c>
      <c r="F60" s="9" t="s">
        <v>1216</v>
      </c>
      <c r="G60" s="8" t="s">
        <v>1240</v>
      </c>
      <c r="H60" s="9" t="s">
        <v>1226</v>
      </c>
      <c r="I60" s="8" t="n">
        <v>20</v>
      </c>
      <c r="J60" s="11" t="n">
        <v>45838</v>
      </c>
      <c r="K60" s="8" t="s">
        <v>848</v>
      </c>
    </row>
    <row r="61" customFormat="false" ht="23.25" hidden="false" customHeight="true" outlineLevel="0" collapsed="false">
      <c r="A61" s="8" t="n">
        <v>57</v>
      </c>
      <c r="B61" s="9" t="s">
        <v>403</v>
      </c>
      <c r="C61" s="9" t="s">
        <v>1253</v>
      </c>
      <c r="D61" s="8" t="s">
        <v>402</v>
      </c>
      <c r="E61" s="8" t="s">
        <v>1230</v>
      </c>
      <c r="F61" s="9" t="s">
        <v>1242</v>
      </c>
      <c r="G61" s="8" t="s">
        <v>1240</v>
      </c>
      <c r="H61" s="9" t="s">
        <v>304</v>
      </c>
      <c r="I61" s="8" t="n">
        <v>270</v>
      </c>
      <c r="J61" s="11" t="n">
        <v>45838</v>
      </c>
      <c r="K61" s="8" t="s">
        <v>848</v>
      </c>
    </row>
    <row r="62" customFormat="false" ht="23.25" hidden="false" customHeight="true" outlineLevel="0" collapsed="false">
      <c r="A62" s="8" t="n">
        <v>58</v>
      </c>
      <c r="B62" s="9" t="s">
        <v>593</v>
      </c>
      <c r="C62" s="9" t="s">
        <v>1062</v>
      </c>
      <c r="D62" s="8" t="s">
        <v>557</v>
      </c>
      <c r="E62" s="8" t="s">
        <v>1215</v>
      </c>
      <c r="F62" s="9" t="s">
        <v>1216</v>
      </c>
      <c r="G62" s="8" t="s">
        <v>1217</v>
      </c>
      <c r="H62" s="9" t="s">
        <v>1254</v>
      </c>
      <c r="I62" s="8" t="n">
        <v>180</v>
      </c>
      <c r="J62" s="11" t="n">
        <v>45838</v>
      </c>
      <c r="K62" s="8" t="s">
        <v>848</v>
      </c>
    </row>
    <row r="63" customFormat="false" ht="23.25" hidden="false" customHeight="true" outlineLevel="0" collapsed="false">
      <c r="A63" s="8" t="n">
        <v>59</v>
      </c>
      <c r="B63" s="9" t="s">
        <v>593</v>
      </c>
      <c r="C63" s="9" t="s">
        <v>1062</v>
      </c>
      <c r="D63" s="8" t="s">
        <v>557</v>
      </c>
      <c r="E63" s="8" t="s">
        <v>1215</v>
      </c>
      <c r="F63" s="9" t="s">
        <v>1216</v>
      </c>
      <c r="G63" s="8" t="s">
        <v>1217</v>
      </c>
      <c r="H63" s="9" t="s">
        <v>1220</v>
      </c>
      <c r="I63" s="8" t="n">
        <v>180</v>
      </c>
      <c r="J63" s="11" t="n">
        <v>45838</v>
      </c>
      <c r="K63" s="8" t="s">
        <v>848</v>
      </c>
    </row>
    <row r="64" customFormat="false" ht="23.25" hidden="false" customHeight="true" outlineLevel="0" collapsed="false">
      <c r="A64" s="8" t="n">
        <v>60</v>
      </c>
      <c r="B64" s="9" t="s">
        <v>593</v>
      </c>
      <c r="C64" s="9" t="s">
        <v>1062</v>
      </c>
      <c r="D64" s="8" t="s">
        <v>557</v>
      </c>
      <c r="E64" s="8" t="s">
        <v>1215</v>
      </c>
      <c r="F64" s="9" t="s">
        <v>1216</v>
      </c>
      <c r="G64" s="8" t="s">
        <v>1217</v>
      </c>
      <c r="H64" s="9" t="s">
        <v>1255</v>
      </c>
      <c r="I64" s="8" t="n">
        <v>30</v>
      </c>
      <c r="J64" s="11" t="n">
        <v>45838</v>
      </c>
      <c r="K64" s="8" t="s">
        <v>848</v>
      </c>
    </row>
    <row r="65" customFormat="false" ht="23.25" hidden="false" customHeight="true" outlineLevel="0" collapsed="false">
      <c r="A65" s="8" t="n">
        <v>61</v>
      </c>
      <c r="B65" s="9" t="s">
        <v>593</v>
      </c>
      <c r="C65" s="9" t="s">
        <v>1062</v>
      </c>
      <c r="D65" s="8" t="s">
        <v>557</v>
      </c>
      <c r="E65" s="8" t="s">
        <v>1215</v>
      </c>
      <c r="F65" s="9" t="s">
        <v>1216</v>
      </c>
      <c r="G65" s="8" t="s">
        <v>1217</v>
      </c>
      <c r="H65" s="9" t="s">
        <v>1228</v>
      </c>
      <c r="I65" s="8" t="n">
        <v>360</v>
      </c>
      <c r="J65" s="11" t="n">
        <v>45838</v>
      </c>
      <c r="K65" s="8" t="s">
        <v>848</v>
      </c>
    </row>
    <row r="66" customFormat="false" ht="23.25" hidden="false" customHeight="true" outlineLevel="0" collapsed="false">
      <c r="A66" s="8" t="n">
        <v>62</v>
      </c>
      <c r="B66" s="9" t="s">
        <v>593</v>
      </c>
      <c r="C66" s="9" t="s">
        <v>1062</v>
      </c>
      <c r="D66" s="8" t="s">
        <v>557</v>
      </c>
      <c r="E66" s="8" t="s">
        <v>1215</v>
      </c>
      <c r="F66" s="9" t="s">
        <v>1216</v>
      </c>
      <c r="G66" s="8" t="s">
        <v>1217</v>
      </c>
      <c r="H66" s="9" t="s">
        <v>1251</v>
      </c>
      <c r="I66" s="8" t="n">
        <v>120</v>
      </c>
      <c r="J66" s="11" t="n">
        <v>45838</v>
      </c>
      <c r="K66" s="8" t="s">
        <v>848</v>
      </c>
    </row>
    <row r="67" customFormat="false" ht="23.25" hidden="false" customHeight="true" outlineLevel="0" collapsed="false">
      <c r="A67" s="8" t="n">
        <v>63</v>
      </c>
      <c r="B67" s="9" t="s">
        <v>593</v>
      </c>
      <c r="C67" s="9" t="s">
        <v>1062</v>
      </c>
      <c r="D67" s="8" t="s">
        <v>557</v>
      </c>
      <c r="E67" s="8" t="s">
        <v>1215</v>
      </c>
      <c r="F67" s="9" t="s">
        <v>1216</v>
      </c>
      <c r="G67" s="8" t="s">
        <v>1217</v>
      </c>
      <c r="H67" s="9" t="s">
        <v>1221</v>
      </c>
      <c r="I67" s="8" t="n">
        <v>30</v>
      </c>
      <c r="J67" s="11" t="n">
        <v>45838</v>
      </c>
      <c r="K67" s="8" t="s">
        <v>848</v>
      </c>
    </row>
    <row r="68" customFormat="false" ht="23.25" hidden="false" customHeight="true" outlineLevel="0" collapsed="false">
      <c r="A68" s="8" t="n">
        <v>64</v>
      </c>
      <c r="B68" s="9" t="s">
        <v>593</v>
      </c>
      <c r="C68" s="9" t="s">
        <v>1062</v>
      </c>
      <c r="D68" s="8" t="s">
        <v>557</v>
      </c>
      <c r="E68" s="8" t="s">
        <v>1215</v>
      </c>
      <c r="F68" s="9" t="s">
        <v>1216</v>
      </c>
      <c r="G68" s="8" t="s">
        <v>1217</v>
      </c>
      <c r="H68" s="9" t="s">
        <v>1223</v>
      </c>
      <c r="I68" s="8" t="n">
        <v>150</v>
      </c>
      <c r="J68" s="11" t="n">
        <v>45838</v>
      </c>
      <c r="K68" s="8" t="s">
        <v>848</v>
      </c>
    </row>
    <row r="69" customFormat="false" ht="23.25" hidden="false" customHeight="true" outlineLevel="0" collapsed="false">
      <c r="A69" s="8" t="n">
        <v>65</v>
      </c>
      <c r="B69" s="9" t="s">
        <v>355</v>
      </c>
      <c r="C69" s="9" t="s">
        <v>1256</v>
      </c>
      <c r="D69" s="8" t="s">
        <v>350</v>
      </c>
      <c r="E69" s="8" t="s">
        <v>338</v>
      </c>
      <c r="F69" s="9" t="s">
        <v>1216</v>
      </c>
      <c r="G69" s="8" t="s">
        <v>1217</v>
      </c>
      <c r="H69" s="9" t="s">
        <v>1238</v>
      </c>
      <c r="I69" s="8" t="n">
        <v>90</v>
      </c>
      <c r="J69" s="11" t="n">
        <v>45838</v>
      </c>
      <c r="K69" s="8" t="s">
        <v>848</v>
      </c>
    </row>
    <row r="70" customFormat="false" ht="23.25" hidden="false" customHeight="true" outlineLevel="0" collapsed="false">
      <c r="A70" s="8" t="n">
        <v>66</v>
      </c>
      <c r="B70" s="9" t="s">
        <v>355</v>
      </c>
      <c r="C70" s="9" t="s">
        <v>1256</v>
      </c>
      <c r="D70" s="8" t="s">
        <v>350</v>
      </c>
      <c r="E70" s="8" t="s">
        <v>338</v>
      </c>
      <c r="F70" s="9" t="s">
        <v>1216</v>
      </c>
      <c r="G70" s="8" t="s">
        <v>1217</v>
      </c>
      <c r="H70" s="9" t="s">
        <v>1219</v>
      </c>
      <c r="I70" s="8" t="n">
        <v>140</v>
      </c>
      <c r="J70" s="11" t="n">
        <v>45838</v>
      </c>
      <c r="K70" s="8" t="s">
        <v>848</v>
      </c>
    </row>
    <row r="71" customFormat="false" ht="23.25" hidden="false" customHeight="true" outlineLevel="0" collapsed="false">
      <c r="A71" s="8" t="n">
        <v>67</v>
      </c>
      <c r="B71" s="9" t="s">
        <v>355</v>
      </c>
      <c r="C71" s="9" t="s">
        <v>1256</v>
      </c>
      <c r="D71" s="8" t="s">
        <v>350</v>
      </c>
      <c r="E71" s="8" t="s">
        <v>338</v>
      </c>
      <c r="F71" s="9" t="s">
        <v>1216</v>
      </c>
      <c r="G71" s="8" t="s">
        <v>1217</v>
      </c>
      <c r="H71" s="9" t="s">
        <v>1224</v>
      </c>
      <c r="I71" s="8" t="n">
        <v>140</v>
      </c>
      <c r="J71" s="11" t="n">
        <v>45838</v>
      </c>
      <c r="K71" s="8" t="s">
        <v>848</v>
      </c>
    </row>
    <row r="72" customFormat="false" ht="23.25" hidden="false" customHeight="true" outlineLevel="0" collapsed="false">
      <c r="A72" s="8" t="n">
        <v>68</v>
      </c>
      <c r="B72" s="9" t="s">
        <v>355</v>
      </c>
      <c r="C72" s="9" t="s">
        <v>1256</v>
      </c>
      <c r="D72" s="8" t="s">
        <v>350</v>
      </c>
      <c r="E72" s="8" t="s">
        <v>338</v>
      </c>
      <c r="F72" s="9" t="s">
        <v>1216</v>
      </c>
      <c r="G72" s="8" t="s">
        <v>1217</v>
      </c>
      <c r="H72" s="9" t="s">
        <v>1248</v>
      </c>
      <c r="I72" s="8" t="n">
        <v>90</v>
      </c>
      <c r="J72" s="11" t="n">
        <v>45838</v>
      </c>
      <c r="K72" s="8" t="s">
        <v>848</v>
      </c>
    </row>
    <row r="73" customFormat="false" ht="23.25" hidden="false" customHeight="true" outlineLevel="0" collapsed="false">
      <c r="A73" s="8" t="n">
        <v>69</v>
      </c>
      <c r="B73" s="9" t="s">
        <v>355</v>
      </c>
      <c r="C73" s="9" t="s">
        <v>1256</v>
      </c>
      <c r="D73" s="8" t="s">
        <v>350</v>
      </c>
      <c r="E73" s="8" t="s">
        <v>338</v>
      </c>
      <c r="F73" s="9" t="s">
        <v>1216</v>
      </c>
      <c r="G73" s="8" t="s">
        <v>1217</v>
      </c>
      <c r="H73" s="9" t="s">
        <v>1226</v>
      </c>
      <c r="I73" s="8" t="n">
        <v>90</v>
      </c>
      <c r="J73" s="11" t="n">
        <v>45838</v>
      </c>
      <c r="K73" s="8" t="s">
        <v>848</v>
      </c>
    </row>
    <row r="74" customFormat="false" ht="23.25" hidden="false" customHeight="true" outlineLevel="0" collapsed="false">
      <c r="A74" s="8" t="n">
        <v>70</v>
      </c>
      <c r="B74" s="9" t="s">
        <v>355</v>
      </c>
      <c r="C74" s="9" t="s">
        <v>1256</v>
      </c>
      <c r="D74" s="8" t="s">
        <v>350</v>
      </c>
      <c r="E74" s="8" t="s">
        <v>338</v>
      </c>
      <c r="F74" s="9" t="s">
        <v>1216</v>
      </c>
      <c r="G74" s="8" t="s">
        <v>1240</v>
      </c>
      <c r="H74" s="9" t="s">
        <v>1257</v>
      </c>
      <c r="I74" s="8" t="n">
        <v>15</v>
      </c>
      <c r="J74" s="11" t="n">
        <v>46203</v>
      </c>
      <c r="K74" s="8" t="s">
        <v>1233</v>
      </c>
    </row>
    <row r="75" customFormat="false" ht="23.25" hidden="false" customHeight="true" outlineLevel="0" collapsed="false">
      <c r="A75" s="8" t="n">
        <v>71</v>
      </c>
      <c r="B75" s="9" t="s">
        <v>355</v>
      </c>
      <c r="C75" s="9" t="s">
        <v>1256</v>
      </c>
      <c r="D75" s="8" t="s">
        <v>350</v>
      </c>
      <c r="E75" s="8" t="s">
        <v>338</v>
      </c>
      <c r="F75" s="9" t="s">
        <v>1216</v>
      </c>
      <c r="G75" s="8" t="s">
        <v>1240</v>
      </c>
      <c r="H75" s="9" t="s">
        <v>1258</v>
      </c>
      <c r="I75" s="8" t="n">
        <v>18</v>
      </c>
      <c r="J75" s="11" t="n">
        <v>46203</v>
      </c>
      <c r="K75" s="8" t="s">
        <v>1233</v>
      </c>
    </row>
    <row r="76" customFormat="false" ht="23.25" hidden="false" customHeight="true" outlineLevel="0" collapsed="false">
      <c r="A76" s="8" t="n">
        <v>72</v>
      </c>
      <c r="B76" s="9" t="s">
        <v>684</v>
      </c>
      <c r="C76" s="9" t="s">
        <v>1103</v>
      </c>
      <c r="D76" s="8" t="s">
        <v>606</v>
      </c>
      <c r="E76" s="8" t="s">
        <v>1215</v>
      </c>
      <c r="F76" s="9" t="s">
        <v>1216</v>
      </c>
      <c r="G76" s="8" t="s">
        <v>1217</v>
      </c>
      <c r="H76" s="9" t="s">
        <v>1252</v>
      </c>
      <c r="I76" s="8" t="n">
        <v>840</v>
      </c>
      <c r="J76" s="11" t="n">
        <v>46568</v>
      </c>
      <c r="K76" s="8" t="s">
        <v>1227</v>
      </c>
    </row>
    <row r="77" customFormat="false" ht="23.25" hidden="false" customHeight="true" outlineLevel="0" collapsed="false">
      <c r="A77" s="8" t="n">
        <v>73</v>
      </c>
      <c r="B77" s="9" t="s">
        <v>684</v>
      </c>
      <c r="C77" s="9" t="s">
        <v>1103</v>
      </c>
      <c r="D77" s="8" t="s">
        <v>606</v>
      </c>
      <c r="E77" s="8" t="s">
        <v>1215</v>
      </c>
      <c r="F77" s="9" t="s">
        <v>1216</v>
      </c>
      <c r="G77" s="8" t="s">
        <v>1217</v>
      </c>
      <c r="H77" s="9" t="s">
        <v>1251</v>
      </c>
      <c r="I77" s="8" t="n">
        <v>120</v>
      </c>
      <c r="J77" s="11" t="n">
        <v>46568</v>
      </c>
      <c r="K77" s="8" t="s">
        <v>1227</v>
      </c>
    </row>
    <row r="78" customFormat="false" ht="23.25" hidden="false" customHeight="true" outlineLevel="0" collapsed="false">
      <c r="A78" s="8" t="n">
        <v>74</v>
      </c>
      <c r="B78" s="9" t="s">
        <v>684</v>
      </c>
      <c r="C78" s="9" t="s">
        <v>1103</v>
      </c>
      <c r="D78" s="8" t="s">
        <v>606</v>
      </c>
      <c r="E78" s="8" t="s">
        <v>1215</v>
      </c>
      <c r="F78" s="9" t="s">
        <v>1216</v>
      </c>
      <c r="G78" s="8" t="s">
        <v>1217</v>
      </c>
      <c r="H78" s="9" t="s">
        <v>1229</v>
      </c>
      <c r="I78" s="8" t="n">
        <v>240</v>
      </c>
      <c r="J78" s="11" t="n">
        <v>46568</v>
      </c>
      <c r="K78" s="8" t="s">
        <v>1227</v>
      </c>
    </row>
    <row r="79" customFormat="false" ht="23.25" hidden="false" customHeight="true" outlineLevel="0" collapsed="false">
      <c r="A79" s="8" t="n">
        <v>75</v>
      </c>
      <c r="B79" s="9" t="s">
        <v>684</v>
      </c>
      <c r="C79" s="9" t="s">
        <v>1103</v>
      </c>
      <c r="D79" s="8" t="s">
        <v>606</v>
      </c>
      <c r="E79" s="8" t="s">
        <v>1215</v>
      </c>
      <c r="F79" s="9" t="s">
        <v>1216</v>
      </c>
      <c r="G79" s="8" t="s">
        <v>1217</v>
      </c>
      <c r="H79" s="9" t="s">
        <v>1250</v>
      </c>
      <c r="I79" s="8" t="n">
        <v>60</v>
      </c>
      <c r="J79" s="11" t="n">
        <v>46568</v>
      </c>
      <c r="K79" s="8" t="s">
        <v>1227</v>
      </c>
    </row>
    <row r="80" customFormat="false" ht="23.25" hidden="false" customHeight="true" outlineLevel="0" collapsed="false">
      <c r="A80" s="8" t="n">
        <v>76</v>
      </c>
      <c r="B80" s="9" t="s">
        <v>577</v>
      </c>
      <c r="C80" s="9" t="s">
        <v>1064</v>
      </c>
      <c r="D80" s="8" t="s">
        <v>557</v>
      </c>
      <c r="E80" s="8" t="s">
        <v>1215</v>
      </c>
      <c r="F80" s="9" t="s">
        <v>1216</v>
      </c>
      <c r="G80" s="8" t="s">
        <v>1217</v>
      </c>
      <c r="H80" s="9" t="s">
        <v>1250</v>
      </c>
      <c r="I80" s="8" t="n">
        <v>60</v>
      </c>
      <c r="J80" s="11" t="n">
        <v>45838</v>
      </c>
      <c r="K80" s="8" t="s">
        <v>848</v>
      </c>
    </row>
    <row r="81" customFormat="false" ht="23.25" hidden="false" customHeight="true" outlineLevel="0" collapsed="false">
      <c r="A81" s="8" t="n">
        <v>77</v>
      </c>
      <c r="B81" s="9" t="s">
        <v>577</v>
      </c>
      <c r="C81" s="9" t="s">
        <v>1064</v>
      </c>
      <c r="D81" s="8" t="s">
        <v>557</v>
      </c>
      <c r="E81" s="8" t="s">
        <v>1215</v>
      </c>
      <c r="F81" s="9" t="s">
        <v>1216</v>
      </c>
      <c r="G81" s="8" t="s">
        <v>1240</v>
      </c>
      <c r="H81" s="9" t="s">
        <v>1250</v>
      </c>
      <c r="I81" s="8" t="n">
        <v>12</v>
      </c>
      <c r="J81" s="11" t="n">
        <v>45838</v>
      </c>
      <c r="K81" s="8" t="s">
        <v>848</v>
      </c>
    </row>
    <row r="82" customFormat="false" ht="23.25" hidden="false" customHeight="true" outlineLevel="0" collapsed="false">
      <c r="A82" s="8" t="n">
        <v>78</v>
      </c>
      <c r="B82" s="9" t="s">
        <v>577</v>
      </c>
      <c r="C82" s="9" t="s">
        <v>1064</v>
      </c>
      <c r="D82" s="8" t="s">
        <v>557</v>
      </c>
      <c r="E82" s="8" t="s">
        <v>1215</v>
      </c>
      <c r="F82" s="9" t="s">
        <v>1216</v>
      </c>
      <c r="G82" s="8" t="s">
        <v>1217</v>
      </c>
      <c r="H82" s="9" t="s">
        <v>1251</v>
      </c>
      <c r="I82" s="8" t="n">
        <v>60</v>
      </c>
      <c r="J82" s="11" t="n">
        <v>46203</v>
      </c>
      <c r="K82" s="8" t="s">
        <v>1233</v>
      </c>
    </row>
    <row r="83" customFormat="false" ht="23.25" hidden="false" customHeight="true" outlineLevel="0" collapsed="false">
      <c r="A83" s="8" t="n">
        <v>79</v>
      </c>
      <c r="B83" s="9" t="s">
        <v>577</v>
      </c>
      <c r="C83" s="9" t="s">
        <v>1064</v>
      </c>
      <c r="D83" s="8" t="s">
        <v>557</v>
      </c>
      <c r="E83" s="8" t="s">
        <v>1215</v>
      </c>
      <c r="F83" s="9" t="s">
        <v>1216</v>
      </c>
      <c r="G83" s="8" t="s">
        <v>1240</v>
      </c>
      <c r="H83" s="9" t="s">
        <v>1259</v>
      </c>
      <c r="I83" s="8" t="n">
        <v>12</v>
      </c>
      <c r="J83" s="11" t="n">
        <v>46203</v>
      </c>
      <c r="K83" s="8" t="s">
        <v>1233</v>
      </c>
    </row>
    <row r="84" customFormat="false" ht="23.25" hidden="false" customHeight="true" outlineLevel="0" collapsed="false">
      <c r="A84" s="8" t="n">
        <v>80</v>
      </c>
      <c r="B84" s="9" t="s">
        <v>577</v>
      </c>
      <c r="C84" s="9" t="s">
        <v>1064</v>
      </c>
      <c r="D84" s="8" t="s">
        <v>557</v>
      </c>
      <c r="E84" s="8" t="s">
        <v>1215</v>
      </c>
      <c r="F84" s="9" t="s">
        <v>1216</v>
      </c>
      <c r="G84" s="8" t="s">
        <v>1240</v>
      </c>
      <c r="H84" s="9" t="s">
        <v>1260</v>
      </c>
      <c r="I84" s="8" t="n">
        <v>12</v>
      </c>
      <c r="J84" s="11" t="n">
        <v>46203</v>
      </c>
      <c r="K84" s="8" t="s">
        <v>1233</v>
      </c>
    </row>
    <row r="85" customFormat="false" ht="23.25" hidden="false" customHeight="true" outlineLevel="0" collapsed="false">
      <c r="A85" s="8" t="n">
        <v>81</v>
      </c>
      <c r="B85" s="9" t="s">
        <v>577</v>
      </c>
      <c r="C85" s="9" t="s">
        <v>1064</v>
      </c>
      <c r="D85" s="8" t="s">
        <v>557</v>
      </c>
      <c r="E85" s="8" t="s">
        <v>1215</v>
      </c>
      <c r="F85" s="9" t="s">
        <v>1216</v>
      </c>
      <c r="G85" s="8" t="s">
        <v>1217</v>
      </c>
      <c r="H85" s="9" t="s">
        <v>1228</v>
      </c>
      <c r="I85" s="8" t="n">
        <v>2100</v>
      </c>
      <c r="J85" s="11" t="n">
        <v>46934</v>
      </c>
      <c r="K85" s="8" t="s">
        <v>1227</v>
      </c>
    </row>
    <row r="86" customFormat="false" ht="23.25" hidden="false" customHeight="true" outlineLevel="0" collapsed="false">
      <c r="A86" s="8" t="n">
        <v>82</v>
      </c>
      <c r="B86" s="9" t="s">
        <v>577</v>
      </c>
      <c r="C86" s="9" t="s">
        <v>1064</v>
      </c>
      <c r="D86" s="8" t="s">
        <v>557</v>
      </c>
      <c r="E86" s="8" t="s">
        <v>1215</v>
      </c>
      <c r="F86" s="9" t="s">
        <v>1216</v>
      </c>
      <c r="G86" s="8" t="s">
        <v>1217</v>
      </c>
      <c r="H86" s="9" t="s">
        <v>1223</v>
      </c>
      <c r="I86" s="8" t="n">
        <v>276</v>
      </c>
      <c r="J86" s="11" t="n">
        <v>46934</v>
      </c>
      <c r="K86" s="8" t="s">
        <v>1227</v>
      </c>
    </row>
    <row r="87" customFormat="false" ht="23.25" hidden="false" customHeight="true" outlineLevel="0" collapsed="false">
      <c r="A87" s="8" t="n">
        <v>83</v>
      </c>
      <c r="B87" s="9" t="s">
        <v>577</v>
      </c>
      <c r="C87" s="9" t="s">
        <v>1064</v>
      </c>
      <c r="D87" s="8" t="s">
        <v>557</v>
      </c>
      <c r="E87" s="8" t="s">
        <v>1215</v>
      </c>
      <c r="F87" s="9" t="s">
        <v>1216</v>
      </c>
      <c r="G87" s="8" t="s">
        <v>1217</v>
      </c>
      <c r="H87" s="9" t="s">
        <v>1261</v>
      </c>
      <c r="I87" s="8" t="n">
        <v>60</v>
      </c>
      <c r="J87" s="11" t="n">
        <v>47299</v>
      </c>
      <c r="K87" s="8" t="s">
        <v>1227</v>
      </c>
    </row>
    <row r="88" customFormat="false" ht="23.25" hidden="false" customHeight="true" outlineLevel="0" collapsed="false">
      <c r="A88" s="8" t="n">
        <v>84</v>
      </c>
      <c r="B88" s="9" t="s">
        <v>523</v>
      </c>
      <c r="C88" s="9" t="s">
        <v>1033</v>
      </c>
      <c r="D88" s="8" t="s">
        <v>522</v>
      </c>
      <c r="E88" s="8" t="s">
        <v>1215</v>
      </c>
      <c r="F88" s="9" t="s">
        <v>1216</v>
      </c>
      <c r="G88" s="8" t="s">
        <v>1217</v>
      </c>
      <c r="H88" s="9" t="s">
        <v>1262</v>
      </c>
      <c r="I88" s="8" t="n">
        <v>60</v>
      </c>
      <c r="J88" s="11" t="n">
        <v>45838</v>
      </c>
      <c r="K88" s="8" t="s">
        <v>848</v>
      </c>
    </row>
    <row r="89" customFormat="false" ht="23.25" hidden="false" customHeight="true" outlineLevel="0" collapsed="false">
      <c r="A89" s="8" t="n">
        <v>85</v>
      </c>
      <c r="B89" s="9" t="s">
        <v>523</v>
      </c>
      <c r="C89" s="9" t="s">
        <v>1033</v>
      </c>
      <c r="D89" s="8" t="s">
        <v>522</v>
      </c>
      <c r="E89" s="8" t="s">
        <v>1215</v>
      </c>
      <c r="F89" s="9" t="s">
        <v>1216</v>
      </c>
      <c r="G89" s="8" t="s">
        <v>1217</v>
      </c>
      <c r="H89" s="9" t="s">
        <v>1251</v>
      </c>
      <c r="I89" s="8" t="n">
        <v>360</v>
      </c>
      <c r="J89" s="11" t="n">
        <v>45838</v>
      </c>
      <c r="K89" s="8" t="s">
        <v>848</v>
      </c>
    </row>
    <row r="90" customFormat="false" ht="23.25" hidden="false" customHeight="true" outlineLevel="0" collapsed="false">
      <c r="A90" s="8" t="n">
        <v>86</v>
      </c>
      <c r="B90" s="9" t="s">
        <v>523</v>
      </c>
      <c r="C90" s="9" t="s">
        <v>1033</v>
      </c>
      <c r="D90" s="8" t="s">
        <v>522</v>
      </c>
      <c r="E90" s="8" t="s">
        <v>1215</v>
      </c>
      <c r="F90" s="9" t="s">
        <v>1216</v>
      </c>
      <c r="G90" s="8" t="s">
        <v>1217</v>
      </c>
      <c r="H90" s="9" t="s">
        <v>1263</v>
      </c>
      <c r="I90" s="8" t="n">
        <v>180</v>
      </c>
      <c r="J90" s="11" t="n">
        <v>46934</v>
      </c>
      <c r="K90" s="8" t="s">
        <v>1227</v>
      </c>
    </row>
    <row r="91" customFormat="false" ht="23.25" hidden="false" customHeight="true" outlineLevel="0" collapsed="false">
      <c r="A91" s="8" t="n">
        <v>87</v>
      </c>
      <c r="B91" s="9" t="s">
        <v>523</v>
      </c>
      <c r="C91" s="9" t="s">
        <v>1033</v>
      </c>
      <c r="D91" s="8" t="s">
        <v>522</v>
      </c>
      <c r="E91" s="8" t="s">
        <v>1215</v>
      </c>
      <c r="F91" s="9" t="s">
        <v>1216</v>
      </c>
      <c r="G91" s="8" t="s">
        <v>1217</v>
      </c>
      <c r="H91" s="9" t="s">
        <v>1219</v>
      </c>
      <c r="I91" s="8" t="n">
        <v>120</v>
      </c>
      <c r="J91" s="11" t="n">
        <v>46934</v>
      </c>
      <c r="K91" s="8" t="s">
        <v>1227</v>
      </c>
    </row>
    <row r="92" customFormat="false" ht="23.25" hidden="false" customHeight="true" outlineLevel="0" collapsed="false">
      <c r="A92" s="8" t="n">
        <v>88</v>
      </c>
      <c r="B92" s="9" t="s">
        <v>523</v>
      </c>
      <c r="C92" s="9" t="s">
        <v>1033</v>
      </c>
      <c r="D92" s="8" t="s">
        <v>522</v>
      </c>
      <c r="E92" s="8" t="s">
        <v>1215</v>
      </c>
      <c r="F92" s="9" t="s">
        <v>1216</v>
      </c>
      <c r="G92" s="8" t="s">
        <v>1217</v>
      </c>
      <c r="H92" s="9" t="s">
        <v>1224</v>
      </c>
      <c r="I92" s="8" t="n">
        <v>180</v>
      </c>
      <c r="J92" s="11" t="n">
        <v>46934</v>
      </c>
      <c r="K92" s="8" t="s">
        <v>1227</v>
      </c>
    </row>
    <row r="93" customFormat="false" ht="23.25" hidden="false" customHeight="true" outlineLevel="0" collapsed="false">
      <c r="A93" s="8" t="n">
        <v>89</v>
      </c>
      <c r="B93" s="9" t="s">
        <v>523</v>
      </c>
      <c r="C93" s="9" t="s">
        <v>1033</v>
      </c>
      <c r="D93" s="8" t="s">
        <v>522</v>
      </c>
      <c r="E93" s="8" t="s">
        <v>1215</v>
      </c>
      <c r="F93" s="9" t="s">
        <v>1216</v>
      </c>
      <c r="G93" s="8" t="s">
        <v>1217</v>
      </c>
      <c r="H93" s="9" t="s">
        <v>1248</v>
      </c>
      <c r="I93" s="8" t="n">
        <v>120</v>
      </c>
      <c r="J93" s="11" t="n">
        <v>46934</v>
      </c>
      <c r="K93" s="8" t="s">
        <v>1227</v>
      </c>
    </row>
    <row r="94" customFormat="false" ht="23.25" hidden="false" customHeight="true" outlineLevel="0" collapsed="false">
      <c r="A94" s="8" t="n">
        <v>90</v>
      </c>
      <c r="B94" s="9" t="s">
        <v>523</v>
      </c>
      <c r="C94" s="9" t="s">
        <v>1033</v>
      </c>
      <c r="D94" s="8" t="s">
        <v>522</v>
      </c>
      <c r="E94" s="8" t="s">
        <v>1215</v>
      </c>
      <c r="F94" s="9" t="s">
        <v>1216</v>
      </c>
      <c r="G94" s="8" t="s">
        <v>1217</v>
      </c>
      <c r="H94" s="9" t="s">
        <v>1228</v>
      </c>
      <c r="I94" s="8" t="n">
        <v>360</v>
      </c>
      <c r="J94" s="11" t="n">
        <v>46934</v>
      </c>
      <c r="K94" s="8" t="s">
        <v>1227</v>
      </c>
    </row>
    <row r="95" customFormat="false" ht="23.25" hidden="false" customHeight="true" outlineLevel="0" collapsed="false">
      <c r="A95" s="8" t="n">
        <v>91</v>
      </c>
      <c r="B95" s="9" t="s">
        <v>594</v>
      </c>
      <c r="C95" s="9" t="s">
        <v>1066</v>
      </c>
      <c r="D95" s="8" t="s">
        <v>557</v>
      </c>
      <c r="E95" s="8" t="s">
        <v>1215</v>
      </c>
      <c r="F95" s="9" t="s">
        <v>1216</v>
      </c>
      <c r="G95" s="8" t="s">
        <v>1217</v>
      </c>
      <c r="H95" s="9" t="s">
        <v>1228</v>
      </c>
      <c r="I95" s="8" t="n">
        <v>420</v>
      </c>
      <c r="J95" s="11" t="n">
        <v>45838</v>
      </c>
      <c r="K95" s="8" t="s">
        <v>848</v>
      </c>
    </row>
    <row r="96" customFormat="false" ht="23.25" hidden="false" customHeight="true" outlineLevel="0" collapsed="false">
      <c r="A96" s="8" t="n">
        <v>92</v>
      </c>
      <c r="B96" s="9" t="s">
        <v>594</v>
      </c>
      <c r="C96" s="9" t="s">
        <v>1066</v>
      </c>
      <c r="D96" s="8" t="s">
        <v>557</v>
      </c>
      <c r="E96" s="8" t="s">
        <v>1215</v>
      </c>
      <c r="F96" s="9" t="s">
        <v>1216</v>
      </c>
      <c r="G96" s="8" t="s">
        <v>1217</v>
      </c>
      <c r="H96" s="9" t="s">
        <v>1250</v>
      </c>
      <c r="I96" s="8" t="n">
        <v>60</v>
      </c>
      <c r="J96" s="11" t="n">
        <v>45838</v>
      </c>
      <c r="K96" s="8" t="s">
        <v>848</v>
      </c>
    </row>
    <row r="97" customFormat="false" ht="23.25" hidden="false" customHeight="true" outlineLevel="0" collapsed="false">
      <c r="A97" s="8" t="n">
        <v>93</v>
      </c>
      <c r="B97" s="9" t="s">
        <v>594</v>
      </c>
      <c r="C97" s="9" t="s">
        <v>1066</v>
      </c>
      <c r="D97" s="8" t="s">
        <v>557</v>
      </c>
      <c r="E97" s="8" t="s">
        <v>1215</v>
      </c>
      <c r="F97" s="9" t="s">
        <v>1216</v>
      </c>
      <c r="G97" s="8" t="s">
        <v>1217</v>
      </c>
      <c r="H97" s="9" t="s">
        <v>1229</v>
      </c>
      <c r="I97" s="8" t="n">
        <v>120</v>
      </c>
      <c r="J97" s="11" t="n">
        <v>45838</v>
      </c>
      <c r="K97" s="8" t="s">
        <v>848</v>
      </c>
    </row>
    <row r="98" customFormat="false" ht="23.25" hidden="false" customHeight="true" outlineLevel="0" collapsed="false">
      <c r="A98" s="8" t="n">
        <v>94</v>
      </c>
      <c r="B98" s="9" t="s">
        <v>594</v>
      </c>
      <c r="C98" s="9" t="s">
        <v>1066</v>
      </c>
      <c r="D98" s="8" t="s">
        <v>557</v>
      </c>
      <c r="E98" s="8" t="s">
        <v>1215</v>
      </c>
      <c r="F98" s="9" t="s">
        <v>1216</v>
      </c>
      <c r="G98" s="8" t="s">
        <v>1217</v>
      </c>
      <c r="H98" s="9" t="s">
        <v>1264</v>
      </c>
      <c r="I98" s="8" t="n">
        <v>60</v>
      </c>
      <c r="J98" s="11" t="n">
        <v>46568</v>
      </c>
      <c r="K98" s="8" t="s">
        <v>1227</v>
      </c>
    </row>
    <row r="99" customFormat="false" ht="23.25" hidden="false" customHeight="true" outlineLevel="0" collapsed="false">
      <c r="A99" s="8" t="n">
        <v>95</v>
      </c>
      <c r="B99" s="9" t="s">
        <v>594</v>
      </c>
      <c r="C99" s="9" t="s">
        <v>1066</v>
      </c>
      <c r="D99" s="8" t="s">
        <v>557</v>
      </c>
      <c r="E99" s="8" t="s">
        <v>1215</v>
      </c>
      <c r="F99" s="9" t="s">
        <v>1216</v>
      </c>
      <c r="G99" s="8" t="s">
        <v>1217</v>
      </c>
      <c r="H99" s="9" t="s">
        <v>1265</v>
      </c>
      <c r="I99" s="8" t="n">
        <v>60</v>
      </c>
      <c r="J99" s="11" t="n">
        <v>46568</v>
      </c>
      <c r="K99" s="8" t="s">
        <v>1227</v>
      </c>
    </row>
    <row r="100" customFormat="false" ht="23.25" hidden="false" customHeight="true" outlineLevel="0" collapsed="false">
      <c r="A100" s="8" t="n">
        <v>96</v>
      </c>
      <c r="B100" s="9" t="s">
        <v>594</v>
      </c>
      <c r="C100" s="9" t="s">
        <v>1066</v>
      </c>
      <c r="D100" s="8" t="s">
        <v>557</v>
      </c>
      <c r="E100" s="8" t="s">
        <v>1215</v>
      </c>
      <c r="F100" s="9" t="s">
        <v>1216</v>
      </c>
      <c r="G100" s="8" t="s">
        <v>1217</v>
      </c>
      <c r="H100" s="9" t="s">
        <v>1220</v>
      </c>
      <c r="I100" s="8" t="n">
        <v>60</v>
      </c>
      <c r="J100" s="11" t="n">
        <v>47664</v>
      </c>
      <c r="K100" s="8" t="s">
        <v>1227</v>
      </c>
    </row>
    <row r="101" customFormat="false" ht="23.25" hidden="false" customHeight="true" outlineLevel="0" collapsed="false">
      <c r="A101" s="8" t="n">
        <v>97</v>
      </c>
      <c r="B101" s="9" t="s">
        <v>411</v>
      </c>
      <c r="C101" s="9" t="s">
        <v>928</v>
      </c>
      <c r="D101" s="8" t="s">
        <v>402</v>
      </c>
      <c r="E101" s="8" t="s">
        <v>1215</v>
      </c>
      <c r="F101" s="9" t="s">
        <v>1216</v>
      </c>
      <c r="G101" s="8" t="s">
        <v>1217</v>
      </c>
      <c r="H101" s="9" t="s">
        <v>1252</v>
      </c>
      <c r="I101" s="8" t="n">
        <v>660</v>
      </c>
      <c r="J101" s="11" t="n">
        <v>46203</v>
      </c>
      <c r="K101" s="8" t="s">
        <v>1233</v>
      </c>
    </row>
    <row r="102" customFormat="false" ht="23.25" hidden="false" customHeight="true" outlineLevel="0" collapsed="false">
      <c r="A102" s="8" t="n">
        <v>98</v>
      </c>
      <c r="B102" s="9" t="s">
        <v>411</v>
      </c>
      <c r="C102" s="9" t="s">
        <v>928</v>
      </c>
      <c r="D102" s="8" t="s">
        <v>402</v>
      </c>
      <c r="E102" s="8" t="s">
        <v>1215</v>
      </c>
      <c r="F102" s="9" t="s">
        <v>1216</v>
      </c>
      <c r="G102" s="8" t="s">
        <v>1217</v>
      </c>
      <c r="H102" s="9" t="s">
        <v>1219</v>
      </c>
      <c r="I102" s="8" t="n">
        <v>60</v>
      </c>
      <c r="J102" s="11" t="n">
        <v>46203</v>
      </c>
      <c r="K102" s="8" t="s">
        <v>1233</v>
      </c>
    </row>
    <row r="103" customFormat="false" ht="23.25" hidden="false" customHeight="true" outlineLevel="0" collapsed="false">
      <c r="A103" s="8" t="n">
        <v>99</v>
      </c>
      <c r="B103" s="9" t="s">
        <v>412</v>
      </c>
      <c r="C103" s="9" t="s">
        <v>1266</v>
      </c>
      <c r="D103" s="8" t="s">
        <v>402</v>
      </c>
      <c r="E103" s="8" t="s">
        <v>1215</v>
      </c>
      <c r="F103" s="9" t="s">
        <v>1216</v>
      </c>
      <c r="G103" s="8" t="s">
        <v>1217</v>
      </c>
      <c r="H103" s="9" t="s">
        <v>1250</v>
      </c>
      <c r="I103" s="8" t="n">
        <v>60</v>
      </c>
      <c r="J103" s="11" t="n">
        <v>45838</v>
      </c>
      <c r="K103" s="8" t="s">
        <v>848</v>
      </c>
    </row>
    <row r="104" customFormat="false" ht="23.25" hidden="false" customHeight="true" outlineLevel="0" collapsed="false">
      <c r="A104" s="8" t="n">
        <v>100</v>
      </c>
      <c r="B104" s="9" t="s">
        <v>412</v>
      </c>
      <c r="C104" s="9" t="s">
        <v>1266</v>
      </c>
      <c r="D104" s="8" t="s">
        <v>402</v>
      </c>
      <c r="E104" s="8" t="s">
        <v>1215</v>
      </c>
      <c r="F104" s="9" t="s">
        <v>1216</v>
      </c>
      <c r="G104" s="8" t="s">
        <v>1217</v>
      </c>
      <c r="H104" s="9" t="s">
        <v>1252</v>
      </c>
      <c r="I104" s="8" t="n">
        <v>480</v>
      </c>
      <c r="J104" s="11" t="n">
        <v>45838</v>
      </c>
      <c r="K104" s="8" t="s">
        <v>848</v>
      </c>
    </row>
    <row r="105" customFormat="false" ht="23.25" hidden="false" customHeight="true" outlineLevel="0" collapsed="false">
      <c r="A105" s="8" t="n">
        <v>101</v>
      </c>
      <c r="B105" s="9" t="s">
        <v>544</v>
      </c>
      <c r="C105" s="9" t="s">
        <v>1267</v>
      </c>
      <c r="D105" s="8" t="s">
        <v>543</v>
      </c>
      <c r="E105" s="8" t="s">
        <v>1268</v>
      </c>
      <c r="F105" s="9" t="s">
        <v>1216</v>
      </c>
      <c r="G105" s="8" t="s">
        <v>1217</v>
      </c>
      <c r="H105" s="9" t="s">
        <v>1252</v>
      </c>
      <c r="I105" s="8" t="n">
        <v>2610</v>
      </c>
      <c r="J105" s="11" t="n">
        <v>46568</v>
      </c>
      <c r="K105" s="8" t="s">
        <v>1227</v>
      </c>
    </row>
    <row r="106" customFormat="false" ht="23.25" hidden="false" customHeight="true" outlineLevel="0" collapsed="false">
      <c r="A106" s="8" t="n">
        <v>102</v>
      </c>
      <c r="B106" s="9" t="s">
        <v>510</v>
      </c>
      <c r="C106" s="9" t="s">
        <v>1269</v>
      </c>
      <c r="D106" s="8" t="s">
        <v>494</v>
      </c>
      <c r="E106" s="8" t="s">
        <v>1268</v>
      </c>
      <c r="F106" s="9" t="s">
        <v>1216</v>
      </c>
      <c r="G106" s="8" t="s">
        <v>1217</v>
      </c>
      <c r="H106" s="9" t="s">
        <v>1238</v>
      </c>
      <c r="I106" s="8" t="n">
        <v>180</v>
      </c>
      <c r="J106" s="11" t="n">
        <v>46568</v>
      </c>
      <c r="K106" s="8" t="s">
        <v>1227</v>
      </c>
    </row>
    <row r="107" customFormat="false" ht="23.25" hidden="false" customHeight="true" outlineLevel="0" collapsed="false">
      <c r="A107" s="8" t="n">
        <v>103</v>
      </c>
      <c r="B107" s="9" t="s">
        <v>510</v>
      </c>
      <c r="C107" s="9" t="s">
        <v>1269</v>
      </c>
      <c r="D107" s="8" t="s">
        <v>494</v>
      </c>
      <c r="E107" s="8" t="s">
        <v>1268</v>
      </c>
      <c r="F107" s="9" t="s">
        <v>1216</v>
      </c>
      <c r="G107" s="8" t="s">
        <v>1217</v>
      </c>
      <c r="H107" s="9" t="s">
        <v>1224</v>
      </c>
      <c r="I107" s="8" t="n">
        <v>60</v>
      </c>
      <c r="J107" s="11" t="n">
        <v>46568</v>
      </c>
      <c r="K107" s="8" t="s">
        <v>1227</v>
      </c>
    </row>
    <row r="108" customFormat="false" ht="23.25" hidden="false" customHeight="true" outlineLevel="0" collapsed="false">
      <c r="A108" s="8" t="n">
        <v>104</v>
      </c>
      <c r="B108" s="9" t="s">
        <v>510</v>
      </c>
      <c r="C108" s="9" t="s">
        <v>1269</v>
      </c>
      <c r="D108" s="8" t="s">
        <v>494</v>
      </c>
      <c r="E108" s="8" t="s">
        <v>1268</v>
      </c>
      <c r="F108" s="9" t="s">
        <v>1216</v>
      </c>
      <c r="G108" s="8" t="s">
        <v>1217</v>
      </c>
      <c r="H108" s="9" t="s">
        <v>1248</v>
      </c>
      <c r="I108" s="8" t="n">
        <v>60</v>
      </c>
      <c r="J108" s="11" t="n">
        <v>46568</v>
      </c>
      <c r="K108" s="8" t="s">
        <v>1227</v>
      </c>
    </row>
    <row r="109" customFormat="false" ht="23.25" hidden="false" customHeight="true" outlineLevel="0" collapsed="false">
      <c r="A109" s="8" t="n">
        <v>105</v>
      </c>
      <c r="B109" s="9" t="s">
        <v>510</v>
      </c>
      <c r="C109" s="9" t="s">
        <v>1269</v>
      </c>
      <c r="D109" s="8" t="s">
        <v>494</v>
      </c>
      <c r="E109" s="8" t="s">
        <v>1268</v>
      </c>
      <c r="F109" s="9" t="s">
        <v>1216</v>
      </c>
      <c r="G109" s="8" t="s">
        <v>1217</v>
      </c>
      <c r="H109" s="9" t="s">
        <v>1219</v>
      </c>
      <c r="I109" s="8" t="n">
        <v>60</v>
      </c>
      <c r="J109" s="11" t="n">
        <v>46568</v>
      </c>
      <c r="K109" s="8" t="s">
        <v>1227</v>
      </c>
    </row>
    <row r="110" customFormat="false" ht="23.25" hidden="false" customHeight="true" outlineLevel="0" collapsed="false">
      <c r="A110" s="8" t="n">
        <v>106</v>
      </c>
      <c r="B110" s="9" t="s">
        <v>572</v>
      </c>
      <c r="C110" s="9" t="s">
        <v>1085</v>
      </c>
      <c r="D110" s="8" t="s">
        <v>557</v>
      </c>
      <c r="E110" s="8" t="s">
        <v>1215</v>
      </c>
      <c r="F110" s="9" t="s">
        <v>1216</v>
      </c>
      <c r="G110" s="8" t="s">
        <v>1217</v>
      </c>
      <c r="H110" s="9" t="s">
        <v>1250</v>
      </c>
      <c r="I110" s="8" t="n">
        <v>300</v>
      </c>
      <c r="J110" s="11" t="n">
        <v>46568</v>
      </c>
      <c r="K110" s="8" t="s">
        <v>1227</v>
      </c>
    </row>
    <row r="111" customFormat="false" ht="23.25" hidden="false" customHeight="true" outlineLevel="0" collapsed="false">
      <c r="A111" s="8" t="n">
        <v>107</v>
      </c>
      <c r="B111" s="9" t="s">
        <v>572</v>
      </c>
      <c r="C111" s="9" t="s">
        <v>1085</v>
      </c>
      <c r="D111" s="8" t="s">
        <v>557</v>
      </c>
      <c r="E111" s="8" t="s">
        <v>1215</v>
      </c>
      <c r="F111" s="9" t="s">
        <v>1216</v>
      </c>
      <c r="G111" s="8" t="s">
        <v>1217</v>
      </c>
      <c r="H111" s="9" t="s">
        <v>1218</v>
      </c>
      <c r="I111" s="8" t="n">
        <v>60</v>
      </c>
      <c r="J111" s="11" t="n">
        <v>46568</v>
      </c>
      <c r="K111" s="8" t="s">
        <v>1227</v>
      </c>
    </row>
    <row r="112" customFormat="false" ht="23.25" hidden="false" customHeight="true" outlineLevel="0" collapsed="false">
      <c r="A112" s="8" t="n">
        <v>108</v>
      </c>
      <c r="B112" s="9" t="s">
        <v>572</v>
      </c>
      <c r="C112" s="9" t="s">
        <v>1085</v>
      </c>
      <c r="D112" s="8" t="s">
        <v>557</v>
      </c>
      <c r="E112" s="8" t="s">
        <v>1215</v>
      </c>
      <c r="F112" s="9" t="s">
        <v>1216</v>
      </c>
      <c r="G112" s="8" t="s">
        <v>1217</v>
      </c>
      <c r="H112" s="9" t="s">
        <v>1219</v>
      </c>
      <c r="I112" s="8" t="n">
        <v>90</v>
      </c>
      <c r="J112" s="11" t="n">
        <v>46568</v>
      </c>
      <c r="K112" s="8" t="s">
        <v>1227</v>
      </c>
    </row>
    <row r="113" customFormat="false" ht="23.25" hidden="false" customHeight="true" outlineLevel="0" collapsed="false">
      <c r="A113" s="8" t="n">
        <v>109</v>
      </c>
      <c r="B113" s="9" t="s">
        <v>572</v>
      </c>
      <c r="C113" s="9" t="s">
        <v>1085</v>
      </c>
      <c r="D113" s="8" t="s">
        <v>557</v>
      </c>
      <c r="E113" s="8" t="s">
        <v>1215</v>
      </c>
      <c r="F113" s="9" t="s">
        <v>1216</v>
      </c>
      <c r="G113" s="8" t="s">
        <v>1217</v>
      </c>
      <c r="H113" s="9" t="s">
        <v>1221</v>
      </c>
      <c r="I113" s="8" t="n">
        <v>240</v>
      </c>
      <c r="J113" s="11" t="n">
        <v>46568</v>
      </c>
      <c r="K113" s="8" t="s">
        <v>1227</v>
      </c>
    </row>
    <row r="114" customFormat="false" ht="23.25" hidden="false" customHeight="true" outlineLevel="0" collapsed="false">
      <c r="A114" s="8" t="n">
        <v>110</v>
      </c>
      <c r="B114" s="9" t="s">
        <v>572</v>
      </c>
      <c r="C114" s="9" t="s">
        <v>1085</v>
      </c>
      <c r="D114" s="8" t="s">
        <v>557</v>
      </c>
      <c r="E114" s="8" t="s">
        <v>1215</v>
      </c>
      <c r="F114" s="9" t="s">
        <v>1216</v>
      </c>
      <c r="G114" s="8" t="s">
        <v>1217</v>
      </c>
      <c r="H114" s="9" t="s">
        <v>1229</v>
      </c>
      <c r="I114" s="8" t="n">
        <v>480</v>
      </c>
      <c r="J114" s="11" t="n">
        <v>46568</v>
      </c>
      <c r="K114" s="8" t="s">
        <v>1227</v>
      </c>
    </row>
    <row r="115" customFormat="false" ht="23.25" hidden="false" customHeight="true" outlineLevel="0" collapsed="false">
      <c r="A115" s="8" t="n">
        <v>111</v>
      </c>
      <c r="B115" s="9" t="s">
        <v>572</v>
      </c>
      <c r="C115" s="9" t="s">
        <v>1085</v>
      </c>
      <c r="D115" s="8" t="s">
        <v>557</v>
      </c>
      <c r="E115" s="8" t="s">
        <v>1215</v>
      </c>
      <c r="F115" s="9" t="s">
        <v>1216</v>
      </c>
      <c r="G115" s="8" t="s">
        <v>1217</v>
      </c>
      <c r="H115" s="9" t="s">
        <v>1224</v>
      </c>
      <c r="I115" s="8" t="n">
        <v>240</v>
      </c>
      <c r="J115" s="11" t="n">
        <v>46568</v>
      </c>
      <c r="K115" s="8" t="s">
        <v>1227</v>
      </c>
    </row>
    <row r="116" customFormat="false" ht="23.25" hidden="false" customHeight="true" outlineLevel="0" collapsed="false">
      <c r="A116" s="8" t="n">
        <v>112</v>
      </c>
      <c r="B116" s="9" t="s">
        <v>571</v>
      </c>
      <c r="C116" s="9" t="s">
        <v>1083</v>
      </c>
      <c r="D116" s="8" t="s">
        <v>557</v>
      </c>
      <c r="E116" s="8" t="s">
        <v>1215</v>
      </c>
      <c r="F116" s="9" t="s">
        <v>1216</v>
      </c>
      <c r="G116" s="8" t="s">
        <v>1217</v>
      </c>
      <c r="H116" s="9" t="s">
        <v>1228</v>
      </c>
      <c r="I116" s="8" t="n">
        <v>1500</v>
      </c>
      <c r="J116" s="11" t="n">
        <v>46203</v>
      </c>
      <c r="K116" s="8" t="s">
        <v>1233</v>
      </c>
    </row>
    <row r="117" customFormat="false" ht="23.25" hidden="false" customHeight="true" outlineLevel="0" collapsed="false">
      <c r="A117" s="8" t="n">
        <v>113</v>
      </c>
      <c r="B117" s="9" t="s">
        <v>571</v>
      </c>
      <c r="C117" s="9" t="s">
        <v>1083</v>
      </c>
      <c r="D117" s="8" t="s">
        <v>557</v>
      </c>
      <c r="E117" s="8" t="s">
        <v>1215</v>
      </c>
      <c r="F117" s="9" t="s">
        <v>1216</v>
      </c>
      <c r="G117" s="8" t="s">
        <v>1217</v>
      </c>
      <c r="H117" s="9" t="s">
        <v>1221</v>
      </c>
      <c r="I117" s="8" t="n">
        <v>60</v>
      </c>
      <c r="J117" s="11" t="n">
        <v>46203</v>
      </c>
      <c r="K117" s="8" t="s">
        <v>1233</v>
      </c>
    </row>
    <row r="118" customFormat="false" ht="23.25" hidden="false" customHeight="true" outlineLevel="0" collapsed="false">
      <c r="A118" s="8" t="n">
        <v>114</v>
      </c>
      <c r="B118" s="9" t="s">
        <v>571</v>
      </c>
      <c r="C118" s="9" t="s">
        <v>1083</v>
      </c>
      <c r="D118" s="8" t="s">
        <v>557</v>
      </c>
      <c r="E118" s="8" t="s">
        <v>1215</v>
      </c>
      <c r="F118" s="9" t="s">
        <v>1216</v>
      </c>
      <c r="G118" s="8" t="s">
        <v>1217</v>
      </c>
      <c r="H118" s="9" t="s">
        <v>1250</v>
      </c>
      <c r="I118" s="8" t="n">
        <v>120</v>
      </c>
      <c r="J118" s="11" t="n">
        <v>46203</v>
      </c>
      <c r="K118" s="8" t="s">
        <v>1233</v>
      </c>
    </row>
    <row r="119" customFormat="false" ht="23.25" hidden="false" customHeight="true" outlineLevel="0" collapsed="false">
      <c r="A119" s="8" t="n">
        <v>115</v>
      </c>
      <c r="B119" s="9" t="s">
        <v>571</v>
      </c>
      <c r="C119" s="9" t="s">
        <v>1083</v>
      </c>
      <c r="D119" s="8" t="s">
        <v>557</v>
      </c>
      <c r="E119" s="8" t="s">
        <v>1215</v>
      </c>
      <c r="F119" s="9" t="s">
        <v>1216</v>
      </c>
      <c r="G119" s="8" t="s">
        <v>1217</v>
      </c>
      <c r="H119" s="9" t="s">
        <v>1229</v>
      </c>
      <c r="I119" s="8" t="n">
        <v>900</v>
      </c>
      <c r="J119" s="11" t="n">
        <v>46568</v>
      </c>
      <c r="K119" s="8" t="s">
        <v>1227</v>
      </c>
    </row>
    <row r="120" customFormat="false" ht="23.25" hidden="false" customHeight="true" outlineLevel="0" collapsed="false">
      <c r="A120" s="8" t="n">
        <v>116</v>
      </c>
      <c r="B120" s="9" t="s">
        <v>571</v>
      </c>
      <c r="C120" s="9" t="s">
        <v>1083</v>
      </c>
      <c r="D120" s="8" t="s">
        <v>557</v>
      </c>
      <c r="E120" s="8" t="s">
        <v>1215</v>
      </c>
      <c r="F120" s="9" t="s">
        <v>1216</v>
      </c>
      <c r="G120" s="8" t="s">
        <v>1217</v>
      </c>
      <c r="H120" s="9" t="s">
        <v>1224</v>
      </c>
      <c r="I120" s="8" t="n">
        <v>120</v>
      </c>
      <c r="J120" s="11" t="n">
        <v>46568</v>
      </c>
      <c r="K120" s="8" t="s">
        <v>1227</v>
      </c>
    </row>
    <row r="121" customFormat="false" ht="23.25" hidden="false" customHeight="true" outlineLevel="0" collapsed="false">
      <c r="A121" s="8" t="n">
        <v>117</v>
      </c>
      <c r="B121" s="9" t="s">
        <v>571</v>
      </c>
      <c r="C121" s="9" t="s">
        <v>1083</v>
      </c>
      <c r="D121" s="8" t="s">
        <v>557</v>
      </c>
      <c r="E121" s="8" t="s">
        <v>1215</v>
      </c>
      <c r="F121" s="9" t="s">
        <v>1216</v>
      </c>
      <c r="G121" s="8" t="s">
        <v>1217</v>
      </c>
      <c r="H121" s="9" t="s">
        <v>1254</v>
      </c>
      <c r="I121" s="8" t="n">
        <v>60</v>
      </c>
      <c r="J121" s="11" t="n">
        <v>46568</v>
      </c>
      <c r="K121" s="8" t="s">
        <v>1227</v>
      </c>
    </row>
    <row r="122" customFormat="false" ht="23.25" hidden="false" customHeight="true" outlineLevel="0" collapsed="false">
      <c r="A122" s="8" t="n">
        <v>118</v>
      </c>
      <c r="B122" s="9" t="s">
        <v>571</v>
      </c>
      <c r="C122" s="9" t="s">
        <v>1083</v>
      </c>
      <c r="D122" s="8" t="s">
        <v>557</v>
      </c>
      <c r="E122" s="8" t="s">
        <v>1215</v>
      </c>
      <c r="F122" s="9" t="s">
        <v>1216</v>
      </c>
      <c r="G122" s="8" t="s">
        <v>1217</v>
      </c>
      <c r="H122" s="9" t="s">
        <v>1219</v>
      </c>
      <c r="I122" s="8" t="n">
        <v>30</v>
      </c>
      <c r="J122" s="11" t="n">
        <v>46568</v>
      </c>
      <c r="K122" s="8" t="s">
        <v>1227</v>
      </c>
    </row>
    <row r="123" customFormat="false" ht="23.25" hidden="false" customHeight="true" outlineLevel="0" collapsed="false">
      <c r="A123" s="8" t="n">
        <v>119</v>
      </c>
      <c r="B123" s="9" t="s">
        <v>571</v>
      </c>
      <c r="C123" s="9" t="s">
        <v>1083</v>
      </c>
      <c r="D123" s="8" t="s">
        <v>557</v>
      </c>
      <c r="E123" s="8" t="s">
        <v>1215</v>
      </c>
      <c r="F123" s="9" t="s">
        <v>1216</v>
      </c>
      <c r="G123" s="8" t="s">
        <v>1217</v>
      </c>
      <c r="H123" s="9" t="s">
        <v>1218</v>
      </c>
      <c r="I123" s="8" t="n">
        <v>30</v>
      </c>
      <c r="J123" s="11" t="n">
        <v>46568</v>
      </c>
      <c r="K123" s="8" t="s">
        <v>1227</v>
      </c>
    </row>
    <row r="124" customFormat="false" ht="23.25" hidden="false" customHeight="true" outlineLevel="0" collapsed="false">
      <c r="A124" s="8" t="n">
        <v>120</v>
      </c>
      <c r="B124" s="9" t="s">
        <v>571</v>
      </c>
      <c r="C124" s="9" t="s">
        <v>1083</v>
      </c>
      <c r="D124" s="8" t="s">
        <v>557</v>
      </c>
      <c r="E124" s="8" t="s">
        <v>1215</v>
      </c>
      <c r="F124" s="9" t="s">
        <v>1216</v>
      </c>
      <c r="G124" s="8" t="s">
        <v>1217</v>
      </c>
      <c r="H124" s="9" t="s">
        <v>1264</v>
      </c>
      <c r="I124" s="8" t="n">
        <v>60</v>
      </c>
      <c r="J124" s="11" t="n">
        <v>46568</v>
      </c>
      <c r="K124" s="8" t="s">
        <v>1227</v>
      </c>
    </row>
    <row r="125" customFormat="false" ht="23.25" hidden="false" customHeight="true" outlineLevel="0" collapsed="false">
      <c r="A125" s="8" t="n">
        <v>121</v>
      </c>
      <c r="B125" s="9" t="s">
        <v>571</v>
      </c>
      <c r="C125" s="9" t="s">
        <v>1083</v>
      </c>
      <c r="D125" s="8" t="s">
        <v>557</v>
      </c>
      <c r="E125" s="8" t="s">
        <v>1215</v>
      </c>
      <c r="F125" s="9" t="s">
        <v>1216</v>
      </c>
      <c r="G125" s="8" t="s">
        <v>1217</v>
      </c>
      <c r="H125" s="9" t="s">
        <v>1251</v>
      </c>
      <c r="I125" s="8" t="n">
        <v>300</v>
      </c>
      <c r="J125" s="11" t="n">
        <v>46568</v>
      </c>
      <c r="K125" s="8" t="s">
        <v>1227</v>
      </c>
    </row>
    <row r="126" customFormat="false" ht="23.25" hidden="false" customHeight="true" outlineLevel="0" collapsed="false">
      <c r="A126" s="8" t="n">
        <v>122</v>
      </c>
      <c r="B126" s="9" t="s">
        <v>554</v>
      </c>
      <c r="C126" s="9" t="s">
        <v>1270</v>
      </c>
      <c r="D126" s="8" t="s">
        <v>553</v>
      </c>
      <c r="E126" s="8" t="s">
        <v>1268</v>
      </c>
      <c r="F126" s="9" t="s">
        <v>1216</v>
      </c>
      <c r="G126" s="8" t="s">
        <v>1217</v>
      </c>
      <c r="H126" s="9" t="s">
        <v>1271</v>
      </c>
      <c r="I126" s="8" t="n">
        <v>30</v>
      </c>
      <c r="J126" s="11" t="n">
        <v>45838</v>
      </c>
      <c r="K126" s="8" t="s">
        <v>848</v>
      </c>
    </row>
    <row r="127" customFormat="false" ht="23.25" hidden="false" customHeight="true" outlineLevel="0" collapsed="false">
      <c r="A127" s="8" t="n">
        <v>123</v>
      </c>
      <c r="B127" s="9" t="s">
        <v>554</v>
      </c>
      <c r="C127" s="9" t="s">
        <v>1270</v>
      </c>
      <c r="D127" s="8" t="s">
        <v>553</v>
      </c>
      <c r="E127" s="8" t="s">
        <v>1268</v>
      </c>
      <c r="F127" s="9" t="s">
        <v>1216</v>
      </c>
      <c r="G127" s="8" t="s">
        <v>1217</v>
      </c>
      <c r="H127" s="9" t="s">
        <v>1252</v>
      </c>
      <c r="I127" s="8" t="n">
        <v>180</v>
      </c>
      <c r="J127" s="11" t="n">
        <v>45838</v>
      </c>
      <c r="K127" s="8" t="s">
        <v>848</v>
      </c>
    </row>
    <row r="128" customFormat="false" ht="23.25" hidden="false" customHeight="true" outlineLevel="0" collapsed="false">
      <c r="A128" s="8" t="n">
        <v>124</v>
      </c>
      <c r="B128" s="9" t="s">
        <v>598</v>
      </c>
      <c r="C128" s="9" t="s">
        <v>1091</v>
      </c>
      <c r="D128" s="8" t="s">
        <v>557</v>
      </c>
      <c r="E128" s="8" t="s">
        <v>1215</v>
      </c>
      <c r="F128" s="9" t="s">
        <v>1216</v>
      </c>
      <c r="G128" s="8" t="s">
        <v>1217</v>
      </c>
      <c r="H128" s="9" t="s">
        <v>1252</v>
      </c>
      <c r="I128" s="8" t="n">
        <v>180</v>
      </c>
      <c r="J128" s="11" t="n">
        <v>46203</v>
      </c>
      <c r="K128" s="8" t="s">
        <v>1233</v>
      </c>
    </row>
    <row r="129" customFormat="false" ht="23.25" hidden="false" customHeight="true" outlineLevel="0" collapsed="false">
      <c r="A129" s="8" t="n">
        <v>125</v>
      </c>
      <c r="B129" s="9" t="s">
        <v>598</v>
      </c>
      <c r="C129" s="9" t="s">
        <v>1091</v>
      </c>
      <c r="D129" s="8" t="s">
        <v>557</v>
      </c>
      <c r="E129" s="8" t="s">
        <v>1215</v>
      </c>
      <c r="F129" s="9" t="s">
        <v>1216</v>
      </c>
      <c r="G129" s="8" t="s">
        <v>1217</v>
      </c>
      <c r="H129" s="9" t="s">
        <v>1224</v>
      </c>
      <c r="I129" s="8" t="n">
        <v>120</v>
      </c>
      <c r="J129" s="11" t="n">
        <v>46203</v>
      </c>
      <c r="K129" s="8" t="s">
        <v>1233</v>
      </c>
    </row>
    <row r="130" customFormat="false" ht="23.25" hidden="false" customHeight="true" outlineLevel="0" collapsed="false">
      <c r="A130" s="8" t="n">
        <v>126</v>
      </c>
      <c r="B130" s="9" t="s">
        <v>598</v>
      </c>
      <c r="C130" s="9" t="s">
        <v>1091</v>
      </c>
      <c r="D130" s="8" t="s">
        <v>557</v>
      </c>
      <c r="E130" s="8" t="s">
        <v>1215</v>
      </c>
      <c r="F130" s="9" t="s">
        <v>1216</v>
      </c>
      <c r="G130" s="8" t="s">
        <v>1217</v>
      </c>
      <c r="H130" s="9" t="s">
        <v>1229</v>
      </c>
      <c r="I130" s="8" t="n">
        <v>120</v>
      </c>
      <c r="J130" s="11" t="n">
        <v>46568</v>
      </c>
      <c r="K130" s="8" t="s">
        <v>1227</v>
      </c>
    </row>
    <row r="131" customFormat="false" ht="34.5" hidden="false" customHeight="true" outlineLevel="0" collapsed="false">
      <c r="A131" s="8" t="n">
        <v>127</v>
      </c>
      <c r="B131" s="9" t="s">
        <v>598</v>
      </c>
      <c r="C131" s="9" t="s">
        <v>1091</v>
      </c>
      <c r="D131" s="8" t="s">
        <v>557</v>
      </c>
      <c r="E131" s="8" t="s">
        <v>1215</v>
      </c>
      <c r="F131" s="9" t="s">
        <v>1216</v>
      </c>
      <c r="G131" s="8" t="s">
        <v>1217</v>
      </c>
      <c r="H131" s="9" t="s">
        <v>1272</v>
      </c>
      <c r="I131" s="8" t="n">
        <v>60</v>
      </c>
      <c r="J131" s="11" t="n">
        <v>46568</v>
      </c>
      <c r="K131" s="8" t="s">
        <v>1227</v>
      </c>
    </row>
    <row r="132" customFormat="false" ht="23.25" hidden="false" customHeight="true" outlineLevel="0" collapsed="false">
      <c r="A132" s="8" t="n">
        <v>128</v>
      </c>
      <c r="B132" s="9" t="s">
        <v>598</v>
      </c>
      <c r="C132" s="9" t="s">
        <v>1091</v>
      </c>
      <c r="D132" s="8" t="s">
        <v>557</v>
      </c>
      <c r="E132" s="8" t="s">
        <v>1215</v>
      </c>
      <c r="F132" s="9" t="s">
        <v>1216</v>
      </c>
      <c r="G132" s="8" t="s">
        <v>1217</v>
      </c>
      <c r="H132" s="9" t="s">
        <v>1264</v>
      </c>
      <c r="I132" s="8" t="n">
        <v>30</v>
      </c>
      <c r="J132" s="11" t="n">
        <v>46568</v>
      </c>
      <c r="K132" s="8" t="s">
        <v>1227</v>
      </c>
    </row>
    <row r="133" customFormat="false" ht="23.25" hidden="false" customHeight="true" outlineLevel="0" collapsed="false">
      <c r="A133" s="8" t="n">
        <v>129</v>
      </c>
      <c r="B133" s="9" t="s">
        <v>598</v>
      </c>
      <c r="C133" s="9" t="s">
        <v>1273</v>
      </c>
      <c r="D133" s="8" t="s">
        <v>557</v>
      </c>
      <c r="E133" s="8" t="s">
        <v>1215</v>
      </c>
      <c r="F133" s="9" t="s">
        <v>1242</v>
      </c>
      <c r="G133" s="8" t="s">
        <v>1240</v>
      </c>
      <c r="H133" s="9" t="s">
        <v>304</v>
      </c>
      <c r="I133" s="8" t="n">
        <v>120</v>
      </c>
      <c r="J133" s="11" t="n">
        <v>46203</v>
      </c>
      <c r="K133" s="8" t="s">
        <v>1233</v>
      </c>
    </row>
    <row r="134" customFormat="false" ht="23.25" hidden="false" customHeight="true" outlineLevel="0" collapsed="false">
      <c r="A134" s="8" t="n">
        <v>130</v>
      </c>
      <c r="B134" s="9" t="s">
        <v>325</v>
      </c>
      <c r="C134" s="9" t="s">
        <v>884</v>
      </c>
      <c r="D134" s="8" t="s">
        <v>285</v>
      </c>
      <c r="E134" s="8" t="s">
        <v>1215</v>
      </c>
      <c r="F134" s="9" t="s">
        <v>1216</v>
      </c>
      <c r="G134" s="8" t="s">
        <v>1217</v>
      </c>
      <c r="H134" s="9" t="s">
        <v>1250</v>
      </c>
      <c r="I134" s="8" t="n">
        <v>150</v>
      </c>
      <c r="J134" s="11" t="n">
        <v>46203</v>
      </c>
      <c r="K134" s="8" t="s">
        <v>1233</v>
      </c>
    </row>
    <row r="135" customFormat="false" ht="23.25" hidden="false" customHeight="true" outlineLevel="0" collapsed="false">
      <c r="A135" s="8" t="n">
        <v>131</v>
      </c>
      <c r="B135" s="9" t="s">
        <v>325</v>
      </c>
      <c r="C135" s="9" t="s">
        <v>884</v>
      </c>
      <c r="D135" s="8" t="s">
        <v>285</v>
      </c>
      <c r="E135" s="8" t="s">
        <v>1215</v>
      </c>
      <c r="F135" s="9" t="s">
        <v>1216</v>
      </c>
      <c r="G135" s="8" t="s">
        <v>1217</v>
      </c>
      <c r="H135" s="9" t="s">
        <v>1221</v>
      </c>
      <c r="I135" s="8" t="n">
        <v>60</v>
      </c>
      <c r="J135" s="11" t="n">
        <v>46203</v>
      </c>
      <c r="K135" s="8" t="s">
        <v>1233</v>
      </c>
    </row>
    <row r="136" customFormat="false" ht="23.25" hidden="false" customHeight="true" outlineLevel="0" collapsed="false">
      <c r="A136" s="8" t="n">
        <v>132</v>
      </c>
      <c r="B136" s="9" t="s">
        <v>325</v>
      </c>
      <c r="C136" s="9" t="s">
        <v>884</v>
      </c>
      <c r="D136" s="8" t="s">
        <v>285</v>
      </c>
      <c r="E136" s="8" t="s">
        <v>1215</v>
      </c>
      <c r="F136" s="9" t="s">
        <v>1216</v>
      </c>
      <c r="G136" s="8" t="s">
        <v>1217</v>
      </c>
      <c r="H136" s="9" t="s">
        <v>1223</v>
      </c>
      <c r="I136" s="8" t="n">
        <v>300</v>
      </c>
      <c r="J136" s="11" t="n">
        <v>46203</v>
      </c>
      <c r="K136" s="8" t="s">
        <v>1233</v>
      </c>
    </row>
    <row r="137" customFormat="false" ht="23.25" hidden="false" customHeight="true" outlineLevel="0" collapsed="false">
      <c r="A137" s="8" t="n">
        <v>133</v>
      </c>
      <c r="B137" s="9" t="s">
        <v>325</v>
      </c>
      <c r="C137" s="9" t="s">
        <v>884</v>
      </c>
      <c r="D137" s="8" t="s">
        <v>285</v>
      </c>
      <c r="E137" s="8" t="s">
        <v>1215</v>
      </c>
      <c r="F137" s="9" t="s">
        <v>1216</v>
      </c>
      <c r="G137" s="8" t="s">
        <v>1217</v>
      </c>
      <c r="H137" s="9" t="s">
        <v>1224</v>
      </c>
      <c r="I137" s="8" t="n">
        <v>60</v>
      </c>
      <c r="J137" s="11" t="n">
        <v>46203</v>
      </c>
      <c r="K137" s="8" t="s">
        <v>1233</v>
      </c>
    </row>
  </sheetData>
  <autoFilter ref="A4:K137"/>
  <mergeCells count="2">
    <mergeCell ref="A1:K1"/>
    <mergeCell ref="A2:K2"/>
  </mergeCells>
  <conditionalFormatting sqref="K5:K137">
    <cfRule type="cellIs" priority="2" operator="equal" aboveAverage="0" equalAverage="0" bottom="0" percent="0" rank="0" text="" dxfId="15">
      <formula>"Valid"</formula>
    </cfRule>
    <cfRule type="cellIs" priority="3" operator="equal" aboveAverage="0" equalAverage="0" bottom="0" percent="0" rank="0" text="" dxfId="17">
      <formula>"Expiring within 1 yr"</formula>
    </cfRule>
    <cfRule type="cellIs" priority="4" operator="equal" aboveAverage="0" equalAverage="0" bottom="0" percent="0" rank="0" text="" dxfId="16">
      <formula>"Expired"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2026-04-28T10:39:54Z</dcterms:created>
  <dc:creator>openpyxl</dc:creator>
  <dc:description/>
  <dc:language>en-US</dc:language>
  <cp:lastModifiedBy/>
  <dcterms:modified xsi:type="dcterms:W3CDTF">2026-04-28T11:06:41Z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